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onnect.ox.ac.uk\ADMN\DEPTSERV\ResAsst\RA Common\Automation\Monthly Invoicing\2025-26\"/>
    </mc:Choice>
  </mc:AlternateContent>
  <xr:revisionPtr revIDLastSave="0" documentId="13_ncr:1_{863475CF-B2FF-44B9-A6D8-C4D76619A6B1}" xr6:coauthVersionLast="47" xr6:coauthVersionMax="47" xr10:uidLastSave="{00000000-0000-0000-0000-000000000000}"/>
  <bookViews>
    <workbookView xWindow="-120" yWindow="-120" windowWidth="29040" windowHeight="15720" activeTab="2" xr2:uid="{7D8D3265-29D2-4573-AD08-7BD3FF1A3C17}"/>
  </bookViews>
  <sheets>
    <sheet name="DASHBOARD" sheetId="2" r:id="rId1"/>
    <sheet name="Analysis" sheetId="8" r:id="rId2"/>
    <sheet name="All Invoices" sheetId="1" r:id="rId3"/>
    <sheet name="Tables and Pivots" sheetId="3" r:id="rId4"/>
    <sheet name="Depts" sheetId="4" r:id="rId5"/>
    <sheet name="OpenInvoices" sheetId="7" r:id="rId6"/>
  </sheets>
  <definedNames>
    <definedName name="_xlnm._FilterDatabase" localSheetId="4" hidden="1">Depts!$A$1:$B$117</definedName>
    <definedName name="_xlnm._FilterDatabase" localSheetId="5" hidden="1">OpenInvoices!$A$1:$W$1657</definedName>
    <definedName name="Slicer_Type">#N/A</definedName>
    <definedName name="Slicer_Type1">#N/A</definedName>
  </definedNames>
  <calcPr calcId="191029"/>
  <pivotCaches>
    <pivotCache cacheId="4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5" i="1" l="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01" i="1"/>
  <c r="C402" i="1"/>
  <c r="C403" i="1"/>
  <c r="C404" i="1"/>
  <c r="C405" i="1"/>
  <c r="C406" i="1"/>
  <c r="C407" i="1"/>
  <c r="C408" i="1"/>
  <c r="C409" i="1"/>
  <c r="C410" i="1"/>
  <c r="C411" i="1"/>
  <c r="C412" i="1"/>
  <c r="C413" i="1"/>
  <c r="C414" i="1"/>
  <c r="J402" i="1"/>
  <c r="K402" i="1" s="1"/>
  <c r="J404" i="1"/>
  <c r="K404" i="1" s="1"/>
  <c r="C377" i="1"/>
  <c r="C378" i="1"/>
  <c r="C379" i="1"/>
  <c r="C380" i="1"/>
  <c r="C381" i="1"/>
  <c r="C382" i="1"/>
  <c r="C383" i="1"/>
  <c r="C384" i="1"/>
  <c r="C385" i="1"/>
  <c r="C386" i="1"/>
  <c r="C387" i="1"/>
  <c r="C388" i="1"/>
  <c r="C389" i="1"/>
  <c r="C390" i="1"/>
  <c r="C391" i="1"/>
  <c r="C392" i="1"/>
  <c r="C393" i="1"/>
  <c r="C394" i="1"/>
  <c r="C395" i="1"/>
  <c r="C396" i="1"/>
  <c r="C397" i="1"/>
  <c r="C398" i="1"/>
  <c r="C399" i="1"/>
  <c r="C400" i="1"/>
  <c r="J378" i="1"/>
  <c r="J379" i="1"/>
  <c r="K379" i="1" s="1"/>
  <c r="J381" i="1"/>
  <c r="K381" i="1" s="1"/>
  <c r="J383" i="1"/>
  <c r="K383" i="1" s="1"/>
  <c r="J384" i="1"/>
  <c r="K384" i="1" s="1"/>
  <c r="J385" i="1"/>
  <c r="K385" i="1" s="1"/>
  <c r="J386" i="1"/>
  <c r="K386" i="1" s="1"/>
  <c r="J388" i="1"/>
  <c r="K388" i="1" s="1"/>
  <c r="J390" i="1"/>
  <c r="K390" i="1" s="1"/>
  <c r="J393" i="1"/>
  <c r="K393" i="1" s="1"/>
  <c r="J394" i="1"/>
  <c r="K394" i="1" s="1"/>
  <c r="J396" i="1"/>
  <c r="K396" i="1" s="1"/>
  <c r="J398" i="1"/>
  <c r="K398" i="1" s="1"/>
  <c r="J399" i="1"/>
  <c r="K399" i="1" s="1"/>
  <c r="K378" i="1"/>
  <c r="C374" i="1"/>
  <c r="C375" i="1"/>
  <c r="C376" i="1"/>
  <c r="J374" i="1"/>
  <c r="K374" i="1" s="1"/>
  <c r="C362" i="1"/>
  <c r="C363" i="1"/>
  <c r="C364" i="1"/>
  <c r="C365" i="1"/>
  <c r="C366" i="1"/>
  <c r="C367" i="1"/>
  <c r="C368" i="1"/>
  <c r="C369" i="1"/>
  <c r="C370" i="1"/>
  <c r="C371" i="1"/>
  <c r="C372" i="1"/>
  <c r="C373" i="1"/>
  <c r="J362" i="1"/>
  <c r="K362" i="1" s="1"/>
  <c r="J366" i="1"/>
  <c r="K366" i="1" s="1"/>
  <c r="J372" i="1"/>
  <c r="K372" i="1" s="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J298" i="1"/>
  <c r="K298" i="1" s="1"/>
  <c r="J299" i="1"/>
  <c r="J300" i="1"/>
  <c r="K300" i="1" s="1"/>
  <c r="J301" i="1"/>
  <c r="K301" i="1" s="1"/>
  <c r="J302" i="1"/>
  <c r="K302" i="1" s="1"/>
  <c r="J306" i="1"/>
  <c r="K306" i="1" s="1"/>
  <c r="J308" i="1"/>
  <c r="K308" i="1" s="1"/>
  <c r="J309" i="1"/>
  <c r="K309" i="1" s="1"/>
  <c r="J310" i="1"/>
  <c r="K310" i="1" s="1"/>
  <c r="J311" i="1"/>
  <c r="K311" i="1" s="1"/>
  <c r="J313" i="1"/>
  <c r="K313" i="1" s="1"/>
  <c r="J314" i="1"/>
  <c r="K314" i="1" s="1"/>
  <c r="J315" i="1"/>
  <c r="K315" i="1" s="1"/>
  <c r="J316" i="1"/>
  <c r="K316" i="1" s="1"/>
  <c r="J317" i="1"/>
  <c r="J320" i="1"/>
  <c r="K320" i="1" s="1"/>
  <c r="J321" i="1"/>
  <c r="K321" i="1" s="1"/>
  <c r="J322" i="1"/>
  <c r="K322" i="1" s="1"/>
  <c r="J324" i="1"/>
  <c r="K324" i="1" s="1"/>
  <c r="J327" i="1"/>
  <c r="K327" i="1" s="1"/>
  <c r="J329" i="1"/>
  <c r="K329" i="1" s="1"/>
  <c r="J330" i="1"/>
  <c r="K330" i="1" s="1"/>
  <c r="J331" i="1"/>
  <c r="K331" i="1" s="1"/>
  <c r="J332" i="1"/>
  <c r="K332" i="1" s="1"/>
  <c r="J333" i="1"/>
  <c r="K333" i="1" s="1"/>
  <c r="J334" i="1"/>
  <c r="K334" i="1" s="1"/>
  <c r="J336" i="1"/>
  <c r="K336" i="1" s="1"/>
  <c r="J342" i="1"/>
  <c r="K342" i="1" s="1"/>
  <c r="J343" i="1"/>
  <c r="K343" i="1" s="1"/>
  <c r="J344" i="1"/>
  <c r="K344" i="1" s="1"/>
  <c r="J345" i="1"/>
  <c r="K345" i="1" s="1"/>
  <c r="J346" i="1"/>
  <c r="K346" i="1" s="1"/>
  <c r="J347" i="1"/>
  <c r="K347" i="1" s="1"/>
  <c r="J350" i="1"/>
  <c r="K350" i="1" s="1"/>
  <c r="J351" i="1"/>
  <c r="K351" i="1" s="1"/>
  <c r="J355" i="1"/>
  <c r="K355" i="1" s="1"/>
  <c r="J356" i="1"/>
  <c r="K356" i="1" s="1"/>
  <c r="J357" i="1"/>
  <c r="K357" i="1" s="1"/>
  <c r="J358" i="1"/>
  <c r="K358" i="1" s="1"/>
  <c r="J360" i="1"/>
  <c r="K360" i="1" s="1"/>
  <c r="K299" i="1"/>
  <c r="K317" i="1"/>
  <c r="C294" i="1"/>
  <c r="C295" i="1"/>
  <c r="C296" i="1"/>
  <c r="J294" i="1"/>
  <c r="K294" i="1" s="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J263" i="1"/>
  <c r="K263" i="1" s="1"/>
  <c r="J265" i="1"/>
  <c r="K265" i="1" s="1"/>
  <c r="J266" i="1"/>
  <c r="K266" i="1" s="1"/>
  <c r="J267" i="1"/>
  <c r="K267" i="1" s="1"/>
  <c r="J268" i="1"/>
  <c r="K268" i="1" s="1"/>
  <c r="J269" i="1"/>
  <c r="K269" i="1" s="1"/>
  <c r="J273" i="1"/>
  <c r="K273" i="1" s="1"/>
  <c r="J276" i="1"/>
  <c r="K276" i="1" s="1"/>
  <c r="J277" i="1"/>
  <c r="K277" i="1" s="1"/>
  <c r="J279" i="1"/>
  <c r="K279" i="1" s="1"/>
  <c r="J280" i="1"/>
  <c r="K280" i="1" s="1"/>
  <c r="J281" i="1"/>
  <c r="K281" i="1" s="1"/>
  <c r="J282" i="1"/>
  <c r="K282" i="1" s="1"/>
  <c r="J285" i="1"/>
  <c r="K285" i="1" s="1"/>
  <c r="J287" i="1"/>
  <c r="K287" i="1" s="1"/>
  <c r="J288" i="1"/>
  <c r="K288" i="1" s="1"/>
  <c r="J289" i="1"/>
  <c r="K289" i="1" s="1"/>
  <c r="J290" i="1"/>
  <c r="K290" i="1" s="1"/>
  <c r="J293" i="1"/>
  <c r="K293" i="1" s="1"/>
  <c r="C231" i="1" l="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J231" i="1"/>
  <c r="K231" i="1" s="1"/>
  <c r="J232" i="1"/>
  <c r="K232" i="1" s="1"/>
  <c r="J233" i="1"/>
  <c r="K233" i="1" s="1"/>
  <c r="J236" i="1"/>
  <c r="K236" i="1" s="1"/>
  <c r="J237" i="1"/>
  <c r="K237" i="1" s="1"/>
  <c r="J238" i="1"/>
  <c r="J239" i="1"/>
  <c r="J240" i="1"/>
  <c r="J241" i="1"/>
  <c r="J242" i="1"/>
  <c r="J244" i="1"/>
  <c r="K244" i="1" s="1"/>
  <c r="J245" i="1"/>
  <c r="K245" i="1" s="1"/>
  <c r="J246" i="1"/>
  <c r="K246" i="1" s="1"/>
  <c r="J248" i="1"/>
  <c r="K248" i="1" s="1"/>
  <c r="J249" i="1"/>
  <c r="K249" i="1" s="1"/>
  <c r="J250" i="1"/>
  <c r="K250" i="1" s="1"/>
  <c r="J251" i="1"/>
  <c r="K251" i="1" s="1"/>
  <c r="J252" i="1"/>
  <c r="K252" i="1" s="1"/>
  <c r="J253" i="1"/>
  <c r="K253" i="1" s="1"/>
  <c r="J254" i="1"/>
  <c r="K254" i="1" s="1"/>
  <c r="J255" i="1"/>
  <c r="K255" i="1" s="1"/>
  <c r="J258" i="1"/>
  <c r="K258" i="1" s="1"/>
  <c r="J259" i="1"/>
  <c r="K259" i="1" s="1"/>
  <c r="J261" i="1"/>
  <c r="K261" i="1" s="1"/>
  <c r="J262" i="1"/>
  <c r="K262" i="1" s="1"/>
  <c r="K238" i="1"/>
  <c r="K239" i="1"/>
  <c r="K240" i="1"/>
  <c r="K241" i="1"/>
  <c r="K242" i="1"/>
  <c r="C224" i="1" l="1"/>
  <c r="C225" i="1"/>
  <c r="C226" i="1"/>
  <c r="C227" i="1"/>
  <c r="C228" i="1"/>
  <c r="C229" i="1"/>
  <c r="C230" i="1"/>
  <c r="J224" i="1"/>
  <c r="K224" i="1" s="1"/>
  <c r="J225" i="1"/>
  <c r="K225" i="1" s="1"/>
  <c r="J228" i="1"/>
  <c r="K228" i="1" s="1"/>
  <c r="J229" i="1"/>
  <c r="K229" i="1" s="1"/>
  <c r="J230" i="1"/>
  <c r="K230" i="1" s="1"/>
  <c r="N1661" i="7" l="1"/>
  <c r="N1660" i="7"/>
  <c r="N1659" i="7"/>
  <c r="N1658" i="7"/>
  <c r="N1657" i="7"/>
  <c r="N1656" i="7"/>
  <c r="N1655" i="7"/>
  <c r="N1654" i="7"/>
  <c r="N1653" i="7"/>
  <c r="N1652" i="7"/>
  <c r="N1651" i="7"/>
  <c r="N1650" i="7"/>
  <c r="N1649" i="7"/>
  <c r="N1648" i="7"/>
  <c r="N1647" i="7"/>
  <c r="N1646" i="7"/>
  <c r="N1645" i="7"/>
  <c r="N1644" i="7"/>
  <c r="N1643" i="7"/>
  <c r="N1642" i="7"/>
  <c r="N1641" i="7"/>
  <c r="N1640" i="7"/>
  <c r="N1639" i="7"/>
  <c r="N1638" i="7"/>
  <c r="N1637" i="7"/>
  <c r="N1636" i="7"/>
  <c r="N1635" i="7"/>
  <c r="N1634" i="7"/>
  <c r="N1633" i="7"/>
  <c r="N1632" i="7"/>
  <c r="N1631" i="7"/>
  <c r="N1630" i="7"/>
  <c r="N1629" i="7"/>
  <c r="N1628" i="7"/>
  <c r="N1627" i="7"/>
  <c r="N1626" i="7"/>
  <c r="N1625" i="7"/>
  <c r="N1624" i="7"/>
  <c r="N1623" i="7"/>
  <c r="N1622" i="7"/>
  <c r="N1621" i="7"/>
  <c r="N1620" i="7"/>
  <c r="N1619" i="7"/>
  <c r="N1618" i="7"/>
  <c r="N1617" i="7"/>
  <c r="N1616" i="7"/>
  <c r="N1615" i="7"/>
  <c r="N1614" i="7"/>
  <c r="N1613" i="7"/>
  <c r="N1612" i="7"/>
  <c r="N1611" i="7"/>
  <c r="N1610" i="7"/>
  <c r="N1609" i="7"/>
  <c r="N1608" i="7"/>
  <c r="N1607" i="7"/>
  <c r="N1606" i="7"/>
  <c r="N1605" i="7"/>
  <c r="N1604" i="7"/>
  <c r="N1603" i="7"/>
  <c r="N1602" i="7"/>
  <c r="N1601" i="7"/>
  <c r="N1600" i="7"/>
  <c r="N1599" i="7"/>
  <c r="N1598" i="7"/>
  <c r="N1597" i="7"/>
  <c r="N1596" i="7"/>
  <c r="N1595" i="7"/>
  <c r="N1594" i="7"/>
  <c r="N1593" i="7"/>
  <c r="N1592" i="7"/>
  <c r="J419" i="1" s="1"/>
  <c r="K419" i="1" s="1"/>
  <c r="N1591" i="7"/>
  <c r="J448" i="1" s="1"/>
  <c r="K448" i="1" s="1"/>
  <c r="N1590" i="7"/>
  <c r="J437" i="1" s="1"/>
  <c r="K437" i="1" s="1"/>
  <c r="N1589" i="7"/>
  <c r="J417" i="1" s="1"/>
  <c r="K417" i="1" s="1"/>
  <c r="N1588" i="7"/>
  <c r="J435" i="1" s="1"/>
  <c r="K435" i="1" s="1"/>
  <c r="N1587" i="7"/>
  <c r="N1586" i="7"/>
  <c r="J449" i="1" s="1"/>
  <c r="K449" i="1" s="1"/>
  <c r="N1585" i="7"/>
  <c r="N1584" i="7"/>
  <c r="J425" i="1" s="1"/>
  <c r="K425" i="1" s="1"/>
  <c r="N1583" i="7"/>
  <c r="N1582" i="7"/>
  <c r="N1581" i="7"/>
  <c r="J443" i="1" s="1"/>
  <c r="K443" i="1" s="1"/>
  <c r="N1580" i="7"/>
  <c r="J420" i="1" s="1"/>
  <c r="K420" i="1" s="1"/>
  <c r="N1579" i="7"/>
  <c r="N1578" i="7"/>
  <c r="J428" i="1" s="1"/>
  <c r="K428" i="1" s="1"/>
  <c r="N1577" i="7"/>
  <c r="J439" i="1" s="1"/>
  <c r="K439" i="1" s="1"/>
  <c r="N1576" i="7"/>
  <c r="J423" i="1" s="1"/>
  <c r="K423" i="1" s="1"/>
  <c r="N1575" i="7"/>
  <c r="J434" i="1" s="1"/>
  <c r="K434" i="1" s="1"/>
  <c r="N1574" i="7"/>
  <c r="J453" i="1" s="1"/>
  <c r="K453" i="1" s="1"/>
  <c r="N1573" i="7"/>
  <c r="N1572" i="7"/>
  <c r="J424" i="1" s="1"/>
  <c r="K424" i="1" s="1"/>
  <c r="N1571" i="7"/>
  <c r="J422" i="1" s="1"/>
  <c r="K422" i="1" s="1"/>
  <c r="N1570" i="7"/>
  <c r="J445" i="1" s="1"/>
  <c r="K445" i="1" s="1"/>
  <c r="N1569" i="7"/>
  <c r="N1568" i="7"/>
  <c r="J444" i="1" s="1"/>
  <c r="K444" i="1" s="1"/>
  <c r="N1567" i="7"/>
  <c r="N1566" i="7"/>
  <c r="J454" i="1" s="1"/>
  <c r="K454" i="1" s="1"/>
  <c r="N1565" i="7"/>
  <c r="J436" i="1" s="1"/>
  <c r="K436" i="1" s="1"/>
  <c r="N1564" i="7"/>
  <c r="J440" i="1" s="1"/>
  <c r="K440" i="1" s="1"/>
  <c r="N1563" i="7"/>
  <c r="J431" i="1" s="1"/>
  <c r="K431" i="1" s="1"/>
  <c r="N1562" i="7"/>
  <c r="J418" i="1" s="1"/>
  <c r="K418" i="1" s="1"/>
  <c r="N1561" i="7"/>
  <c r="J447" i="1" s="1"/>
  <c r="K447" i="1" s="1"/>
  <c r="N1560" i="7"/>
  <c r="J442" i="1" s="1"/>
  <c r="K442" i="1" s="1"/>
  <c r="N1559" i="7"/>
  <c r="J441" i="1" s="1"/>
  <c r="K441" i="1" s="1"/>
  <c r="N1558" i="7"/>
  <c r="J415" i="1" s="1"/>
  <c r="K415" i="1" s="1"/>
  <c r="N1557" i="7"/>
  <c r="N1556" i="7"/>
  <c r="J450" i="1" s="1"/>
  <c r="K450" i="1" s="1"/>
  <c r="N1555" i="7"/>
  <c r="J421" i="1" s="1"/>
  <c r="K421" i="1" s="1"/>
  <c r="N1554" i="7"/>
  <c r="N1553" i="7"/>
  <c r="J452" i="1" s="1"/>
  <c r="K452" i="1" s="1"/>
  <c r="N1552" i="7"/>
  <c r="J416" i="1" s="1"/>
  <c r="K416" i="1" s="1"/>
  <c r="N1551" i="7"/>
  <c r="N1550" i="7"/>
  <c r="J430" i="1" s="1"/>
  <c r="K430" i="1" s="1"/>
  <c r="N1549" i="7"/>
  <c r="J446" i="1" s="1"/>
  <c r="K446" i="1" s="1"/>
  <c r="N1548" i="7"/>
  <c r="J426" i="1" s="1"/>
  <c r="K426" i="1" s="1"/>
  <c r="N1547" i="7"/>
  <c r="N1546" i="7"/>
  <c r="J429" i="1" s="1"/>
  <c r="K429" i="1" s="1"/>
  <c r="N1545" i="7"/>
  <c r="J432" i="1" s="1"/>
  <c r="K432" i="1" s="1"/>
  <c r="N1544" i="7"/>
  <c r="N1543" i="7"/>
  <c r="J433" i="1" s="1"/>
  <c r="K433" i="1" s="1"/>
  <c r="N1542" i="7"/>
  <c r="N1541" i="7"/>
  <c r="J438" i="1" s="1"/>
  <c r="K438" i="1" s="1"/>
  <c r="N1540" i="7"/>
  <c r="N1539" i="7"/>
  <c r="J427" i="1" s="1"/>
  <c r="K427" i="1" s="1"/>
  <c r="N1538" i="7"/>
  <c r="J451" i="1" s="1"/>
  <c r="K451" i="1" s="1"/>
  <c r="N1537" i="7"/>
  <c r="N1536" i="7"/>
  <c r="N1535" i="7"/>
  <c r="N1534" i="7"/>
  <c r="N1533" i="7"/>
  <c r="N1532" i="7"/>
  <c r="N1531" i="7"/>
  <c r="N1530" i="7"/>
  <c r="N1529" i="7"/>
  <c r="N1528" i="7"/>
  <c r="N1527" i="7"/>
  <c r="N1526" i="7"/>
  <c r="N1525" i="7"/>
  <c r="N1524" i="7"/>
  <c r="N1523" i="7"/>
  <c r="N1522" i="7"/>
  <c r="N1521" i="7"/>
  <c r="N1520" i="7"/>
  <c r="N1519" i="7"/>
  <c r="N1518" i="7"/>
  <c r="N1517" i="7"/>
  <c r="N1516" i="7"/>
  <c r="N1515" i="7"/>
  <c r="N1514" i="7"/>
  <c r="N1513" i="7"/>
  <c r="N1512" i="7"/>
  <c r="N1511" i="7"/>
  <c r="N1510" i="7"/>
  <c r="N1509" i="7"/>
  <c r="N1508" i="7"/>
  <c r="N1507" i="7"/>
  <c r="N1506" i="7"/>
  <c r="J406" i="1" s="1"/>
  <c r="K406" i="1" s="1"/>
  <c r="N1505" i="7"/>
  <c r="N1504" i="7"/>
  <c r="J409" i="1" s="1"/>
  <c r="K409" i="1" s="1"/>
  <c r="N1503" i="7"/>
  <c r="N1502" i="7"/>
  <c r="J405" i="1" s="1"/>
  <c r="K405" i="1" s="1"/>
  <c r="N1501" i="7"/>
  <c r="N1500" i="7"/>
  <c r="N1499" i="7"/>
  <c r="J411" i="1" s="1"/>
  <c r="K411" i="1" s="1"/>
  <c r="N1498" i="7"/>
  <c r="N1497" i="7"/>
  <c r="J410" i="1" s="1"/>
  <c r="K410" i="1" s="1"/>
  <c r="N1496" i="7"/>
  <c r="N1495" i="7"/>
  <c r="J401" i="1" s="1"/>
  <c r="K401" i="1" s="1"/>
  <c r="N1494" i="7"/>
  <c r="N1493" i="7"/>
  <c r="J413" i="1" s="1"/>
  <c r="K413" i="1" s="1"/>
  <c r="N1492" i="7"/>
  <c r="J412" i="1" s="1"/>
  <c r="K412" i="1" s="1"/>
  <c r="N1491" i="7"/>
  <c r="J403" i="1" s="1"/>
  <c r="K403" i="1" s="1"/>
  <c r="N1490" i="7"/>
  <c r="J408" i="1" s="1"/>
  <c r="K408" i="1" s="1"/>
  <c r="N1489" i="7"/>
  <c r="N1488" i="7"/>
  <c r="J407" i="1" s="1"/>
  <c r="K407" i="1" s="1"/>
  <c r="N1487" i="7"/>
  <c r="J414" i="1" s="1"/>
  <c r="K414" i="1" s="1"/>
  <c r="N1486" i="7"/>
  <c r="N1485" i="7"/>
  <c r="N1484" i="7"/>
  <c r="N1483" i="7"/>
  <c r="N1482" i="7"/>
  <c r="N1481" i="7"/>
  <c r="N1480" i="7"/>
  <c r="N1479" i="7"/>
  <c r="N1478" i="7"/>
  <c r="N1477" i="7"/>
  <c r="N1476" i="7"/>
  <c r="N1475" i="7"/>
  <c r="N1474" i="7"/>
  <c r="N1473" i="7"/>
  <c r="N1472" i="7"/>
  <c r="N1471" i="7"/>
  <c r="N1470" i="7"/>
  <c r="N1469" i="7"/>
  <c r="N1468" i="7"/>
  <c r="N1467" i="7"/>
  <c r="N1466" i="7"/>
  <c r="N1465" i="7"/>
  <c r="N1464" i="7"/>
  <c r="N1463" i="7"/>
  <c r="N1462" i="7"/>
  <c r="N1461" i="7"/>
  <c r="N1460" i="7"/>
  <c r="N1459" i="7"/>
  <c r="N1458" i="7"/>
  <c r="N1457" i="7"/>
  <c r="N1456" i="7"/>
  <c r="N1455" i="7"/>
  <c r="N1454" i="7"/>
  <c r="N1453" i="7"/>
  <c r="N1452" i="7"/>
  <c r="N1451" i="7"/>
  <c r="N1450" i="7"/>
  <c r="N1449" i="7"/>
  <c r="N1448" i="7"/>
  <c r="N1447" i="7"/>
  <c r="N1446" i="7"/>
  <c r="N1445" i="7"/>
  <c r="N1444" i="7"/>
  <c r="N1443" i="7"/>
  <c r="N1442" i="7"/>
  <c r="N1441" i="7"/>
  <c r="N1440" i="7"/>
  <c r="N1439" i="7"/>
  <c r="N1438" i="7"/>
  <c r="N1437" i="7"/>
  <c r="N1436" i="7"/>
  <c r="N1435" i="7"/>
  <c r="N1434" i="7"/>
  <c r="N1433" i="7"/>
  <c r="N1432" i="7"/>
  <c r="N1431" i="7"/>
  <c r="N1430" i="7"/>
  <c r="N1429" i="7"/>
  <c r="N1428" i="7"/>
  <c r="N1427" i="7"/>
  <c r="N1426" i="7"/>
  <c r="N1425" i="7"/>
  <c r="N1424" i="7"/>
  <c r="N1423" i="7"/>
  <c r="N1422" i="7"/>
  <c r="N1421" i="7"/>
  <c r="N1420" i="7"/>
  <c r="N1419" i="7"/>
  <c r="N1418" i="7"/>
  <c r="N1417" i="7"/>
  <c r="N1416" i="7"/>
  <c r="N1415" i="7"/>
  <c r="N1414" i="7"/>
  <c r="N1413" i="7"/>
  <c r="N1412" i="7"/>
  <c r="N1411" i="7"/>
  <c r="N1410" i="7"/>
  <c r="N1409" i="7"/>
  <c r="N1408" i="7"/>
  <c r="N1407" i="7"/>
  <c r="N1406" i="7"/>
  <c r="N1405" i="7"/>
  <c r="N1404" i="7"/>
  <c r="N1403" i="7"/>
  <c r="N1402" i="7"/>
  <c r="N1401" i="7"/>
  <c r="N1400" i="7"/>
  <c r="N1399" i="7"/>
  <c r="N1398" i="7"/>
  <c r="N1397" i="7"/>
  <c r="N1396" i="7"/>
  <c r="N1395" i="7"/>
  <c r="N1394" i="7"/>
  <c r="N1393" i="7"/>
  <c r="N1392" i="7"/>
  <c r="N1391" i="7"/>
  <c r="N1390" i="7"/>
  <c r="N1389" i="7"/>
  <c r="N1388" i="7"/>
  <c r="N1387" i="7"/>
  <c r="N1386" i="7"/>
  <c r="N1385" i="7"/>
  <c r="N1384" i="7"/>
  <c r="N1383" i="7"/>
  <c r="N1382" i="7"/>
  <c r="N1381" i="7"/>
  <c r="N1380" i="7"/>
  <c r="N1379" i="7"/>
  <c r="N1378" i="7"/>
  <c r="N1377" i="7"/>
  <c r="N1376" i="7"/>
  <c r="N1375" i="7"/>
  <c r="N1374" i="7"/>
  <c r="N1373" i="7"/>
  <c r="N1372" i="7"/>
  <c r="N1371" i="7"/>
  <c r="N1370" i="7"/>
  <c r="N1369" i="7"/>
  <c r="N1368" i="7"/>
  <c r="N1367" i="7"/>
  <c r="N1366" i="7"/>
  <c r="N1365" i="7"/>
  <c r="N1364" i="7"/>
  <c r="N1363" i="7"/>
  <c r="N1362" i="7"/>
  <c r="N1361" i="7"/>
  <c r="N1360" i="7"/>
  <c r="N1359" i="7"/>
  <c r="N1358" i="7"/>
  <c r="N1357" i="7"/>
  <c r="N1356" i="7"/>
  <c r="N1355" i="7"/>
  <c r="N1354" i="7"/>
  <c r="N1353" i="7"/>
  <c r="N1352" i="7"/>
  <c r="N1351" i="7"/>
  <c r="N1350" i="7"/>
  <c r="N1349" i="7"/>
  <c r="N1348" i="7"/>
  <c r="N1347" i="7"/>
  <c r="N1346" i="7"/>
  <c r="N1345" i="7"/>
  <c r="N1344" i="7"/>
  <c r="N1343" i="7"/>
  <c r="N1342" i="7"/>
  <c r="N1341" i="7"/>
  <c r="N1340" i="7"/>
  <c r="N1339" i="7"/>
  <c r="N1338" i="7"/>
  <c r="N1337" i="7"/>
  <c r="N1336" i="7"/>
  <c r="N1335" i="7"/>
  <c r="N1334" i="7"/>
  <c r="N1333" i="7"/>
  <c r="N1332" i="7"/>
  <c r="N1331" i="7"/>
  <c r="N1330" i="7"/>
  <c r="N1329" i="7"/>
  <c r="N1328" i="7"/>
  <c r="N1327" i="7"/>
  <c r="N1326" i="7"/>
  <c r="N1325" i="7"/>
  <c r="N1324" i="7"/>
  <c r="N1323" i="7"/>
  <c r="N1322" i="7"/>
  <c r="N1321" i="7"/>
  <c r="N1320" i="7"/>
  <c r="N1319" i="7"/>
  <c r="N1318" i="7"/>
  <c r="N1317" i="7"/>
  <c r="N1316" i="7"/>
  <c r="N1315" i="7"/>
  <c r="N1314" i="7"/>
  <c r="N1313" i="7"/>
  <c r="N1312" i="7"/>
  <c r="N1311" i="7"/>
  <c r="J376" i="1" s="1"/>
  <c r="K376" i="1" s="1"/>
  <c r="N1310" i="7"/>
  <c r="J375" i="1" s="1"/>
  <c r="K375" i="1" s="1"/>
  <c r="N1309" i="7"/>
  <c r="N1308" i="7"/>
  <c r="N1307" i="7"/>
  <c r="N1306" i="7"/>
  <c r="N1305" i="7"/>
  <c r="N1304" i="7"/>
  <c r="N1303" i="7"/>
  <c r="N1302" i="7"/>
  <c r="N1301" i="7"/>
  <c r="N1300" i="7"/>
  <c r="N1299" i="7"/>
  <c r="N1298" i="7"/>
  <c r="N1297" i="7"/>
  <c r="N1296" i="7"/>
  <c r="N1295" i="7"/>
  <c r="N1294" i="7"/>
  <c r="N1293" i="7"/>
  <c r="N1292" i="7"/>
  <c r="N1291" i="7"/>
  <c r="N1290" i="7"/>
  <c r="N1289" i="7"/>
  <c r="N1288" i="7"/>
  <c r="N1287" i="7"/>
  <c r="N1286" i="7"/>
  <c r="N1285" i="7"/>
  <c r="N1284" i="7"/>
  <c r="N1283" i="7"/>
  <c r="N1282" i="7"/>
  <c r="N1281" i="7"/>
  <c r="N1280" i="7"/>
  <c r="N1279" i="7"/>
  <c r="N1278" i="7"/>
  <c r="N1277" i="7"/>
  <c r="N1276" i="7"/>
  <c r="N1275" i="7"/>
  <c r="N1274" i="7"/>
  <c r="N1273" i="7"/>
  <c r="N1272" i="7"/>
  <c r="N1271" i="7"/>
  <c r="N1270" i="7"/>
  <c r="N1269" i="7"/>
  <c r="N1268" i="7"/>
  <c r="N1267" i="7"/>
  <c r="N1266" i="7"/>
  <c r="N1265" i="7"/>
  <c r="N1264" i="7"/>
  <c r="N1263" i="7"/>
  <c r="N1262" i="7"/>
  <c r="N1261" i="7"/>
  <c r="N1260" i="7"/>
  <c r="N1259" i="7"/>
  <c r="N1258" i="7"/>
  <c r="N1257" i="7"/>
  <c r="N1256" i="7"/>
  <c r="N1255" i="7"/>
  <c r="N1254" i="7"/>
  <c r="N1253" i="7"/>
  <c r="N1252" i="7"/>
  <c r="N1251" i="7"/>
  <c r="N1250" i="7"/>
  <c r="N1249" i="7"/>
  <c r="N1248" i="7"/>
  <c r="N1247" i="7"/>
  <c r="N1246" i="7"/>
  <c r="N1245" i="7"/>
  <c r="N1244" i="7"/>
  <c r="N1243" i="7"/>
  <c r="N1242" i="7"/>
  <c r="N1241" i="7"/>
  <c r="N1240" i="7"/>
  <c r="N1239" i="7"/>
  <c r="N1238" i="7"/>
  <c r="N1237" i="7"/>
  <c r="N1236" i="7"/>
  <c r="N1235" i="7"/>
  <c r="N1234" i="7"/>
  <c r="N1233" i="7"/>
  <c r="N1232" i="7"/>
  <c r="N1231" i="7"/>
  <c r="N1230" i="7"/>
  <c r="N1229" i="7"/>
  <c r="N1228" i="7"/>
  <c r="N1227" i="7"/>
  <c r="N1226" i="7"/>
  <c r="N1225" i="7"/>
  <c r="N1224" i="7"/>
  <c r="N1223" i="7"/>
  <c r="N1222" i="7"/>
  <c r="N1221" i="7"/>
  <c r="N1220" i="7"/>
  <c r="N1219" i="7"/>
  <c r="N1218" i="7"/>
  <c r="N1217" i="7"/>
  <c r="N1216" i="7"/>
  <c r="N1215" i="7"/>
  <c r="N1214" i="7"/>
  <c r="N1213" i="7"/>
  <c r="N1212" i="7"/>
  <c r="N1211" i="7"/>
  <c r="N1210" i="7"/>
  <c r="N1209" i="7"/>
  <c r="N1208" i="7"/>
  <c r="N1207" i="7"/>
  <c r="N1206" i="7"/>
  <c r="N1205" i="7"/>
  <c r="N1204" i="7"/>
  <c r="N1203" i="7"/>
  <c r="N1202" i="7"/>
  <c r="N1201" i="7"/>
  <c r="N1200" i="7"/>
  <c r="N1199" i="7"/>
  <c r="N1198" i="7"/>
  <c r="N1197" i="7"/>
  <c r="N1196" i="7"/>
  <c r="N1195" i="7"/>
  <c r="N1194" i="7"/>
  <c r="N1193" i="7"/>
  <c r="N1192" i="7"/>
  <c r="N1191" i="7"/>
  <c r="N1190" i="7"/>
  <c r="N1189" i="7"/>
  <c r="N1188" i="7"/>
  <c r="N1187" i="7"/>
  <c r="N1186" i="7"/>
  <c r="N1185" i="7"/>
  <c r="N1184" i="7"/>
  <c r="N1183" i="7"/>
  <c r="N1182" i="7"/>
  <c r="N1181" i="7"/>
  <c r="N1180" i="7"/>
  <c r="N1179" i="7"/>
  <c r="N1178" i="7"/>
  <c r="N1177" i="7"/>
  <c r="N1176" i="7"/>
  <c r="N1175" i="7"/>
  <c r="N1174" i="7"/>
  <c r="N1173" i="7"/>
  <c r="N1172" i="7"/>
  <c r="N1171" i="7"/>
  <c r="N1170" i="7"/>
  <c r="N1169" i="7"/>
  <c r="N1168" i="7"/>
  <c r="N1167" i="7"/>
  <c r="N1166" i="7"/>
  <c r="N1165" i="7"/>
  <c r="N1164" i="7"/>
  <c r="N1163" i="7"/>
  <c r="N1162" i="7"/>
  <c r="N1161" i="7"/>
  <c r="N1160" i="7"/>
  <c r="N1159" i="7"/>
  <c r="N1158" i="7"/>
  <c r="N1157" i="7"/>
  <c r="N1156" i="7"/>
  <c r="N1155" i="7"/>
  <c r="N1154" i="7"/>
  <c r="J377" i="1" s="1"/>
  <c r="K377" i="1" s="1"/>
  <c r="N1153" i="7"/>
  <c r="J380" i="1" s="1"/>
  <c r="K380" i="1" s="1"/>
  <c r="N1152" i="7"/>
  <c r="N1151" i="7"/>
  <c r="N1150" i="7"/>
  <c r="N1149" i="7"/>
  <c r="N1148" i="7"/>
  <c r="N1147" i="7"/>
  <c r="J397" i="1" s="1"/>
  <c r="K397" i="1" s="1"/>
  <c r="N1146" i="7"/>
  <c r="J387" i="1" s="1"/>
  <c r="K387" i="1" s="1"/>
  <c r="N1145" i="7"/>
  <c r="J389" i="1" s="1"/>
  <c r="K389" i="1" s="1"/>
  <c r="N1144" i="7"/>
  <c r="N1143" i="7"/>
  <c r="N1142" i="7"/>
  <c r="J400" i="1" s="1"/>
  <c r="K400" i="1" s="1"/>
  <c r="N1141" i="7"/>
  <c r="N1140" i="7"/>
  <c r="J392" i="1" s="1"/>
  <c r="K392" i="1" s="1"/>
  <c r="N1139" i="7"/>
  <c r="J391" i="1" s="1"/>
  <c r="K391" i="1" s="1"/>
  <c r="N1138" i="7"/>
  <c r="J382" i="1" s="1"/>
  <c r="K382" i="1" s="1"/>
  <c r="N1137" i="7"/>
  <c r="N1136" i="7"/>
  <c r="N1135" i="7"/>
  <c r="N1134" i="7"/>
  <c r="N1133" i="7"/>
  <c r="J395" i="1" s="1"/>
  <c r="K395" i="1" s="1"/>
  <c r="N1132" i="7"/>
  <c r="N1131" i="7"/>
  <c r="N1130" i="7"/>
  <c r="N1129" i="7"/>
  <c r="N1128" i="7"/>
  <c r="N1127" i="7"/>
  <c r="N1126" i="7"/>
  <c r="N1125" i="7"/>
  <c r="N1124" i="7"/>
  <c r="N1123" i="7"/>
  <c r="N1122" i="7"/>
  <c r="N1121" i="7"/>
  <c r="N1120" i="7"/>
  <c r="N1119" i="7"/>
  <c r="N1118" i="7"/>
  <c r="N1117" i="7"/>
  <c r="N1116" i="7"/>
  <c r="N1115" i="7"/>
  <c r="J363" i="1" s="1"/>
  <c r="K363" i="1" s="1"/>
  <c r="N1114" i="7"/>
  <c r="N1113" i="7"/>
  <c r="N1112" i="7"/>
  <c r="N1111" i="7"/>
  <c r="J371" i="1" s="1"/>
  <c r="K371" i="1" s="1"/>
  <c r="N1110" i="7"/>
  <c r="N1109" i="7"/>
  <c r="N1108" i="7"/>
  <c r="N1107" i="7"/>
  <c r="N1106" i="7"/>
  <c r="N1105" i="7"/>
  <c r="N1104" i="7"/>
  <c r="J364" i="1" s="1"/>
  <c r="K364" i="1" s="1"/>
  <c r="N1103" i="7"/>
  <c r="N1102" i="7"/>
  <c r="N1101" i="7"/>
  <c r="J367" i="1" s="1"/>
  <c r="K367" i="1" s="1"/>
  <c r="N1100" i="7"/>
  <c r="J368" i="1" s="1"/>
  <c r="K368" i="1" s="1"/>
  <c r="N1099" i="7"/>
  <c r="J370" i="1" s="1"/>
  <c r="K370" i="1" s="1"/>
  <c r="N1098" i="7"/>
  <c r="N1097" i="7"/>
  <c r="N1096" i="7"/>
  <c r="N1095" i="7"/>
  <c r="J365" i="1" s="1"/>
  <c r="K365" i="1" s="1"/>
  <c r="N1094" i="7"/>
  <c r="N1093" i="7"/>
  <c r="N1092" i="7"/>
  <c r="N1091" i="7"/>
  <c r="J369" i="1" s="1"/>
  <c r="K369" i="1" s="1"/>
  <c r="N1090" i="7"/>
  <c r="J373" i="1" s="1"/>
  <c r="K373" i="1" s="1"/>
  <c r="N1089" i="7"/>
  <c r="N1088" i="7"/>
  <c r="N1087" i="7"/>
  <c r="N1086" i="7"/>
  <c r="N1085" i="7"/>
  <c r="N1084" i="7"/>
  <c r="N1083" i="7"/>
  <c r="N1082" i="7"/>
  <c r="N1081" i="7"/>
  <c r="N1080" i="7"/>
  <c r="N1079" i="7"/>
  <c r="N1078" i="7"/>
  <c r="N1077" i="7"/>
  <c r="N1076" i="7"/>
  <c r="N1075" i="7"/>
  <c r="N1074" i="7"/>
  <c r="N1073" i="7"/>
  <c r="N1072" i="7"/>
  <c r="N1071" i="7"/>
  <c r="N1070" i="7"/>
  <c r="N1069" i="7"/>
  <c r="N1068" i="7"/>
  <c r="N1067" i="7"/>
  <c r="N1066" i="7"/>
  <c r="N1065" i="7"/>
  <c r="N1064" i="7"/>
  <c r="N1063" i="7"/>
  <c r="N1062" i="7"/>
  <c r="N1061" i="7"/>
  <c r="N1060" i="7"/>
  <c r="N1059" i="7"/>
  <c r="N1058" i="7"/>
  <c r="N1057" i="7"/>
  <c r="N1056" i="7"/>
  <c r="N1055" i="7"/>
  <c r="N1054" i="7"/>
  <c r="N1053" i="7"/>
  <c r="N1052" i="7"/>
  <c r="N1051" i="7"/>
  <c r="N1050" i="7"/>
  <c r="N1049" i="7"/>
  <c r="N1048" i="7"/>
  <c r="N1047" i="7"/>
  <c r="N1046" i="7"/>
  <c r="N1045" i="7"/>
  <c r="N1044" i="7"/>
  <c r="N1043" i="7"/>
  <c r="N1042" i="7"/>
  <c r="N1041" i="7"/>
  <c r="N1040" i="7"/>
  <c r="N1039" i="7"/>
  <c r="N1038" i="7"/>
  <c r="N1037" i="7"/>
  <c r="N1036" i="7"/>
  <c r="N1035" i="7"/>
  <c r="N1034" i="7"/>
  <c r="N1033" i="7"/>
  <c r="N1032" i="7"/>
  <c r="N1031" i="7"/>
  <c r="N1030" i="7"/>
  <c r="N1029" i="7"/>
  <c r="N1028" i="7"/>
  <c r="N1027" i="7"/>
  <c r="N1026" i="7"/>
  <c r="N1025" i="7"/>
  <c r="N1024" i="7"/>
  <c r="N1023" i="7"/>
  <c r="N1022" i="7"/>
  <c r="N1021" i="7"/>
  <c r="N1020" i="7"/>
  <c r="J296" i="1" s="1"/>
  <c r="K296" i="1" s="1"/>
  <c r="N1019" i="7"/>
  <c r="N1018" i="7"/>
  <c r="N1017" i="7"/>
  <c r="N1016" i="7"/>
  <c r="N1015" i="7"/>
  <c r="N1014" i="7"/>
  <c r="J295" i="1" s="1"/>
  <c r="K295" i="1" s="1"/>
  <c r="N1013" i="7"/>
  <c r="N1012" i="7"/>
  <c r="N1011" i="7"/>
  <c r="N1010" i="7"/>
  <c r="N1009" i="7"/>
  <c r="N1008" i="7"/>
  <c r="N1007" i="7"/>
  <c r="N1006" i="7"/>
  <c r="N1005" i="7"/>
  <c r="N1004" i="7"/>
  <c r="N1003" i="7"/>
  <c r="N1002" i="7"/>
  <c r="N1001" i="7"/>
  <c r="N1000" i="7"/>
  <c r="N999" i="7"/>
  <c r="N998" i="7"/>
  <c r="N997" i="7"/>
  <c r="N996" i="7"/>
  <c r="N995" i="7"/>
  <c r="N994" i="7"/>
  <c r="N993" i="7"/>
  <c r="N992" i="7"/>
  <c r="N991" i="7"/>
  <c r="N990" i="7"/>
  <c r="N989" i="7"/>
  <c r="N988" i="7"/>
  <c r="N987" i="7"/>
  <c r="N986" i="7"/>
  <c r="N985" i="7"/>
  <c r="N984" i="7"/>
  <c r="N983" i="7"/>
  <c r="N982" i="7"/>
  <c r="N981" i="7"/>
  <c r="N980" i="7"/>
  <c r="N979" i="7"/>
  <c r="N978" i="7"/>
  <c r="N977" i="7"/>
  <c r="N976" i="7"/>
  <c r="N975" i="7"/>
  <c r="N974" i="7"/>
  <c r="N973" i="7"/>
  <c r="N972" i="7"/>
  <c r="N971" i="7"/>
  <c r="N970" i="7"/>
  <c r="N969" i="7"/>
  <c r="N968" i="7"/>
  <c r="N967" i="7"/>
  <c r="N966" i="7"/>
  <c r="N965" i="7"/>
  <c r="N964" i="7"/>
  <c r="N963" i="7"/>
  <c r="N962" i="7"/>
  <c r="N961" i="7"/>
  <c r="N960" i="7"/>
  <c r="N959" i="7"/>
  <c r="N958" i="7"/>
  <c r="N957" i="7"/>
  <c r="N956" i="7"/>
  <c r="N955" i="7"/>
  <c r="N954" i="7"/>
  <c r="N953" i="7"/>
  <c r="N952" i="7"/>
  <c r="N951" i="7"/>
  <c r="N950" i="7"/>
  <c r="N949" i="7"/>
  <c r="N948" i="7"/>
  <c r="N947" i="7"/>
  <c r="N946" i="7"/>
  <c r="N945" i="7"/>
  <c r="N944" i="7"/>
  <c r="N943" i="7"/>
  <c r="N942" i="7"/>
  <c r="N941" i="7"/>
  <c r="N940" i="7"/>
  <c r="N939" i="7"/>
  <c r="N938" i="7"/>
  <c r="N937" i="7"/>
  <c r="N936" i="7"/>
  <c r="N935" i="7"/>
  <c r="N934" i="7"/>
  <c r="N933" i="7"/>
  <c r="N932" i="7"/>
  <c r="N931" i="7"/>
  <c r="N930" i="7"/>
  <c r="N929" i="7"/>
  <c r="N928" i="7"/>
  <c r="N927" i="7"/>
  <c r="N926" i="7"/>
  <c r="N925" i="7"/>
  <c r="N924" i="7"/>
  <c r="N923" i="7"/>
  <c r="N922" i="7"/>
  <c r="N921" i="7"/>
  <c r="N920" i="7"/>
  <c r="N919" i="7"/>
  <c r="N918" i="7"/>
  <c r="N917" i="7"/>
  <c r="N916" i="7"/>
  <c r="N915" i="7"/>
  <c r="N914" i="7"/>
  <c r="N913" i="7"/>
  <c r="N912" i="7"/>
  <c r="N911" i="7"/>
  <c r="N910" i="7"/>
  <c r="N909" i="7"/>
  <c r="N908" i="7"/>
  <c r="N907" i="7"/>
  <c r="N906" i="7"/>
  <c r="N905" i="7"/>
  <c r="N904" i="7"/>
  <c r="N903" i="7"/>
  <c r="N902" i="7"/>
  <c r="N901" i="7"/>
  <c r="N900" i="7"/>
  <c r="N899" i="7"/>
  <c r="N898" i="7"/>
  <c r="N897" i="7"/>
  <c r="J353" i="1" s="1"/>
  <c r="K353" i="1" s="1"/>
  <c r="N896" i="7"/>
  <c r="J338" i="1" s="1"/>
  <c r="K338" i="1" s="1"/>
  <c r="N895" i="7"/>
  <c r="N894" i="7"/>
  <c r="J323" i="1" s="1"/>
  <c r="K323" i="1" s="1"/>
  <c r="N893" i="7"/>
  <c r="J339" i="1" s="1"/>
  <c r="K339" i="1" s="1"/>
  <c r="N892" i="7"/>
  <c r="N891" i="7"/>
  <c r="J341" i="1" s="1"/>
  <c r="K341" i="1" s="1"/>
  <c r="N890" i="7"/>
  <c r="J326" i="1" s="1"/>
  <c r="K326" i="1" s="1"/>
  <c r="N889" i="7"/>
  <c r="J340" i="1" s="1"/>
  <c r="K340" i="1" s="1"/>
  <c r="N888" i="7"/>
  <c r="N887" i="7"/>
  <c r="J328" i="1" s="1"/>
  <c r="K328" i="1" s="1"/>
  <c r="N886" i="7"/>
  <c r="J307" i="1" s="1"/>
  <c r="K307" i="1" s="1"/>
  <c r="N885" i="7"/>
  <c r="J312" i="1" s="1"/>
  <c r="K312" i="1" s="1"/>
  <c r="N884" i="7"/>
  <c r="J352" i="1" s="1"/>
  <c r="K352" i="1" s="1"/>
  <c r="N883" i="7"/>
  <c r="J348" i="1" s="1"/>
  <c r="K348" i="1" s="1"/>
  <c r="N882" i="7"/>
  <c r="N881" i="7"/>
  <c r="J303" i="1" s="1"/>
  <c r="K303" i="1" s="1"/>
  <c r="N880" i="7"/>
  <c r="N879" i="7"/>
  <c r="J297" i="1" s="1"/>
  <c r="K297" i="1" s="1"/>
  <c r="N878" i="7"/>
  <c r="J305" i="1" s="1"/>
  <c r="K305" i="1" s="1"/>
  <c r="N877" i="7"/>
  <c r="N876" i="7"/>
  <c r="J361" i="1" s="1"/>
  <c r="K361" i="1" s="1"/>
  <c r="N875" i="7"/>
  <c r="J318" i="1" s="1"/>
  <c r="K318" i="1" s="1"/>
  <c r="N874" i="7"/>
  <c r="J304" i="1" s="1"/>
  <c r="K304" i="1" s="1"/>
  <c r="N873" i="7"/>
  <c r="J319" i="1" s="1"/>
  <c r="K319" i="1" s="1"/>
  <c r="N872" i="7"/>
  <c r="N871" i="7"/>
  <c r="J359" i="1" s="1"/>
  <c r="K359" i="1" s="1"/>
  <c r="N870" i="7"/>
  <c r="N869" i="7"/>
  <c r="N868" i="7"/>
  <c r="J337" i="1" s="1"/>
  <c r="K337" i="1" s="1"/>
  <c r="N867" i="7"/>
  <c r="J354" i="1" s="1"/>
  <c r="K354" i="1" s="1"/>
  <c r="N866" i="7"/>
  <c r="J335" i="1" s="1"/>
  <c r="K335" i="1" s="1"/>
  <c r="N865" i="7"/>
  <c r="J349" i="1" s="1"/>
  <c r="K349" i="1" s="1"/>
  <c r="N864" i="7"/>
  <c r="J325" i="1" s="1"/>
  <c r="K325" i="1" s="1"/>
  <c r="N863" i="7"/>
  <c r="N862" i="7"/>
  <c r="N861" i="7"/>
  <c r="N860" i="7"/>
  <c r="N859" i="7"/>
  <c r="N858" i="7"/>
  <c r="N857" i="7"/>
  <c r="N856" i="7"/>
  <c r="N855" i="7"/>
  <c r="N854" i="7"/>
  <c r="N853" i="7"/>
  <c r="N852" i="7"/>
  <c r="N851" i="7"/>
  <c r="N850" i="7"/>
  <c r="N849" i="7"/>
  <c r="N848" i="7"/>
  <c r="N847" i="7"/>
  <c r="N846" i="7"/>
  <c r="N845" i="7"/>
  <c r="N844" i="7"/>
  <c r="N843" i="7"/>
  <c r="N842" i="7"/>
  <c r="N841" i="7"/>
  <c r="N840" i="7"/>
  <c r="N839" i="7"/>
  <c r="N838" i="7"/>
  <c r="N837" i="7"/>
  <c r="N836" i="7"/>
  <c r="N835" i="7"/>
  <c r="J274" i="1" s="1"/>
  <c r="K274" i="1" s="1"/>
  <c r="N834" i="7"/>
  <c r="N833" i="7"/>
  <c r="N832" i="7"/>
  <c r="N831" i="7"/>
  <c r="N830" i="7"/>
  <c r="N829" i="7"/>
  <c r="J292" i="1" s="1"/>
  <c r="K292" i="1" s="1"/>
  <c r="N828" i="7"/>
  <c r="N827" i="7"/>
  <c r="N826" i="7"/>
  <c r="N825" i="7"/>
  <c r="J278" i="1" s="1"/>
  <c r="K278" i="1" s="1"/>
  <c r="N824" i="7"/>
  <c r="J272" i="1" s="1"/>
  <c r="K272" i="1" s="1"/>
  <c r="N823" i="7"/>
  <c r="N822" i="7"/>
  <c r="J264" i="1" s="1"/>
  <c r="K264" i="1" s="1"/>
  <c r="N821" i="7"/>
  <c r="J284" i="1" s="1"/>
  <c r="K284" i="1" s="1"/>
  <c r="N820" i="7"/>
  <c r="N819" i="7"/>
  <c r="J270" i="1" s="1"/>
  <c r="K270" i="1" s="1"/>
  <c r="N818" i="7"/>
  <c r="J283" i="1" s="1"/>
  <c r="K283" i="1" s="1"/>
  <c r="N817" i="7"/>
  <c r="J275" i="1" s="1"/>
  <c r="K275" i="1" s="1"/>
  <c r="N816" i="7"/>
  <c r="J271" i="1" s="1"/>
  <c r="K271" i="1" s="1"/>
  <c r="N815" i="7"/>
  <c r="J286" i="1" s="1"/>
  <c r="K286" i="1" s="1"/>
  <c r="N814" i="7"/>
  <c r="N813" i="7"/>
  <c r="J291" i="1" s="1"/>
  <c r="K291" i="1" s="1"/>
  <c r="N812" i="7"/>
  <c r="N811" i="7"/>
  <c r="N810" i="7"/>
  <c r="N809" i="7"/>
  <c r="N808" i="7"/>
  <c r="N807" i="7"/>
  <c r="N806" i="7"/>
  <c r="N805" i="7"/>
  <c r="N804" i="7"/>
  <c r="N803" i="7"/>
  <c r="N802" i="7"/>
  <c r="N801" i="7"/>
  <c r="N800" i="7"/>
  <c r="N799" i="7"/>
  <c r="N798" i="7"/>
  <c r="N797" i="7"/>
  <c r="N796" i="7"/>
  <c r="N795" i="7"/>
  <c r="N794" i="7"/>
  <c r="N793" i="7"/>
  <c r="N792" i="7"/>
  <c r="N791" i="7"/>
  <c r="N790" i="7"/>
  <c r="N789" i="7"/>
  <c r="N788" i="7"/>
  <c r="N787" i="7"/>
  <c r="N786" i="7"/>
  <c r="N785" i="7"/>
  <c r="N784" i="7"/>
  <c r="N783" i="7"/>
  <c r="N782" i="7"/>
  <c r="N781" i="7"/>
  <c r="N780" i="7"/>
  <c r="N779" i="7"/>
  <c r="N778" i="7"/>
  <c r="N777" i="7"/>
  <c r="N776" i="7"/>
  <c r="N775" i="7"/>
  <c r="N774" i="7"/>
  <c r="N773" i="7"/>
  <c r="N772" i="7"/>
  <c r="N771" i="7"/>
  <c r="N770" i="7"/>
  <c r="N769" i="7"/>
  <c r="N768" i="7"/>
  <c r="N767" i="7"/>
  <c r="N766" i="7"/>
  <c r="N765" i="7"/>
  <c r="N764" i="7"/>
  <c r="N763" i="7"/>
  <c r="N762" i="7"/>
  <c r="N761" i="7"/>
  <c r="N760" i="7"/>
  <c r="N759" i="7"/>
  <c r="N758" i="7"/>
  <c r="N757" i="7"/>
  <c r="N756" i="7"/>
  <c r="N755" i="7"/>
  <c r="N754" i="7"/>
  <c r="N753" i="7"/>
  <c r="N752" i="7"/>
  <c r="N751" i="7"/>
  <c r="N750" i="7"/>
  <c r="N749" i="7"/>
  <c r="N748" i="7"/>
  <c r="N747" i="7"/>
  <c r="N746" i="7"/>
  <c r="N745" i="7"/>
  <c r="N744" i="7"/>
  <c r="N743" i="7"/>
  <c r="N742" i="7"/>
  <c r="N741" i="7"/>
  <c r="N740" i="7"/>
  <c r="N739" i="7"/>
  <c r="N738" i="7"/>
  <c r="N737" i="7"/>
  <c r="N736" i="7"/>
  <c r="N735" i="7"/>
  <c r="N734" i="7"/>
  <c r="N733" i="7"/>
  <c r="N732" i="7"/>
  <c r="N731" i="7"/>
  <c r="N730" i="7"/>
  <c r="N729" i="7"/>
  <c r="N728" i="7"/>
  <c r="N727" i="7"/>
  <c r="N726" i="7"/>
  <c r="N725" i="7"/>
  <c r="N724" i="7"/>
  <c r="N723" i="7"/>
  <c r="N722" i="7"/>
  <c r="N721" i="7"/>
  <c r="N720" i="7"/>
  <c r="N719" i="7"/>
  <c r="N718" i="7"/>
  <c r="N717" i="7"/>
  <c r="N716" i="7"/>
  <c r="N715" i="7"/>
  <c r="N714" i="7"/>
  <c r="N713" i="7"/>
  <c r="N712" i="7"/>
  <c r="N711" i="7"/>
  <c r="N710" i="7"/>
  <c r="N709" i="7"/>
  <c r="N708" i="7"/>
  <c r="N707" i="7"/>
  <c r="N706" i="7"/>
  <c r="N705" i="7"/>
  <c r="N704" i="7"/>
  <c r="N703" i="7"/>
  <c r="N702" i="7"/>
  <c r="N701" i="7"/>
  <c r="N700" i="7"/>
  <c r="N699" i="7"/>
  <c r="N698" i="7"/>
  <c r="N697" i="7"/>
  <c r="N696" i="7"/>
  <c r="N695" i="7"/>
  <c r="N694" i="7"/>
  <c r="N693" i="7"/>
  <c r="N692" i="7"/>
  <c r="N691" i="7"/>
  <c r="N690" i="7"/>
  <c r="N689" i="7"/>
  <c r="N688" i="7"/>
  <c r="N687" i="7"/>
  <c r="N686" i="7"/>
  <c r="N685" i="7"/>
  <c r="N684" i="7"/>
  <c r="N683" i="7"/>
  <c r="N682" i="7"/>
  <c r="N681" i="7"/>
  <c r="N680" i="7"/>
  <c r="N679" i="7"/>
  <c r="N678" i="7"/>
  <c r="N677" i="7"/>
  <c r="N676" i="7"/>
  <c r="N675" i="7"/>
  <c r="N674" i="7"/>
  <c r="N673" i="7"/>
  <c r="N672" i="7"/>
  <c r="N671" i="7"/>
  <c r="N670" i="7"/>
  <c r="N669" i="7"/>
  <c r="N668" i="7"/>
  <c r="N667" i="7"/>
  <c r="N666" i="7"/>
  <c r="N665" i="7"/>
  <c r="N664" i="7"/>
  <c r="N663" i="7"/>
  <c r="N662" i="7"/>
  <c r="N661" i="7"/>
  <c r="N660" i="7"/>
  <c r="N659" i="7"/>
  <c r="N658" i="7"/>
  <c r="N657" i="7"/>
  <c r="J226" i="1" s="1"/>
  <c r="K226" i="1" s="1"/>
  <c r="N656" i="7"/>
  <c r="J243" i="1" s="1"/>
  <c r="K243" i="1" s="1"/>
  <c r="N655" i="7"/>
  <c r="J260" i="1" s="1"/>
  <c r="K260" i="1" s="1"/>
  <c r="N654" i="7"/>
  <c r="N653" i="7"/>
  <c r="J235" i="1" s="1"/>
  <c r="K235" i="1" s="1"/>
  <c r="N652" i="7"/>
  <c r="J247" i="1" s="1"/>
  <c r="K247" i="1" s="1"/>
  <c r="N651" i="7"/>
  <c r="N650" i="7"/>
  <c r="J256" i="1" s="1"/>
  <c r="K256" i="1" s="1"/>
  <c r="N649" i="7"/>
  <c r="J257" i="1" s="1"/>
  <c r="K257" i="1" s="1"/>
  <c r="N648" i="7"/>
  <c r="N647" i="7"/>
  <c r="N646" i="7"/>
  <c r="J234" i="1" s="1"/>
  <c r="K234" i="1" s="1"/>
  <c r="N645" i="7"/>
  <c r="N644" i="7"/>
  <c r="N643" i="7"/>
  <c r="J227" i="1" s="1"/>
  <c r="K227" i="1" s="1"/>
  <c r="N642" i="7"/>
  <c r="N641" i="7"/>
  <c r="N640" i="7"/>
  <c r="N639" i="7"/>
  <c r="N638" i="7"/>
  <c r="N637" i="7"/>
  <c r="N636" i="7"/>
  <c r="N635" i="7"/>
  <c r="N634" i="7"/>
  <c r="N633" i="7"/>
  <c r="N632" i="7"/>
  <c r="N631" i="7"/>
  <c r="N630" i="7"/>
  <c r="N629" i="7"/>
  <c r="N628" i="7"/>
  <c r="N627" i="7"/>
  <c r="N626" i="7"/>
  <c r="N625" i="7"/>
  <c r="N624" i="7"/>
  <c r="N623" i="7"/>
  <c r="N622" i="7"/>
  <c r="N621" i="7"/>
  <c r="N620" i="7"/>
  <c r="N619" i="7"/>
  <c r="N618" i="7"/>
  <c r="N617" i="7"/>
  <c r="N616" i="7"/>
  <c r="N615" i="7"/>
  <c r="N614" i="7"/>
  <c r="N613" i="7"/>
  <c r="N612" i="7"/>
  <c r="N611" i="7"/>
  <c r="N610" i="7"/>
  <c r="N609" i="7"/>
  <c r="N608" i="7"/>
  <c r="N607" i="7"/>
  <c r="N606" i="7"/>
  <c r="N605" i="7"/>
  <c r="N604" i="7"/>
  <c r="N603" i="7"/>
  <c r="N602" i="7"/>
  <c r="N601" i="7"/>
  <c r="N600" i="7"/>
  <c r="N599" i="7"/>
  <c r="N598" i="7"/>
  <c r="N597" i="7"/>
  <c r="N596" i="7"/>
  <c r="N595" i="7"/>
  <c r="N594" i="7"/>
  <c r="N593" i="7"/>
  <c r="N592" i="7"/>
  <c r="N591" i="7"/>
  <c r="N590" i="7"/>
  <c r="N589" i="7"/>
  <c r="N588" i="7"/>
  <c r="N587" i="7"/>
  <c r="N586" i="7"/>
  <c r="N585" i="7"/>
  <c r="N584" i="7"/>
  <c r="N583" i="7"/>
  <c r="N582" i="7"/>
  <c r="N581" i="7"/>
  <c r="N580" i="7"/>
  <c r="N579" i="7"/>
  <c r="N578" i="7"/>
  <c r="N577" i="7"/>
  <c r="N576" i="7"/>
  <c r="N575" i="7"/>
  <c r="N574" i="7"/>
  <c r="N573" i="7"/>
  <c r="N572" i="7"/>
  <c r="N571" i="7"/>
  <c r="N570" i="7"/>
  <c r="N569" i="7"/>
  <c r="N568" i="7"/>
  <c r="N567" i="7"/>
  <c r="N566" i="7"/>
  <c r="N565" i="7"/>
  <c r="N564" i="7"/>
  <c r="N563" i="7"/>
  <c r="N562" i="7"/>
  <c r="N561" i="7"/>
  <c r="N560" i="7"/>
  <c r="N559" i="7"/>
  <c r="N558" i="7"/>
  <c r="N557" i="7"/>
  <c r="N556" i="7"/>
  <c r="N555" i="7"/>
  <c r="N554" i="7"/>
  <c r="N553" i="7"/>
  <c r="N552" i="7"/>
  <c r="N551" i="7"/>
  <c r="N550" i="7"/>
  <c r="N549" i="7"/>
  <c r="N548" i="7"/>
  <c r="N547" i="7"/>
  <c r="N546" i="7"/>
  <c r="N545" i="7"/>
  <c r="N544" i="7"/>
  <c r="N543" i="7"/>
  <c r="N542" i="7"/>
  <c r="N541" i="7"/>
  <c r="N540" i="7"/>
  <c r="N539" i="7"/>
  <c r="N538" i="7"/>
  <c r="N537" i="7"/>
  <c r="N536" i="7"/>
  <c r="N535" i="7"/>
  <c r="N534" i="7"/>
  <c r="N533" i="7"/>
  <c r="J221" i="1" s="1"/>
  <c r="K221" i="1" s="1"/>
  <c r="N532" i="7"/>
  <c r="N531" i="7"/>
  <c r="N530" i="7"/>
  <c r="J209" i="1" s="1"/>
  <c r="K209" i="1" s="1"/>
  <c r="N529" i="7"/>
  <c r="N528" i="7"/>
  <c r="N527" i="7"/>
  <c r="N526" i="7"/>
  <c r="N525" i="7"/>
  <c r="N524" i="7"/>
  <c r="N523" i="7"/>
  <c r="N522" i="7"/>
  <c r="N521" i="7"/>
  <c r="N520" i="7"/>
  <c r="N519" i="7"/>
  <c r="N518" i="7"/>
  <c r="N517" i="7"/>
  <c r="N516" i="7"/>
  <c r="N515" i="7"/>
  <c r="N514" i="7"/>
  <c r="N513" i="7"/>
  <c r="N512" i="7"/>
  <c r="N511" i="7"/>
  <c r="N510" i="7"/>
  <c r="N509" i="7"/>
  <c r="N508" i="7"/>
  <c r="N507" i="7"/>
  <c r="N506" i="7"/>
  <c r="N505" i="7"/>
  <c r="N504" i="7"/>
  <c r="N503" i="7"/>
  <c r="N502" i="7"/>
  <c r="N501" i="7"/>
  <c r="N500" i="7"/>
  <c r="N499" i="7"/>
  <c r="N498" i="7"/>
  <c r="N497" i="7"/>
  <c r="N496" i="7"/>
  <c r="N495" i="7"/>
  <c r="N494" i="7"/>
  <c r="N493" i="7"/>
  <c r="N492" i="7"/>
  <c r="N491" i="7"/>
  <c r="N490" i="7"/>
  <c r="N489" i="7"/>
  <c r="N488" i="7"/>
  <c r="N487" i="7"/>
  <c r="N486" i="7"/>
  <c r="N485" i="7"/>
  <c r="N484" i="7"/>
  <c r="N483" i="7"/>
  <c r="N482" i="7"/>
  <c r="N481" i="7"/>
  <c r="N480" i="7"/>
  <c r="N479" i="7"/>
  <c r="N478" i="7"/>
  <c r="N477" i="7"/>
  <c r="N476" i="7"/>
  <c r="N475" i="7"/>
  <c r="N474" i="7"/>
  <c r="N473" i="7"/>
  <c r="N472" i="7"/>
  <c r="N471" i="7"/>
  <c r="N470" i="7"/>
  <c r="N469" i="7"/>
  <c r="N468" i="7"/>
  <c r="N467" i="7"/>
  <c r="N466" i="7"/>
  <c r="N465" i="7"/>
  <c r="N464" i="7"/>
  <c r="N463" i="7"/>
  <c r="N462" i="7"/>
  <c r="N461" i="7"/>
  <c r="N460" i="7"/>
  <c r="N459" i="7"/>
  <c r="N458" i="7"/>
  <c r="N457" i="7"/>
  <c r="N456" i="7"/>
  <c r="N455" i="7"/>
  <c r="N454" i="7"/>
  <c r="N453" i="7"/>
  <c r="N452" i="7"/>
  <c r="N451" i="7"/>
  <c r="N450" i="7"/>
  <c r="N449" i="7"/>
  <c r="N448" i="7"/>
  <c r="N447" i="7"/>
  <c r="N446" i="7"/>
  <c r="N445" i="7"/>
  <c r="N444" i="7"/>
  <c r="N443" i="7"/>
  <c r="N442" i="7"/>
  <c r="N441" i="7"/>
  <c r="N440" i="7"/>
  <c r="N439" i="7"/>
  <c r="N438" i="7"/>
  <c r="N437" i="7"/>
  <c r="N436" i="7"/>
  <c r="N435" i="7"/>
  <c r="N434" i="7"/>
  <c r="N433" i="7"/>
  <c r="N432" i="7"/>
  <c r="N431" i="7"/>
  <c r="N430" i="7"/>
  <c r="N429" i="7"/>
  <c r="N428" i="7"/>
  <c r="N427" i="7"/>
  <c r="N426" i="7"/>
  <c r="N425" i="7"/>
  <c r="N424" i="7"/>
  <c r="N423" i="7"/>
  <c r="N422" i="7"/>
  <c r="N421" i="7"/>
  <c r="N420" i="7"/>
  <c r="N419" i="7"/>
  <c r="N418" i="7"/>
  <c r="N417" i="7"/>
  <c r="N416" i="7"/>
  <c r="N415" i="7"/>
  <c r="N414" i="7"/>
  <c r="N413" i="7"/>
  <c r="N412" i="7"/>
  <c r="N411" i="7"/>
  <c r="N410" i="7"/>
  <c r="N409" i="7"/>
  <c r="N408" i="7"/>
  <c r="N407" i="7"/>
  <c r="N406" i="7"/>
  <c r="N405" i="7"/>
  <c r="N404" i="7"/>
  <c r="N403" i="7"/>
  <c r="N402" i="7"/>
  <c r="N401" i="7"/>
  <c r="N400" i="7"/>
  <c r="N399" i="7"/>
  <c r="N398" i="7"/>
  <c r="N397" i="7"/>
  <c r="N396" i="7"/>
  <c r="N395" i="7"/>
  <c r="N394" i="7"/>
  <c r="N393" i="7"/>
  <c r="N392" i="7"/>
  <c r="N391" i="7"/>
  <c r="N390" i="7"/>
  <c r="N389" i="7"/>
  <c r="N388" i="7"/>
  <c r="N387" i="7"/>
  <c r="N386" i="7"/>
  <c r="N385" i="7"/>
  <c r="N384" i="7"/>
  <c r="N383" i="7"/>
  <c r="N382" i="7"/>
  <c r="N381" i="7"/>
  <c r="N380" i="7"/>
  <c r="N379" i="7"/>
  <c r="N378" i="7"/>
  <c r="N377" i="7"/>
  <c r="N376" i="7"/>
  <c r="N375" i="7"/>
  <c r="N374" i="7"/>
  <c r="N373" i="7"/>
  <c r="N372" i="7"/>
  <c r="N371" i="7"/>
  <c r="N370" i="7"/>
  <c r="N369" i="7"/>
  <c r="N368" i="7"/>
  <c r="N367" i="7"/>
  <c r="N366" i="7"/>
  <c r="N365" i="7"/>
  <c r="N364" i="7"/>
  <c r="N363" i="7"/>
  <c r="N362" i="7"/>
  <c r="N361" i="7"/>
  <c r="N360" i="7"/>
  <c r="N359" i="7"/>
  <c r="N358" i="7"/>
  <c r="N357" i="7"/>
  <c r="N356" i="7"/>
  <c r="N355" i="7"/>
  <c r="N354" i="7"/>
  <c r="N353" i="7"/>
  <c r="N352" i="7"/>
  <c r="N351" i="7"/>
  <c r="N350" i="7"/>
  <c r="N349" i="7"/>
  <c r="N348" i="7"/>
  <c r="N347" i="7"/>
  <c r="N346" i="7"/>
  <c r="N345" i="7"/>
  <c r="N344" i="7"/>
  <c r="N343" i="7"/>
  <c r="N342" i="7"/>
  <c r="N341" i="7"/>
  <c r="N340" i="7"/>
  <c r="N339" i="7"/>
  <c r="N338" i="7"/>
  <c r="N337" i="7"/>
  <c r="N336" i="7"/>
  <c r="N335" i="7"/>
  <c r="N334" i="7"/>
  <c r="N333" i="7"/>
  <c r="N332" i="7"/>
  <c r="N331" i="7"/>
  <c r="N330" i="7"/>
  <c r="N329" i="7"/>
  <c r="N328" i="7"/>
  <c r="N327" i="7"/>
  <c r="N326" i="7"/>
  <c r="N325" i="7"/>
  <c r="N324" i="7"/>
  <c r="N323" i="7"/>
  <c r="N322" i="7"/>
  <c r="N321" i="7"/>
  <c r="N320" i="7"/>
  <c r="N319" i="7"/>
  <c r="N318" i="7"/>
  <c r="N317" i="7"/>
  <c r="N316" i="7"/>
  <c r="N315" i="7"/>
  <c r="N314" i="7"/>
  <c r="N313" i="7"/>
  <c r="N312" i="7"/>
  <c r="N311" i="7"/>
  <c r="N310" i="7"/>
  <c r="N309" i="7"/>
  <c r="N308" i="7"/>
  <c r="N307" i="7"/>
  <c r="N306" i="7"/>
  <c r="N305" i="7"/>
  <c r="N304" i="7"/>
  <c r="N303" i="7"/>
  <c r="N302" i="7"/>
  <c r="N301" i="7"/>
  <c r="N300" i="7"/>
  <c r="N299" i="7"/>
  <c r="N298" i="7"/>
  <c r="N297" i="7"/>
  <c r="N296" i="7"/>
  <c r="N295" i="7"/>
  <c r="N294" i="7"/>
  <c r="N293" i="7"/>
  <c r="N292" i="7"/>
  <c r="N291" i="7"/>
  <c r="N290" i="7"/>
  <c r="N289" i="7"/>
  <c r="N288" i="7"/>
  <c r="N287" i="7"/>
  <c r="N286" i="7"/>
  <c r="N285" i="7"/>
  <c r="N284" i="7"/>
  <c r="N283" i="7"/>
  <c r="N282" i="7"/>
  <c r="N281" i="7"/>
  <c r="N280" i="7"/>
  <c r="N279" i="7"/>
  <c r="N278" i="7"/>
  <c r="N277" i="7"/>
  <c r="N276" i="7"/>
  <c r="N275" i="7"/>
  <c r="N274" i="7"/>
  <c r="N273" i="7"/>
  <c r="N272" i="7"/>
  <c r="N271" i="7"/>
  <c r="N270" i="7"/>
  <c r="N269" i="7"/>
  <c r="N268" i="7"/>
  <c r="N267" i="7"/>
  <c r="N266" i="7"/>
  <c r="N265" i="7"/>
  <c r="N264" i="7"/>
  <c r="N263" i="7"/>
  <c r="N262" i="7"/>
  <c r="N261" i="7"/>
  <c r="N260" i="7"/>
  <c r="N259" i="7"/>
  <c r="N258" i="7"/>
  <c r="N257" i="7"/>
  <c r="N256" i="7"/>
  <c r="N255" i="7"/>
  <c r="N254" i="7"/>
  <c r="N253" i="7"/>
  <c r="N252" i="7"/>
  <c r="N251" i="7"/>
  <c r="N250" i="7"/>
  <c r="N249" i="7"/>
  <c r="N248" i="7"/>
  <c r="N247" i="7"/>
  <c r="N246" i="7"/>
  <c r="N245" i="7"/>
  <c r="N244" i="7"/>
  <c r="N243" i="7"/>
  <c r="N242" i="7"/>
  <c r="N241" i="7"/>
  <c r="N240" i="7"/>
  <c r="N239" i="7"/>
  <c r="N238" i="7"/>
  <c r="N237" i="7"/>
  <c r="N236" i="7"/>
  <c r="N235" i="7"/>
  <c r="N234" i="7"/>
  <c r="N233" i="7"/>
  <c r="N232" i="7"/>
  <c r="N231" i="7"/>
  <c r="N230" i="7"/>
  <c r="N229" i="7"/>
  <c r="N228" i="7"/>
  <c r="N227" i="7"/>
  <c r="N226" i="7"/>
  <c r="N225" i="7"/>
  <c r="N224" i="7"/>
  <c r="N223" i="7"/>
  <c r="N222" i="7"/>
  <c r="N221" i="7"/>
  <c r="N220" i="7"/>
  <c r="N219" i="7"/>
  <c r="N218" i="7"/>
  <c r="N217" i="7"/>
  <c r="N216" i="7"/>
  <c r="N215" i="7"/>
  <c r="N214" i="7"/>
  <c r="N213" i="7"/>
  <c r="N212" i="7"/>
  <c r="N211" i="7"/>
  <c r="N210" i="7"/>
  <c r="N209" i="7"/>
  <c r="N208" i="7"/>
  <c r="N207" i="7"/>
  <c r="N206" i="7"/>
  <c r="N205" i="7"/>
  <c r="N204" i="7"/>
  <c r="N203" i="7"/>
  <c r="N202" i="7"/>
  <c r="N201" i="7"/>
  <c r="N200" i="7"/>
  <c r="N199" i="7"/>
  <c r="N198" i="7"/>
  <c r="N197" i="7"/>
  <c r="N196" i="7"/>
  <c r="N195" i="7"/>
  <c r="N194" i="7"/>
  <c r="N193" i="7"/>
  <c r="N192" i="7"/>
  <c r="N191" i="7"/>
  <c r="N190" i="7"/>
  <c r="N189" i="7"/>
  <c r="N188" i="7"/>
  <c r="N187" i="7"/>
  <c r="N186" i="7"/>
  <c r="N185" i="7"/>
  <c r="N184" i="7"/>
  <c r="N183" i="7"/>
  <c r="N182" i="7"/>
  <c r="N181" i="7"/>
  <c r="N180" i="7"/>
  <c r="N179" i="7"/>
  <c r="N178" i="7"/>
  <c r="N177" i="7"/>
  <c r="N176" i="7"/>
  <c r="N175" i="7"/>
  <c r="N174" i="7"/>
  <c r="N173" i="7"/>
  <c r="N172" i="7"/>
  <c r="N171" i="7"/>
  <c r="N170" i="7"/>
  <c r="N169" i="7"/>
  <c r="N168" i="7"/>
  <c r="N167" i="7"/>
  <c r="N166" i="7"/>
  <c r="N165" i="7"/>
  <c r="N164" i="7"/>
  <c r="N163" i="7"/>
  <c r="N162" i="7"/>
  <c r="N161" i="7"/>
  <c r="N160" i="7"/>
  <c r="N159" i="7"/>
  <c r="N158" i="7"/>
  <c r="N157" i="7"/>
  <c r="N156" i="7"/>
  <c r="N155" i="7"/>
  <c r="N154" i="7"/>
  <c r="N153" i="7"/>
  <c r="N152" i="7"/>
  <c r="N151" i="7"/>
  <c r="N150" i="7"/>
  <c r="N149" i="7"/>
  <c r="N148" i="7"/>
  <c r="N147" i="7"/>
  <c r="N146" i="7"/>
  <c r="N145" i="7"/>
  <c r="N144" i="7"/>
  <c r="N143" i="7"/>
  <c r="N142" i="7"/>
  <c r="N141" i="7"/>
  <c r="N140" i="7"/>
  <c r="N139" i="7"/>
  <c r="N138" i="7"/>
  <c r="N137" i="7"/>
  <c r="N136" i="7"/>
  <c r="N135" i="7"/>
  <c r="N134" i="7"/>
  <c r="N133" i="7"/>
  <c r="N132" i="7"/>
  <c r="N131" i="7"/>
  <c r="N130" i="7"/>
  <c r="N129" i="7"/>
  <c r="N128" i="7"/>
  <c r="N127" i="7"/>
  <c r="N126" i="7"/>
  <c r="N125" i="7"/>
  <c r="N124" i="7"/>
  <c r="N123" i="7"/>
  <c r="N122" i="7"/>
  <c r="N121" i="7"/>
  <c r="N120" i="7"/>
  <c r="N119" i="7"/>
  <c r="N118" i="7"/>
  <c r="N117" i="7"/>
  <c r="N116" i="7"/>
  <c r="N115" i="7"/>
  <c r="N114" i="7"/>
  <c r="N113" i="7"/>
  <c r="N112"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3" i="7"/>
  <c r="N72" i="7"/>
  <c r="N71" i="7"/>
  <c r="N70" i="7"/>
  <c r="N69" i="7"/>
  <c r="N68" i="7"/>
  <c r="N67" i="7"/>
  <c r="N66" i="7"/>
  <c r="N65" i="7"/>
  <c r="N64" i="7"/>
  <c r="N63" i="7"/>
  <c r="N62" i="7"/>
  <c r="N61" i="7"/>
  <c r="N60" i="7"/>
  <c r="N59" i="7"/>
  <c r="N58" i="7"/>
  <c r="N57" i="7"/>
  <c r="N56" i="7"/>
  <c r="N55" i="7"/>
  <c r="N54" i="7"/>
  <c r="N53" i="7"/>
  <c r="N52" i="7"/>
  <c r="N51" i="7"/>
  <c r="N50" i="7"/>
  <c r="N49" i="7"/>
  <c r="N48" i="7"/>
  <c r="N47" i="7"/>
  <c r="N46" i="7"/>
  <c r="N45" i="7"/>
  <c r="N44" i="7"/>
  <c r="N43" i="7"/>
  <c r="N42" i="7"/>
  <c r="N41" i="7"/>
  <c r="N40" i="7"/>
  <c r="N39" i="7"/>
  <c r="N38" i="7"/>
  <c r="N37" i="7"/>
  <c r="N36" i="7"/>
  <c r="N35" i="7"/>
  <c r="N34" i="7"/>
  <c r="N33" i="7"/>
  <c r="N32" i="7"/>
  <c r="N31" i="7"/>
  <c r="N30" i="7"/>
  <c r="N29" i="7"/>
  <c r="N28" i="7"/>
  <c r="N27" i="7"/>
  <c r="N26" i="7"/>
  <c r="N25" i="7"/>
  <c r="N24" i="7"/>
  <c r="N23" i="7"/>
  <c r="N22" i="7"/>
  <c r="N21" i="7"/>
  <c r="N20" i="7"/>
  <c r="N19" i="7"/>
  <c r="N18" i="7"/>
  <c r="N17" i="7"/>
  <c r="N16" i="7"/>
  <c r="N15" i="7"/>
  <c r="N14" i="7"/>
  <c r="N13" i="7"/>
  <c r="N12" i="7"/>
  <c r="N11" i="7"/>
  <c r="N10" i="7"/>
  <c r="N9" i="7"/>
  <c r="N8" i="7"/>
  <c r="N7" i="7"/>
  <c r="N6" i="7"/>
  <c r="N5" i="7"/>
  <c r="N4" i="7"/>
  <c r="N3" i="7"/>
  <c r="N2" i="7"/>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J192" i="1"/>
  <c r="K192" i="1" s="1"/>
  <c r="J193" i="1"/>
  <c r="K193" i="1" s="1"/>
  <c r="J194" i="1"/>
  <c r="K194" i="1" s="1"/>
  <c r="J195" i="1"/>
  <c r="K195" i="1" s="1"/>
  <c r="J196" i="1"/>
  <c r="K196" i="1" s="1"/>
  <c r="J197" i="1"/>
  <c r="K197" i="1" s="1"/>
  <c r="J198" i="1"/>
  <c r="K198" i="1" s="1"/>
  <c r="J199" i="1"/>
  <c r="K199" i="1" s="1"/>
  <c r="J200" i="1"/>
  <c r="J201" i="1"/>
  <c r="K201" i="1" s="1"/>
  <c r="J202" i="1"/>
  <c r="K202" i="1" s="1"/>
  <c r="J203" i="1"/>
  <c r="K203" i="1" s="1"/>
  <c r="J204" i="1"/>
  <c r="K204" i="1" s="1"/>
  <c r="J205" i="1"/>
  <c r="K205" i="1" s="1"/>
  <c r="J206" i="1"/>
  <c r="K206" i="1" s="1"/>
  <c r="J207" i="1"/>
  <c r="K207" i="1" s="1"/>
  <c r="J208" i="1"/>
  <c r="K208"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2" i="1"/>
  <c r="K222" i="1" s="1"/>
  <c r="J223" i="1"/>
  <c r="K223" i="1" s="1"/>
  <c r="K200" i="1"/>
  <c r="C182" i="1" l="1"/>
  <c r="C183" i="1"/>
  <c r="C184" i="1"/>
  <c r="C185" i="1"/>
  <c r="C186" i="1"/>
  <c r="C187" i="1"/>
  <c r="C188" i="1"/>
  <c r="C189" i="1"/>
  <c r="C190" i="1"/>
  <c r="C191" i="1"/>
  <c r="J182" i="1"/>
  <c r="K182" i="1" s="1"/>
  <c r="J183" i="1"/>
  <c r="K183" i="1" s="1"/>
  <c r="J184" i="1"/>
  <c r="K184" i="1" s="1"/>
  <c r="J185" i="1"/>
  <c r="K185" i="1" s="1"/>
  <c r="J186" i="1"/>
  <c r="K186" i="1" s="1"/>
  <c r="J187" i="1"/>
  <c r="K187" i="1" s="1"/>
  <c r="J188" i="1"/>
  <c r="K188" i="1" s="1"/>
  <c r="J189" i="1"/>
  <c r="K189" i="1" s="1"/>
  <c r="J190" i="1"/>
  <c r="K190" i="1" s="1"/>
  <c r="J191" i="1"/>
  <c r="K191" i="1" s="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J126" i="1"/>
  <c r="K126" i="1" s="1"/>
  <c r="J127" i="1"/>
  <c r="K127" i="1" s="1"/>
  <c r="J128" i="1"/>
  <c r="K128" i="1" s="1"/>
  <c r="J129" i="1"/>
  <c r="K129" i="1" s="1"/>
  <c r="J130" i="1"/>
  <c r="K130" i="1" s="1"/>
  <c r="J131" i="1"/>
  <c r="K131" i="1" s="1"/>
  <c r="J132" i="1"/>
  <c r="K132" i="1" s="1"/>
  <c r="J133" i="1"/>
  <c r="K133" i="1" s="1"/>
  <c r="J134" i="1"/>
  <c r="J135" i="1"/>
  <c r="J136" i="1"/>
  <c r="K136" i="1" s="1"/>
  <c r="J137" i="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K134" i="1"/>
  <c r="K135" i="1"/>
  <c r="K137" i="1"/>
  <c r="C121" i="1" l="1"/>
  <c r="C122" i="1"/>
  <c r="C123" i="1"/>
  <c r="C124" i="1"/>
  <c r="C125" i="1"/>
  <c r="J121" i="1"/>
  <c r="K121" i="1" s="1"/>
  <c r="J122" i="1"/>
  <c r="K122" i="1" s="1"/>
  <c r="J123" i="1"/>
  <c r="K123" i="1" s="1"/>
  <c r="J124" i="1"/>
  <c r="K124" i="1" s="1"/>
  <c r="J125" i="1"/>
  <c r="K125" i="1" s="1"/>
  <c r="C98" i="1"/>
  <c r="C99" i="1"/>
  <c r="C100" i="1"/>
  <c r="C101" i="1"/>
  <c r="C102" i="1"/>
  <c r="C103" i="1"/>
  <c r="C104" i="1"/>
  <c r="C105" i="1"/>
  <c r="C106" i="1"/>
  <c r="C107" i="1"/>
  <c r="C108" i="1"/>
  <c r="C109" i="1"/>
  <c r="C110" i="1"/>
  <c r="C111" i="1"/>
  <c r="C112" i="1"/>
  <c r="C113" i="1"/>
  <c r="C114" i="1"/>
  <c r="C115" i="1"/>
  <c r="C116" i="1"/>
  <c r="C117" i="1"/>
  <c r="C118" i="1"/>
  <c r="C119" i="1"/>
  <c r="C120" i="1"/>
  <c r="J98" i="1"/>
  <c r="K98" i="1" s="1"/>
  <c r="J99" i="1"/>
  <c r="K99" i="1" s="1"/>
  <c r="J100" i="1"/>
  <c r="K100" i="1" s="1"/>
  <c r="J101" i="1"/>
  <c r="K101" i="1" s="1"/>
  <c r="J102" i="1"/>
  <c r="K102" i="1" s="1"/>
  <c r="J103" i="1"/>
  <c r="K103" i="1" s="1"/>
  <c r="J104" i="1"/>
  <c r="J105" i="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K104" i="1"/>
  <c r="K105" i="1"/>
  <c r="C43" i="1" l="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J61" i="1"/>
  <c r="J62" i="1"/>
  <c r="K62" i="1" s="1"/>
  <c r="J63" i="1"/>
  <c r="K63" i="1" s="1"/>
  <c r="J64" i="1"/>
  <c r="K64" i="1" s="1"/>
  <c r="J65" i="1"/>
  <c r="K65" i="1" s="1"/>
  <c r="J66" i="1"/>
  <c r="K66" i="1" s="1"/>
  <c r="J67" i="1"/>
  <c r="K67" i="1" s="1"/>
  <c r="J68" i="1"/>
  <c r="K68" i="1" s="1"/>
  <c r="J69" i="1"/>
  <c r="K69" i="1" s="1"/>
  <c r="J70" i="1"/>
  <c r="K70" i="1" s="1"/>
  <c r="J71" i="1"/>
  <c r="K71" i="1" s="1"/>
  <c r="J72" i="1"/>
  <c r="J73" i="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K60" i="1"/>
  <c r="K61" i="1"/>
  <c r="K72" i="1"/>
  <c r="K73" i="1"/>
  <c r="C32" i="1"/>
  <c r="C33" i="1"/>
  <c r="C34" i="1"/>
  <c r="C35" i="1"/>
  <c r="C36" i="1"/>
  <c r="C37" i="1"/>
  <c r="C38" i="1"/>
  <c r="C39" i="1"/>
  <c r="C40" i="1"/>
  <c r="C41" i="1"/>
  <c r="C42" i="1"/>
  <c r="J32" i="1"/>
  <c r="K32" i="1" s="1"/>
  <c r="J33" i="1"/>
  <c r="K33" i="1" s="1"/>
  <c r="J34" i="1"/>
  <c r="K34" i="1" s="1"/>
  <c r="J35" i="1"/>
  <c r="K35" i="1" s="1"/>
  <c r="J36" i="1"/>
  <c r="K36" i="1" s="1"/>
  <c r="J37" i="1"/>
  <c r="K37" i="1" s="1"/>
  <c r="J38" i="1"/>
  <c r="K38" i="1" s="1"/>
  <c r="J39" i="1"/>
  <c r="K39" i="1" s="1"/>
  <c r="J40" i="1"/>
  <c r="K40" i="1" s="1"/>
  <c r="J41" i="1"/>
  <c r="K41" i="1" s="1"/>
  <c r="J42" i="1"/>
  <c r="K42" i="1" s="1"/>
  <c r="C21" i="1" l="1"/>
  <c r="C22" i="1"/>
  <c r="C23" i="1"/>
  <c r="C24" i="1"/>
  <c r="C25" i="1"/>
  <c r="C26" i="1"/>
  <c r="C27" i="1"/>
  <c r="C28" i="1"/>
  <c r="C29" i="1"/>
  <c r="C30" i="1"/>
  <c r="C31" i="1"/>
  <c r="J21" i="1"/>
  <c r="K21" i="1" s="1"/>
  <c r="J22" i="1"/>
  <c r="K22" i="1" s="1"/>
  <c r="J23" i="1"/>
  <c r="K23" i="1" s="1"/>
  <c r="J24" i="1"/>
  <c r="K24" i="1" s="1"/>
  <c r="J25" i="1"/>
  <c r="K25" i="1" s="1"/>
  <c r="J26" i="1"/>
  <c r="K26" i="1" s="1"/>
  <c r="J27" i="1"/>
  <c r="K27" i="1" s="1"/>
  <c r="J28" i="1"/>
  <c r="K28" i="1" s="1"/>
  <c r="J29" i="1"/>
  <c r="K29" i="1" s="1"/>
  <c r="J30" i="1"/>
  <c r="K30" i="1" s="1"/>
  <c r="J31" i="1"/>
  <c r="K31" i="1" s="1"/>
  <c r="C14" i="1"/>
  <c r="C15" i="1"/>
  <c r="C16" i="1"/>
  <c r="C17" i="1"/>
  <c r="C18" i="1"/>
  <c r="C19" i="1"/>
  <c r="C20" i="1"/>
  <c r="J14" i="1"/>
  <c r="K14" i="1" s="1"/>
  <c r="J15" i="1"/>
  <c r="K15" i="1" s="1"/>
  <c r="J16" i="1"/>
  <c r="K16" i="1" s="1"/>
  <c r="J17" i="1"/>
  <c r="K17" i="1" s="1"/>
  <c r="J18" i="1"/>
  <c r="K18" i="1" s="1"/>
  <c r="J19" i="1"/>
  <c r="K19" i="1" s="1"/>
  <c r="J20" i="1"/>
  <c r="K20" i="1" s="1"/>
  <c r="C13" i="1"/>
  <c r="J13" i="1"/>
  <c r="K13" i="1" s="1"/>
  <c r="C4" i="1"/>
  <c r="C5" i="1"/>
  <c r="C6" i="1"/>
  <c r="C7" i="1"/>
  <c r="C8" i="1"/>
  <c r="C9" i="1"/>
  <c r="C10" i="1"/>
  <c r="C11" i="1"/>
  <c r="C12" i="1"/>
  <c r="J4" i="1"/>
  <c r="K4" i="1" s="1"/>
  <c r="J5" i="1"/>
  <c r="K5" i="1" s="1"/>
  <c r="J6" i="1"/>
  <c r="K6" i="1" s="1"/>
  <c r="J7" i="1"/>
  <c r="K7" i="1" s="1"/>
  <c r="J8" i="1"/>
  <c r="K8" i="1" s="1"/>
  <c r="J9" i="1"/>
  <c r="K9" i="1" s="1"/>
  <c r="J10" i="1"/>
  <c r="K10" i="1" s="1"/>
  <c r="J11" i="1"/>
  <c r="K11" i="1" s="1"/>
  <c r="J12" i="1"/>
  <c r="K12" i="1" s="1"/>
  <c r="H46" i="8"/>
  <c r="H47" i="8" s="1"/>
  <c r="H42" i="8"/>
  <c r="H44" i="8" s="1"/>
  <c r="H10" i="8"/>
  <c r="H8" i="8"/>
  <c r="H6" i="8"/>
  <c r="H3" i="8"/>
  <c r="E6" i="8"/>
  <c r="H43" i="8" l="1"/>
  <c r="AG15" i="3"/>
  <c r="G46" i="8" l="1"/>
  <c r="G47" i="8" s="1"/>
  <c r="F46" i="8"/>
  <c r="F47" i="8" s="1"/>
  <c r="G3" i="8"/>
  <c r="F3" i="8"/>
  <c r="E3" i="8"/>
  <c r="D3" i="8"/>
  <c r="D42" i="8"/>
  <c r="E42" i="8"/>
  <c r="F42" i="8"/>
  <c r="G42" i="8"/>
  <c r="C42" i="8"/>
  <c r="G10" i="8"/>
  <c r="F10" i="8"/>
  <c r="E10" i="8"/>
  <c r="D10" i="8"/>
  <c r="G8" i="8"/>
  <c r="F8" i="8"/>
  <c r="E8" i="8"/>
  <c r="D8" i="8"/>
  <c r="F6" i="8"/>
  <c r="G6" i="8"/>
  <c r="D6" i="8"/>
  <c r="E44" i="8" l="1"/>
  <c r="E43" i="8" s="1"/>
  <c r="F44" i="8"/>
  <c r="F43" i="8" s="1"/>
  <c r="G44" i="8"/>
  <c r="G43" i="8" s="1"/>
  <c r="AH15" i="3"/>
  <c r="T4" i="1" l="1"/>
  <c r="S4" i="1" s="1"/>
  <c r="AA6" i="1"/>
  <c r="AA3" i="1"/>
  <c r="J3" i="1" l="1"/>
  <c r="K3" i="1" s="1"/>
  <c r="AV2" i="3"/>
  <c r="AO9" i="3"/>
  <c r="AO8" i="3"/>
  <c r="AG4" i="3"/>
  <c r="O3" i="3"/>
  <c r="AH4" i="3" l="1"/>
  <c r="AL5" i="3"/>
  <c r="AA4" i="3" l="1"/>
  <c r="AA5" i="3"/>
  <c r="AA6" i="3"/>
  <c r="AA7" i="3"/>
  <c r="AA8" i="3"/>
  <c r="AA9" i="3"/>
  <c r="AA10" i="3"/>
  <c r="AA11" i="3"/>
  <c r="AA12" i="3"/>
  <c r="AA13" i="3"/>
  <c r="AA14" i="3"/>
  <c r="AA3" i="3"/>
  <c r="AU2" i="3" l="1"/>
  <c r="AW2" i="3" s="1"/>
  <c r="AG5" i="3" l="1"/>
  <c r="AK5" i="3"/>
  <c r="AO5" i="3"/>
  <c r="AG6" i="3"/>
  <c r="AK6" i="3"/>
  <c r="AO6" i="3"/>
  <c r="AG7" i="3"/>
  <c r="AK7" i="3"/>
  <c r="AO7" i="3"/>
  <c r="AG8" i="3"/>
  <c r="AH8" i="3"/>
  <c r="AK8" i="3"/>
  <c r="AL8" i="3"/>
  <c r="AP8" i="3"/>
  <c r="AG9" i="3"/>
  <c r="AH9" i="3"/>
  <c r="AK9" i="3"/>
  <c r="AL9" i="3"/>
  <c r="AP9" i="3"/>
  <c r="AQ9" i="3" s="1"/>
  <c r="AG10" i="3"/>
  <c r="AH10" i="3"/>
  <c r="AK10" i="3"/>
  <c r="AL10" i="3"/>
  <c r="AO10" i="3"/>
  <c r="AP10" i="3"/>
  <c r="AG11" i="3"/>
  <c r="AH11" i="3"/>
  <c r="AK11" i="3"/>
  <c r="AL11" i="3"/>
  <c r="AO11" i="3"/>
  <c r="AP11" i="3"/>
  <c r="AG12" i="3"/>
  <c r="AH12" i="3"/>
  <c r="AK12" i="3"/>
  <c r="AL12" i="3"/>
  <c r="AO12" i="3"/>
  <c r="AP12" i="3"/>
  <c r="AG13" i="3"/>
  <c r="AH13" i="3"/>
  <c r="AK13" i="3"/>
  <c r="AL13" i="3"/>
  <c r="AO13" i="3"/>
  <c r="AP13" i="3"/>
  <c r="AG14" i="3"/>
  <c r="AH14" i="3"/>
  <c r="AK14" i="3"/>
  <c r="AL14" i="3"/>
  <c r="AO14" i="3"/>
  <c r="AP14" i="3"/>
  <c r="AK15" i="3"/>
  <c r="AL15" i="3"/>
  <c r="AO15" i="3"/>
  <c r="AP15" i="3"/>
  <c r="AO4" i="3"/>
  <c r="AK4" i="3"/>
  <c r="AV3" i="3"/>
  <c r="AV4" i="3"/>
  <c r="AB4" i="3"/>
  <c r="AC4" i="3"/>
  <c r="AB5" i="3"/>
  <c r="AC5" i="3"/>
  <c r="AB6" i="3"/>
  <c r="AC6" i="3"/>
  <c r="AB7" i="3"/>
  <c r="AC7" i="3"/>
  <c r="AB8" i="3"/>
  <c r="AC8" i="3"/>
  <c r="AB9" i="3"/>
  <c r="AC9" i="3"/>
  <c r="AB10" i="3"/>
  <c r="AC10" i="3"/>
  <c r="AB11" i="3"/>
  <c r="AC11" i="3"/>
  <c r="AB12" i="3"/>
  <c r="AC12" i="3"/>
  <c r="AB13" i="3"/>
  <c r="AC13" i="3"/>
  <c r="AB14" i="3"/>
  <c r="AC14" i="3"/>
  <c r="AC3" i="3"/>
  <c r="AB3" i="3"/>
  <c r="AP7" i="3" l="1"/>
  <c r="AQ7" i="3" s="1"/>
  <c r="AL7" i="3"/>
  <c r="AM7" i="3" s="1"/>
  <c r="AH7" i="3"/>
  <c r="AI7" i="3" s="1"/>
  <c r="AQ15" i="3"/>
  <c r="AQ13" i="3"/>
  <c r="AQ11" i="3"/>
  <c r="AJ15" i="3"/>
  <c r="AJ9" i="3"/>
  <c r="AQ14" i="3"/>
  <c r="AQ12" i="3"/>
  <c r="AQ10" i="3"/>
  <c r="AQ8" i="3"/>
  <c r="AM15" i="3"/>
  <c r="AM13" i="3"/>
  <c r="AM11" i="3"/>
  <c r="AM9" i="3"/>
  <c r="AM14" i="3"/>
  <c r="AM12" i="3"/>
  <c r="AM10" i="3"/>
  <c r="AM8" i="3"/>
  <c r="AI14" i="3"/>
  <c r="AI12" i="3"/>
  <c r="AI10" i="3"/>
  <c r="AI8" i="3"/>
  <c r="AI15" i="3"/>
  <c r="AI13" i="3"/>
  <c r="AI11" i="3"/>
  <c r="AI9" i="3"/>
  <c r="AN9" i="3"/>
  <c r="AJ13" i="3"/>
  <c r="AJ11" i="3"/>
  <c r="AJ14" i="3"/>
  <c r="AJ12" i="3"/>
  <c r="AJ10" i="3"/>
  <c r="AJ8" i="3"/>
  <c r="AR15" i="3"/>
  <c r="AN15" i="3"/>
  <c r="AN14" i="3"/>
  <c r="AR14" i="3"/>
  <c r="AR12" i="3"/>
  <c r="AR10" i="3"/>
  <c r="AR8" i="3"/>
  <c r="AN12" i="3"/>
  <c r="AN10" i="3"/>
  <c r="AN8" i="3"/>
  <c r="AR13" i="3"/>
  <c r="AR11" i="3"/>
  <c r="AR9" i="3"/>
  <c r="AN13" i="3"/>
  <c r="AN11" i="3"/>
  <c r="AP6" i="3"/>
  <c r="AL6" i="3"/>
  <c r="AN6" i="3" s="1"/>
  <c r="AL4" i="3"/>
  <c r="AH6" i="3"/>
  <c r="AJ6" i="3" s="1"/>
  <c r="AP4" i="3"/>
  <c r="AP5" i="3"/>
  <c r="AN5" i="3"/>
  <c r="AH5" i="3"/>
  <c r="AJ5" i="3" s="1"/>
  <c r="AU4" i="3"/>
  <c r="AW4" i="3" s="1"/>
  <c r="AX4" i="3" s="1"/>
  <c r="AU3" i="3"/>
  <c r="AW3" i="3" s="1"/>
  <c r="AX3" i="3" s="1"/>
  <c r="V4" i="3"/>
  <c r="W4" i="3" s="1"/>
  <c r="X4" i="3" s="1"/>
  <c r="V5" i="3"/>
  <c r="W5" i="3" s="1"/>
  <c r="X5" i="3" s="1"/>
  <c r="V6" i="3"/>
  <c r="W6" i="3" s="1"/>
  <c r="X6" i="3" s="1"/>
  <c r="V7" i="3"/>
  <c r="W7" i="3" s="1"/>
  <c r="X7" i="3" s="1"/>
  <c r="V3" i="3"/>
  <c r="W3" i="3" s="1"/>
  <c r="X3" i="3" s="1"/>
  <c r="O4" i="3"/>
  <c r="P4" i="3" s="1"/>
  <c r="O5" i="3"/>
  <c r="P5" i="3" s="1"/>
  <c r="O6" i="3"/>
  <c r="P6" i="3" s="1"/>
  <c r="O7" i="3"/>
  <c r="P7" i="3" s="1"/>
  <c r="AR7" i="3" l="1"/>
  <c r="AN7" i="3"/>
  <c r="AJ7" i="3"/>
  <c r="AR6" i="3"/>
  <c r="AQ6" i="3"/>
  <c r="AR4" i="3"/>
  <c r="AQ4" i="3"/>
  <c r="AR5" i="3"/>
  <c r="AQ5" i="3"/>
  <c r="AN4" i="3"/>
  <c r="AM4" i="3"/>
  <c r="AM5" i="3"/>
  <c r="AM6" i="3"/>
  <c r="AJ4" i="3"/>
  <c r="AI4" i="3"/>
  <c r="AI5" i="3"/>
  <c r="AI6" i="3"/>
  <c r="AU5" i="3"/>
  <c r="P3" i="3"/>
  <c r="AX2" i="3" l="1"/>
  <c r="AW5" i="3"/>
  <c r="AA8" i="1"/>
  <c r="AA7" i="1"/>
  <c r="AB7" i="1"/>
  <c r="AB8" i="1"/>
  <c r="AB6" i="1"/>
  <c r="AA4" i="1"/>
  <c r="X5" i="1"/>
  <c r="W5" i="1" s="1"/>
  <c r="X6" i="1"/>
  <c r="W6" i="1" s="1"/>
  <c r="X7" i="1"/>
  <c r="W7" i="1" s="1"/>
  <c r="X8" i="1"/>
  <c r="W8" i="1" s="1"/>
  <c r="X4" i="1"/>
  <c r="W4" i="1" s="1"/>
  <c r="V4" i="1"/>
  <c r="V5" i="1"/>
  <c r="V6" i="1"/>
  <c r="U6" i="1" s="1"/>
  <c r="V7" i="1"/>
  <c r="U7" i="1" s="1"/>
  <c r="V8" i="1"/>
  <c r="T5" i="1"/>
  <c r="S5" i="1" s="1"/>
  <c r="T6" i="1"/>
  <c r="S6" i="1" s="1"/>
  <c r="T7" i="1"/>
  <c r="S7" i="1" s="1"/>
  <c r="T8" i="1"/>
  <c r="S8" i="1" s="1"/>
  <c r="U5" i="1" l="1"/>
  <c r="U8" i="1"/>
  <c r="U4" i="1"/>
  <c r="C3" i="1" l="1"/>
</calcChain>
</file>

<file path=xl/sharedStrings.xml><?xml version="1.0" encoding="utf-8"?>
<sst xmlns="http://schemas.openxmlformats.org/spreadsheetml/2006/main" count="23292" uniqueCount="8196">
  <si>
    <t>ID</t>
  </si>
  <si>
    <t>Month</t>
  </si>
  <si>
    <t>Dept</t>
  </si>
  <si>
    <t>Project No</t>
  </si>
  <si>
    <t>Paying</t>
  </si>
  <si>
    <t>Non-Paying</t>
  </si>
  <si>
    <t>Invoice Amount</t>
  </si>
  <si>
    <t>Invoice No</t>
  </si>
  <si>
    <t>Type</t>
  </si>
  <si>
    <t>Outstanding</t>
  </si>
  <si>
    <t>National Institute for Health Research</t>
  </si>
  <si>
    <t>NHS Blood &amp; Transplant</t>
  </si>
  <si>
    <t>UK Biobank</t>
  </si>
  <si>
    <t>Profiled</t>
  </si>
  <si>
    <t>Defence Science &amp; Technology Laboratory</t>
  </si>
  <si>
    <t>European Space Agency</t>
  </si>
  <si>
    <t>Oxford University Hospitals NHS Foundation Trust</t>
  </si>
  <si>
    <t>Celgene Corporation</t>
  </si>
  <si>
    <t>Milestone</t>
  </si>
  <si>
    <t>HNR02240</t>
  </si>
  <si>
    <t>Work</t>
  </si>
  <si>
    <t>University of Reading</t>
  </si>
  <si>
    <t>Alzheimer's Research UK</t>
  </si>
  <si>
    <t>Kennedy Trust for Rheumatology Research</t>
  </si>
  <si>
    <t>Versus Arthritis</t>
  </si>
  <si>
    <t>University of Liverpool</t>
  </si>
  <si>
    <t>University of Cambridge</t>
  </si>
  <si>
    <t>Wellcome Trust</t>
  </si>
  <si>
    <t>National Institutes of Health USA</t>
  </si>
  <si>
    <t>Lancaster University</t>
  </si>
  <si>
    <t>Natural Environment Research Council</t>
  </si>
  <si>
    <t>Engineering &amp; Physical Sciences Research Council</t>
  </si>
  <si>
    <t>Alan Turing Institute</t>
  </si>
  <si>
    <t>Cardiff University</t>
  </si>
  <si>
    <t>University of Manchester</t>
  </si>
  <si>
    <t>Arts and Humanities Research Council</t>
  </si>
  <si>
    <t>Economic &amp; Social Research Council</t>
  </si>
  <si>
    <t>University College London</t>
  </si>
  <si>
    <t>University of Exeter</t>
  </si>
  <si>
    <t>Faraday Institution</t>
  </si>
  <si>
    <t>University of Bristol</t>
  </si>
  <si>
    <t>University of Leeds</t>
  </si>
  <si>
    <t>University of York</t>
  </si>
  <si>
    <t>Emory University</t>
  </si>
  <si>
    <t>Department of Health and Social Care</t>
  </si>
  <si>
    <t>Guarantors of Brain</t>
  </si>
  <si>
    <t>University of Dundee</t>
  </si>
  <si>
    <t>University of Sheffield</t>
  </si>
  <si>
    <t>Medical Research Council</t>
  </si>
  <si>
    <t>Novo Nordisk A/S</t>
  </si>
  <si>
    <t>AstraZeneca UK Ltd</t>
  </si>
  <si>
    <t>Turing Innovations Ltd</t>
  </si>
  <si>
    <t>University of Warwick</t>
  </si>
  <si>
    <t>Biotechnology &amp; Biological Sciences Research Council</t>
  </si>
  <si>
    <t>University of Birmingham</t>
  </si>
  <si>
    <t>Kings College London</t>
  </si>
  <si>
    <t>University of Pennsylvania</t>
  </si>
  <si>
    <t>Nuffield Foundation</t>
  </si>
  <si>
    <t>London School of Economics &amp; Political Science</t>
  </si>
  <si>
    <t>F Hoffmann-La Roche Ltd</t>
  </si>
  <si>
    <t>AZR01170</t>
  </si>
  <si>
    <t>BZR02990</t>
  </si>
  <si>
    <t>HER01240</t>
  </si>
  <si>
    <t>University of Southampton</t>
  </si>
  <si>
    <t>Newcastle Upon Tyne Hospitals NHS Foundation Trust</t>
  </si>
  <si>
    <t>Alzheimer's Society</t>
  </si>
  <si>
    <t>Royal Academy of Engineering</t>
  </si>
  <si>
    <t>Leverhulme Trust</t>
  </si>
  <si>
    <t>Rosalind Franklin Institute</t>
  </si>
  <si>
    <t>University Court of the University of Edinburgh</t>
  </si>
  <si>
    <t>British Medical Association</t>
  </si>
  <si>
    <t>University of Edinburgh</t>
  </si>
  <si>
    <t>Row Labels</t>
  </si>
  <si>
    <t>AC</t>
  </si>
  <si>
    <t>AE</t>
  </si>
  <si>
    <t>AF</t>
  </si>
  <si>
    <t>AJ</t>
  </si>
  <si>
    <t>AL</t>
  </si>
  <si>
    <t>AM</t>
  </si>
  <si>
    <t>AN</t>
  </si>
  <si>
    <t>AP</t>
  </si>
  <si>
    <t>AT</t>
  </si>
  <si>
    <t>AV</t>
  </si>
  <si>
    <t>AZ</t>
  </si>
  <si>
    <t>B2</t>
  </si>
  <si>
    <t>B8</t>
  </si>
  <si>
    <t>B9</t>
  </si>
  <si>
    <t>BB</t>
  </si>
  <si>
    <t>BK</t>
  </si>
  <si>
    <t>BL</t>
  </si>
  <si>
    <t>BV</t>
  </si>
  <si>
    <t>BW</t>
  </si>
  <si>
    <t>BX</t>
  </si>
  <si>
    <t>BZ</t>
  </si>
  <si>
    <t>CC</t>
  </si>
  <si>
    <t>CD</t>
  </si>
  <si>
    <t>CF</t>
  </si>
  <si>
    <t>CM</t>
  </si>
  <si>
    <t>CQ</t>
  </si>
  <si>
    <t>CR</t>
  </si>
  <si>
    <t>CS</t>
  </si>
  <si>
    <t>CU</t>
  </si>
  <si>
    <t>CV</t>
  </si>
  <si>
    <t>CZ</t>
  </si>
  <si>
    <t>DB</t>
  </si>
  <si>
    <t>DC</t>
  </si>
  <si>
    <t>DF</t>
  </si>
  <si>
    <t>DG</t>
  </si>
  <si>
    <t>DH</t>
  </si>
  <si>
    <t>DJ</t>
  </si>
  <si>
    <t>DK</t>
  </si>
  <si>
    <t>DM</t>
  </si>
  <si>
    <t>DN</t>
  </si>
  <si>
    <t>DQ</t>
  </si>
  <si>
    <t>DR</t>
  </si>
  <si>
    <t>DU</t>
  </si>
  <si>
    <t>EB</t>
  </si>
  <si>
    <t>EP</t>
  </si>
  <si>
    <t>H2</t>
  </si>
  <si>
    <t>H3</t>
  </si>
  <si>
    <t>H4</t>
  </si>
  <si>
    <t>H5</t>
  </si>
  <si>
    <t>H6</t>
  </si>
  <si>
    <t>H7</t>
  </si>
  <si>
    <t>H8</t>
  </si>
  <si>
    <t>H9</t>
  </si>
  <si>
    <t>HB</t>
  </si>
  <si>
    <t>HC</t>
  </si>
  <si>
    <t>HE</t>
  </si>
  <si>
    <t>HF</t>
  </si>
  <si>
    <t>HI</t>
  </si>
  <si>
    <t>HJ</t>
  </si>
  <si>
    <t>HM</t>
  </si>
  <si>
    <t>HN</t>
  </si>
  <si>
    <t>HQ</t>
  </si>
  <si>
    <t>LB</t>
  </si>
  <si>
    <t>LC</t>
  </si>
  <si>
    <t>LD</t>
  </si>
  <si>
    <t>LE</t>
  </si>
  <si>
    <t>Sum of ID</t>
  </si>
  <si>
    <t>ALL INVOICES</t>
  </si>
  <si>
    <t>Column Labels</t>
  </si>
  <si>
    <t>DEPT FREQUENCY</t>
  </si>
  <si>
    <t>Total Invoices</t>
  </si>
  <si>
    <t>Total Amount</t>
  </si>
  <si>
    <t>#</t>
  </si>
  <si>
    <t>TOTAL FIGURES</t>
  </si>
  <si>
    <t>INVOICES PER DEPARTMENT</t>
  </si>
  <si>
    <t>Sum of Invoice Amount</t>
  </si>
  <si>
    <t>TOTAL PER DEPARTMENT</t>
  </si>
  <si>
    <t>Funder</t>
  </si>
  <si>
    <t>TOTAL PER FUNDER</t>
  </si>
  <si>
    <t>Amount</t>
  </si>
  <si>
    <t>PROFILED</t>
  </si>
  <si>
    <t>MILESTONE</t>
  </si>
  <si>
    <t>WORK</t>
  </si>
  <si>
    <t>TOP FUNDERS (slicer)</t>
  </si>
  <si>
    <t>TOP DEPTS (slicer)</t>
  </si>
  <si>
    <t>Department</t>
  </si>
  <si>
    <t>AB</t>
  </si>
  <si>
    <t>Pitt Rivers Museum</t>
  </si>
  <si>
    <t>School of Geography and the Environment</t>
  </si>
  <si>
    <t>Social &amp; Cultural Anthropology</t>
  </si>
  <si>
    <t>Environmental Change Institute</t>
  </si>
  <si>
    <t>Target Discovery Institute</t>
  </si>
  <si>
    <t>Biochemistry</t>
  </si>
  <si>
    <t>Statistics</t>
  </si>
  <si>
    <t>Department of Oncology</t>
  </si>
  <si>
    <t>Plant Sciences</t>
  </si>
  <si>
    <t>Zoology</t>
  </si>
  <si>
    <t>Physiology, Anatomy and Genetics</t>
  </si>
  <si>
    <t>AX</t>
  </si>
  <si>
    <t>English Faculty</t>
  </si>
  <si>
    <t>Kennedy Institute of Rheumatology</t>
  </si>
  <si>
    <t>National Perinatal Epidemiology Unit</t>
  </si>
  <si>
    <t>B5</t>
  </si>
  <si>
    <t>Structural Biology</t>
  </si>
  <si>
    <t>Centre for Neural Circuits and Behaviour</t>
  </si>
  <si>
    <t>Tropical Medicine</t>
  </si>
  <si>
    <t>BA</t>
  </si>
  <si>
    <t>Law Faculty</t>
  </si>
  <si>
    <t>Cancer Centre</t>
  </si>
  <si>
    <t>BE</t>
  </si>
  <si>
    <t>Classics</t>
  </si>
  <si>
    <t>Mathematical Institute</t>
  </si>
  <si>
    <t>Computer Science</t>
  </si>
  <si>
    <t>BR</t>
  </si>
  <si>
    <t>Medical Sciences Divisional Office</t>
  </si>
  <si>
    <t>Dunn School of Pathology</t>
  </si>
  <si>
    <t>Pharmacology</t>
  </si>
  <si>
    <t>Population Health</t>
  </si>
  <si>
    <t>Primary Care Health Sciences</t>
  </si>
  <si>
    <t>C0</t>
  </si>
  <si>
    <t>Social Sciences Division</t>
  </si>
  <si>
    <t>CA</t>
  </si>
  <si>
    <t>Medieval and Modern Languages Faculty</t>
  </si>
  <si>
    <t>RDM Strategic</t>
  </si>
  <si>
    <t>History Faculty</t>
  </si>
  <si>
    <t>RDM Investigative Medicine</t>
  </si>
  <si>
    <t>CG</t>
  </si>
  <si>
    <t>Music Faculty</t>
  </si>
  <si>
    <t>CK</t>
  </si>
  <si>
    <t>Oriental Studies Faculty</t>
  </si>
  <si>
    <t>Centre for Medicines Discovery</t>
  </si>
  <si>
    <t>Experimental Psychology</t>
  </si>
  <si>
    <t>Big Data Institute - NDM</t>
  </si>
  <si>
    <t>Big Data Institute - NDPH</t>
  </si>
  <si>
    <t>CT</t>
  </si>
  <si>
    <t>Politics &amp; International Relations</t>
  </si>
  <si>
    <t>Economics</t>
  </si>
  <si>
    <t>Department of Social Policy and Intervention</t>
  </si>
  <si>
    <t>CX</t>
  </si>
  <si>
    <t>Socio-Legal Studies</t>
  </si>
  <si>
    <t>CY</t>
  </si>
  <si>
    <t>Sociology</t>
  </si>
  <si>
    <t>Oxford Internet Institute</t>
  </si>
  <si>
    <t>Astrophysics</t>
  </si>
  <si>
    <t>Atmospheric Ocean and Planet Physics</t>
  </si>
  <si>
    <t>Engineering Science</t>
  </si>
  <si>
    <t>Earth Sciences</t>
  </si>
  <si>
    <t>Inorganic Chemistry</t>
  </si>
  <si>
    <t>Materials</t>
  </si>
  <si>
    <t>Condensed Matter Physics</t>
  </si>
  <si>
    <t>DL</t>
  </si>
  <si>
    <t>Particle Physics</t>
  </si>
  <si>
    <t>Organic Chemistry</t>
  </si>
  <si>
    <t>Physical &amp; Theoretical Chemistry</t>
  </si>
  <si>
    <t>Chemical Biology</t>
  </si>
  <si>
    <t>Chemistry Research Laboratory</t>
  </si>
  <si>
    <t>Theoretical Physics</t>
  </si>
  <si>
    <t>DS</t>
  </si>
  <si>
    <t>Begbroke HEIF</t>
  </si>
  <si>
    <t>DT</t>
  </si>
  <si>
    <t>Central Physics</t>
  </si>
  <si>
    <t>Atomic &amp; Laser Physics</t>
  </si>
  <si>
    <t>DX</t>
  </si>
  <si>
    <t>Faculty of Theology and Religion</t>
  </si>
  <si>
    <t>E0</t>
  </si>
  <si>
    <t>Humanities Division Department</t>
  </si>
  <si>
    <t>E1</t>
  </si>
  <si>
    <t>Comparative Philology</t>
  </si>
  <si>
    <t>E9</t>
  </si>
  <si>
    <t>Oxford e-Research Centre</t>
  </si>
  <si>
    <t>Archaeology Institute</t>
  </si>
  <si>
    <t>EC</t>
  </si>
  <si>
    <t>Archaeology Research Laboratory</t>
  </si>
  <si>
    <t>ED</t>
  </si>
  <si>
    <t>Ashmolean Museum</t>
  </si>
  <si>
    <t>Department of Education</t>
  </si>
  <si>
    <t>EQ</t>
  </si>
  <si>
    <t>Cont Ed - International Programmes</t>
  </si>
  <si>
    <t>EV</t>
  </si>
  <si>
    <t>The George Institute</t>
  </si>
  <si>
    <t>EW</t>
  </si>
  <si>
    <t>Natural History Museum</t>
  </si>
  <si>
    <t>F5</t>
  </si>
  <si>
    <t>Libraries Services</t>
  </si>
  <si>
    <t>FK</t>
  </si>
  <si>
    <t>Humanities Libraries</t>
  </si>
  <si>
    <t>FW</t>
  </si>
  <si>
    <t>Western Manuscripts and Special Collections</t>
  </si>
  <si>
    <t>FZ</t>
  </si>
  <si>
    <t>System &amp; Electronics Resources Services</t>
  </si>
  <si>
    <t>GP</t>
  </si>
  <si>
    <t>Ruskin School of Drawing and Fine Art</t>
  </si>
  <si>
    <t>GR</t>
  </si>
  <si>
    <t>Kellogg College</t>
  </si>
  <si>
    <t>GX</t>
  </si>
  <si>
    <t>NDORMS</t>
  </si>
  <si>
    <t>CCMP</t>
  </si>
  <si>
    <t>CRUK/MRC Oxford Institute for Radiation Oncology</t>
  </si>
  <si>
    <t>RDM Clinical Laboratory Sciences</t>
  </si>
  <si>
    <t>Wellcome Trust Centre for Human Genetics</t>
  </si>
  <si>
    <t>Clinical Trial Service Unit</t>
  </si>
  <si>
    <t>OCDEM</t>
  </si>
  <si>
    <t>Weatherall Institute of Molecular Medicine</t>
  </si>
  <si>
    <t>SGC (Structural Genomics Consortium)</t>
  </si>
  <si>
    <t>Nuffield Department of Clinical Medicine</t>
  </si>
  <si>
    <t>Jenner Institute</t>
  </si>
  <si>
    <t>Nuffield Department of Women’s &amp; Reproductive Health (previously Obstetrics &amp; Gynaecology)</t>
  </si>
  <si>
    <t>Botnar</t>
  </si>
  <si>
    <t>Cancer Epidemiology Unit</t>
  </si>
  <si>
    <t>Surgical Sciences</t>
  </si>
  <si>
    <t>Neurosciences</t>
  </si>
  <si>
    <t>Paediatrics</t>
  </si>
  <si>
    <t>HP</t>
  </si>
  <si>
    <t>Oxford Ludwig Institute</t>
  </si>
  <si>
    <t>Psychiatry</t>
  </si>
  <si>
    <t>HS</t>
  </si>
  <si>
    <t>RDM Cardiovascular Medicine</t>
  </si>
  <si>
    <t>JG</t>
  </si>
  <si>
    <t>Centre for Criminology</t>
  </si>
  <si>
    <t>JQ</t>
  </si>
  <si>
    <t>Transport Studies Unit</t>
  </si>
  <si>
    <t>JT</t>
  </si>
  <si>
    <t>General Revenue Account</t>
  </si>
  <si>
    <t>LA</t>
  </si>
  <si>
    <t>Oxford-Man Institute</t>
  </si>
  <si>
    <t>Ageing Institute (OIA)</t>
  </si>
  <si>
    <t>Oxford Martin School</t>
  </si>
  <si>
    <t>Smith School of Ent. &amp; the Env</t>
  </si>
  <si>
    <t>Blavatnik School of Government</t>
  </si>
  <si>
    <t>M3</t>
  </si>
  <si>
    <t>Area Studies</t>
  </si>
  <si>
    <t>MQ</t>
  </si>
  <si>
    <t>Said Business School</t>
  </si>
  <si>
    <t>VF</t>
  </si>
  <si>
    <t>Voltaire Foundation</t>
  </si>
  <si>
    <t>VG</t>
  </si>
  <si>
    <t>International Development</t>
  </si>
  <si>
    <t>YD</t>
  </si>
  <si>
    <t>Philosophy Faculty</t>
  </si>
  <si>
    <t>Code</t>
  </si>
  <si>
    <t>Department Name</t>
  </si>
  <si>
    <t>Dept Code</t>
  </si>
  <si>
    <t>Due Date</t>
  </si>
  <si>
    <t>Days Overdue</t>
  </si>
  <si>
    <t>15754</t>
  </si>
  <si>
    <t>100 Group - Said Taxation Centre</t>
  </si>
  <si>
    <t>CTR00150</t>
  </si>
  <si>
    <t>GBP</t>
  </si>
  <si>
    <t>N/A</t>
  </si>
  <si>
    <t>n/a</t>
  </si>
  <si>
    <t>USD</t>
  </si>
  <si>
    <t>69455</t>
  </si>
  <si>
    <t>BDI - NDM</t>
  </si>
  <si>
    <t>3654</t>
  </si>
  <si>
    <t>NDM Experimental Medicine</t>
  </si>
  <si>
    <t>5404</t>
  </si>
  <si>
    <t>1522</t>
  </si>
  <si>
    <t>Clinical Neurosciences</t>
  </si>
  <si>
    <t>4508</t>
  </si>
  <si>
    <t>64321</t>
  </si>
  <si>
    <t>Boehringer Ingelheim International GmbH</t>
  </si>
  <si>
    <t>5368</t>
  </si>
  <si>
    <t>British Academy</t>
  </si>
  <si>
    <t>7239</t>
  </si>
  <si>
    <t>British Heart Foundation</t>
  </si>
  <si>
    <t>6325</t>
  </si>
  <si>
    <t>Cancer Research UK</t>
  </si>
  <si>
    <t>1407</t>
  </si>
  <si>
    <t>EUR</t>
  </si>
  <si>
    <t>68553</t>
  </si>
  <si>
    <t>Education</t>
  </si>
  <si>
    <t>Department for Environment Food &amp; Rural Affairs</t>
  </si>
  <si>
    <t>3642</t>
  </si>
  <si>
    <t>43749</t>
  </si>
  <si>
    <t>Duke University</t>
  </si>
  <si>
    <t>80947</t>
  </si>
  <si>
    <t>EH Group Engineering AG</t>
  </si>
  <si>
    <t>210108391</t>
  </si>
  <si>
    <t>DHR01390</t>
  </si>
  <si>
    <t>8101</t>
  </si>
  <si>
    <t>2422</t>
  </si>
  <si>
    <t>210098445</t>
  </si>
  <si>
    <t>DJR01070</t>
  </si>
  <si>
    <t>5367</t>
  </si>
  <si>
    <t>European Commission</t>
  </si>
  <si>
    <t>BVR00650</t>
  </si>
  <si>
    <t>HSR00310</t>
  </si>
  <si>
    <t>DMR00910</t>
  </si>
  <si>
    <t>4049</t>
  </si>
  <si>
    <t>RDM OCDEM</t>
  </si>
  <si>
    <t>Oncology</t>
  </si>
  <si>
    <t>8444</t>
  </si>
  <si>
    <t>32231</t>
  </si>
  <si>
    <t>Innovate UK</t>
  </si>
  <si>
    <t>83051</t>
  </si>
  <si>
    <t>Institut de recherches en science de la sante</t>
  </si>
  <si>
    <t>Institute of Cancer Research</t>
  </si>
  <si>
    <t>44559</t>
  </si>
  <si>
    <t>2539</t>
  </si>
  <si>
    <t>5360</t>
  </si>
  <si>
    <t>6723</t>
  </si>
  <si>
    <t>London School of Hygiene and Tropical Medicine</t>
  </si>
  <si>
    <t>74596</t>
  </si>
  <si>
    <t>M Squared Lasers Ltd</t>
  </si>
  <si>
    <t>BWR00971</t>
  </si>
  <si>
    <t>210084653</t>
  </si>
  <si>
    <t>210086738</t>
  </si>
  <si>
    <t>210087541</t>
  </si>
  <si>
    <t>210089046</t>
  </si>
  <si>
    <t>210090369</t>
  </si>
  <si>
    <t>210090966</t>
  </si>
  <si>
    <t>210092267</t>
  </si>
  <si>
    <t>210094024</t>
  </si>
  <si>
    <t>210094327</t>
  </si>
  <si>
    <t>210095389</t>
  </si>
  <si>
    <t>210096997</t>
  </si>
  <si>
    <t>8092</t>
  </si>
  <si>
    <t>2488</t>
  </si>
  <si>
    <t>Merck Sharp &amp; Dohme Ltd</t>
  </si>
  <si>
    <t>AUD</t>
  </si>
  <si>
    <t>44423</t>
  </si>
  <si>
    <t>5361</t>
  </si>
  <si>
    <t>Nottingham University Hospitals NHS Trust</t>
  </si>
  <si>
    <t>8090</t>
  </si>
  <si>
    <t>7189</t>
  </si>
  <si>
    <t>75563</t>
  </si>
  <si>
    <t>OxStem Immuno</t>
  </si>
  <si>
    <t>210085688</t>
  </si>
  <si>
    <t>BVR01440</t>
  </si>
  <si>
    <t>70872</t>
  </si>
  <si>
    <t>OxStem Neuro Ltd</t>
  </si>
  <si>
    <t>210086650</t>
  </si>
  <si>
    <t>DMR00870</t>
  </si>
  <si>
    <t>210095194</t>
  </si>
  <si>
    <t>70871</t>
  </si>
  <si>
    <t>OxStem Ocular Ltd</t>
  </si>
  <si>
    <t>210090932</t>
  </si>
  <si>
    <t>DMR00880</t>
  </si>
  <si>
    <t>5333</t>
  </si>
  <si>
    <t>Oxford Health NHS Foundation Trust</t>
  </si>
  <si>
    <t>Oxford Hospitals Charity</t>
  </si>
  <si>
    <t>3667</t>
  </si>
  <si>
    <t>Oxfordshire Health Service Research Comm</t>
  </si>
  <si>
    <t>75557</t>
  </si>
  <si>
    <t>Oxstem Beta</t>
  </si>
  <si>
    <t>210092020</t>
  </si>
  <si>
    <t>AVR02100</t>
  </si>
  <si>
    <t>71939</t>
  </si>
  <si>
    <t>Oxstem Cardio Limited</t>
  </si>
  <si>
    <t>210094739</t>
  </si>
  <si>
    <t>DMR00970</t>
  </si>
  <si>
    <t>210100467</t>
  </si>
  <si>
    <t>210086652</t>
  </si>
  <si>
    <t>70393</t>
  </si>
  <si>
    <t>Oxstem Ltd</t>
  </si>
  <si>
    <t>210086643</t>
  </si>
  <si>
    <t>DMR00820</t>
  </si>
  <si>
    <t>210090925</t>
  </si>
  <si>
    <t>70397</t>
  </si>
  <si>
    <t>Oxstem Oncology Ltd</t>
  </si>
  <si>
    <t>210090929</t>
  </si>
  <si>
    <t>DMR00830</t>
  </si>
  <si>
    <t>210086645</t>
  </si>
  <si>
    <t>Pirbright Institute</t>
  </si>
  <si>
    <t>Prostate Cancer UK</t>
  </si>
  <si>
    <t>4007</t>
  </si>
  <si>
    <t>Rolls Royce plc</t>
  </si>
  <si>
    <t>77631</t>
  </si>
  <si>
    <t>3610</t>
  </si>
  <si>
    <t>Royal Society</t>
  </si>
  <si>
    <t>8070</t>
  </si>
  <si>
    <t>Science and Technology Facilities Council</t>
  </si>
  <si>
    <t>25069</t>
  </si>
  <si>
    <t>Sichuan University</t>
  </si>
  <si>
    <t>BBR00211</t>
  </si>
  <si>
    <t>72847</t>
  </si>
  <si>
    <t>South East Asian Rainforest Research Partnership</t>
  </si>
  <si>
    <t>ATR01950</t>
  </si>
  <si>
    <t>81852</t>
  </si>
  <si>
    <t>8084</t>
  </si>
  <si>
    <t>71929</t>
  </si>
  <si>
    <t>University of Bath</t>
  </si>
  <si>
    <t>4551</t>
  </si>
  <si>
    <t>6335</t>
  </si>
  <si>
    <t>2458</t>
  </si>
  <si>
    <t>2448</t>
  </si>
  <si>
    <t>2452</t>
  </si>
  <si>
    <t>3607</t>
  </si>
  <si>
    <t>University of Leicester</t>
  </si>
  <si>
    <t>210104961</t>
  </si>
  <si>
    <t>HJR00080</t>
  </si>
  <si>
    <t>2490</t>
  </si>
  <si>
    <t>6322</t>
  </si>
  <si>
    <t>1997</t>
  </si>
  <si>
    <t>University of Newcastle upon Tyne</t>
  </si>
  <si>
    <t>4492</t>
  </si>
  <si>
    <t>University of Nottingham</t>
  </si>
  <si>
    <t>7701</t>
  </si>
  <si>
    <t>University of Surrey</t>
  </si>
  <si>
    <t>3622</t>
  </si>
  <si>
    <t>3036</t>
  </si>
  <si>
    <t>University of Washington</t>
  </si>
  <si>
    <t>4554</t>
  </si>
  <si>
    <t>7186</t>
  </si>
  <si>
    <t>Sponsor</t>
  </si>
  <si>
    <t>Sponsor Account</t>
  </si>
  <si>
    <t>Invoice Number</t>
  </si>
  <si>
    <t>Invoice Date</t>
  </si>
  <si>
    <t>Today</t>
  </si>
  <si>
    <t>Ageing Bucket</t>
  </si>
  <si>
    <t>Currency</t>
  </si>
  <si>
    <t>Vat Remaining Gbp</t>
  </si>
  <si>
    <t>Project Number</t>
  </si>
  <si>
    <t>Project Name</t>
  </si>
  <si>
    <t>Project Type</t>
  </si>
  <si>
    <t>Project Status</t>
  </si>
  <si>
    <t>Project Department</t>
  </si>
  <si>
    <t>Principal Investigator</t>
  </si>
  <si>
    <t>Invoice Comments</t>
  </si>
  <si>
    <t>Customer Order Number</t>
  </si>
  <si>
    <t>360+ days overdue</t>
  </si>
  <si>
    <t>Research</t>
  </si>
  <si>
    <t>Pending Close</t>
  </si>
  <si>
    <t>Social and Cultural Anthropolo</t>
  </si>
  <si>
    <t>Wellcome Trust Centre for Huma</t>
  </si>
  <si>
    <t>Talbot, Prof Kevin</t>
  </si>
  <si>
    <t>Smith School</t>
  </si>
  <si>
    <t>NONE</t>
  </si>
  <si>
    <t>Physical and Theoretical Chemi</t>
  </si>
  <si>
    <t>Approved</t>
  </si>
  <si>
    <t>M Squared/Emptage KTP</t>
  </si>
  <si>
    <t>Emptage, Prof. Nigel</t>
  </si>
  <si>
    <t>KTP010823</t>
  </si>
  <si>
    <t>Social Policy and Intervention</t>
  </si>
  <si>
    <t>Physiology Anatomy and Genetic</t>
  </si>
  <si>
    <t>RDM Clinical Laboratory Scienc</t>
  </si>
  <si>
    <t>SEARRP - KE</t>
  </si>
  <si>
    <t>BETA3_LVH</t>
  </si>
  <si>
    <t>634559</t>
  </si>
  <si>
    <t>Women’s &amp; Reproductive Healt</t>
  </si>
  <si>
    <t>Atomic and Laser Physics</t>
  </si>
  <si>
    <t>KIR</t>
  </si>
  <si>
    <t>Greaves - OxStem</t>
  </si>
  <si>
    <t>Greaves, Prof. David</t>
  </si>
  <si>
    <t>Oxstem Oncology</t>
  </si>
  <si>
    <t>Russell, Prof. Angela</t>
  </si>
  <si>
    <t>OxStem Neuro</t>
  </si>
  <si>
    <t>OxStem Cardio</t>
  </si>
  <si>
    <t>OxStem 4D -single cell culture</t>
  </si>
  <si>
    <t>ENABLE.</t>
  </si>
  <si>
    <t>115583</t>
  </si>
  <si>
    <t>OxStem Ocular</t>
  </si>
  <si>
    <t>Centre for Neural Circuits and</t>
  </si>
  <si>
    <t>JCantley-OxStem Beta P.Priming</t>
  </si>
  <si>
    <t>Cantley, Dr. James</t>
  </si>
  <si>
    <t>Medical Sciences Divisional Of</t>
  </si>
  <si>
    <t>CRUK/MRC Oxford Institute for</t>
  </si>
  <si>
    <t>181 to 360 days overdue</t>
  </si>
  <si>
    <t>Sir Henry Royce Institute - OE</t>
  </si>
  <si>
    <t>Grant, Prof. Patrick</t>
  </si>
  <si>
    <t>EP/R010145/1</t>
  </si>
  <si>
    <t>School of Geography and the En</t>
  </si>
  <si>
    <t>National Perinatal Epidemiolog</t>
  </si>
  <si>
    <t>91 to 180 days overdue</t>
  </si>
  <si>
    <t>Principal Investigator, P.I</t>
  </si>
  <si>
    <t>Atmospheric Ocean and Planet P</t>
  </si>
  <si>
    <t>UK TAVI</t>
  </si>
  <si>
    <t>Morgan, Dr. Lauren</t>
  </si>
  <si>
    <t>61 to 90 days overdue</t>
  </si>
  <si>
    <t>BDI - NDPH</t>
  </si>
  <si>
    <t>31 to 60 days overdue</t>
  </si>
  <si>
    <t>EHVA</t>
  </si>
  <si>
    <t>681032</t>
  </si>
  <si>
    <t>RISJ_Said_DNR</t>
  </si>
  <si>
    <t>Politics and International Rel</t>
  </si>
  <si>
    <t>WCH Student funds</t>
  </si>
  <si>
    <t>1 to 30 days overdue</t>
  </si>
  <si>
    <t>Rahman, Prof. Najib</t>
  </si>
  <si>
    <t>Oxford HydroFuel</t>
  </si>
  <si>
    <t>Edwards, Prof. Peter</t>
  </si>
  <si>
    <t>Snaith, Prof Henry</t>
  </si>
  <si>
    <t>Watkins, Prof Hugh</t>
  </si>
  <si>
    <t>Neubauer, Prof Stefan</t>
  </si>
  <si>
    <t>not overdue</t>
  </si>
  <si>
    <t>Ireland, Prof Peter</t>
  </si>
  <si>
    <t>Casadei, Prof Barbara</t>
  </si>
  <si>
    <t>Costa, Prof Matthew</t>
  </si>
  <si>
    <t>Prieto Alhambra, Prof Daniel</t>
  </si>
  <si>
    <t>Bejon, Prof Philip</t>
  </si>
  <si>
    <t>Middleton, Prof Mark</t>
  </si>
  <si>
    <t>Mcgilvray, Prof Matthew</t>
  </si>
  <si>
    <t>Hill, Prof Adrian</t>
  </si>
  <si>
    <t>Hinks, Dr Timothy</t>
  </si>
  <si>
    <t>Wood, Prof Matthew</t>
  </si>
  <si>
    <t>De Lusignan, Prof Simon</t>
  </si>
  <si>
    <t>Newton, Prof Charles</t>
  </si>
  <si>
    <t>Bhattacharya, Prof Shoumo</t>
  </si>
  <si>
    <t>Torr, Prof Philip</t>
  </si>
  <si>
    <t>Tzima, Prof Ellie</t>
  </si>
  <si>
    <t>English, Prof Michael</t>
  </si>
  <si>
    <t>Knight, Prof Marian</t>
  </si>
  <si>
    <t>Schofield, Prof Christopher</t>
  </si>
  <si>
    <t>Powrie, Prof Fiona</t>
  </si>
  <si>
    <t>Gilbert, Prof Sarah</t>
  </si>
  <si>
    <t>Wade-Martins, Prof Richard</t>
  </si>
  <si>
    <t>Hobbs, Prof Frederick</t>
  </si>
  <si>
    <t>Johansen-Berg, Dr Heidi</t>
  </si>
  <si>
    <t>Vincent, Prof Antonia</t>
  </si>
  <si>
    <t>Carroll, Prof Miles</t>
  </si>
  <si>
    <t>Srinivas, Prof Shankar</t>
  </si>
  <si>
    <t>Nicholson, Dr Brian</t>
  </si>
  <si>
    <t>Hepburn, Prof Cameron</t>
  </si>
  <si>
    <t>Vyas, Prof Paresh</t>
  </si>
  <si>
    <t>Cluver, Prof Lucie</t>
  </si>
  <si>
    <t>Maclaren, Prof Robert</t>
  </si>
  <si>
    <t>Paid</t>
  </si>
  <si>
    <t>RAISED BY MONTH</t>
  </si>
  <si>
    <t>DEBT BY TYPE</t>
  </si>
  <si>
    <t>MONTH</t>
  </si>
  <si>
    <t>TOTAL</t>
  </si>
  <si>
    <t>UNPAID</t>
  </si>
  <si>
    <t>PAID</t>
  </si>
  <si>
    <t>Janssen Research &amp; Development, LLC</t>
  </si>
  <si>
    <t>RAISED</t>
  </si>
  <si>
    <t>AZR02400</t>
  </si>
  <si>
    <t>f- Retention</t>
  </si>
  <si>
    <t>Singh, Prof Ilina</t>
  </si>
  <si>
    <t>Sansone, Prof Susanna</t>
  </si>
  <si>
    <t>Thwaites, Prof Guy</t>
  </si>
  <si>
    <t>Buckley, Prof Christopher</t>
  </si>
  <si>
    <t>Lang, Prof Trudie</t>
  </si>
  <si>
    <t>Lucey, Dr Jennifer</t>
  </si>
  <si>
    <t>7471</t>
  </si>
  <si>
    <t>210111066</t>
  </si>
  <si>
    <t>Quinnipiac University</t>
  </si>
  <si>
    <t>HMR03960</t>
  </si>
  <si>
    <t>Riley, Prof Paul</t>
  </si>
  <si>
    <t>210111282</t>
  </si>
  <si>
    <t>EPR01230</t>
  </si>
  <si>
    <t>CGHE TRANSFER</t>
  </si>
  <si>
    <t>Marginson, Prof. Simon</t>
  </si>
  <si>
    <t>ES/M010082/2</t>
  </si>
  <si>
    <t>Day, Prof Nicholas</t>
  </si>
  <si>
    <t>Midwood, Prof Kim</t>
  </si>
  <si>
    <t>3604</t>
  </si>
  <si>
    <t>Williams, Prof Charlotte</t>
  </si>
  <si>
    <t>Nielsen, Prof Rasmus</t>
  </si>
  <si>
    <t>University of Durham</t>
  </si>
  <si>
    <t>Turner, Prof Martin</t>
  </si>
  <si>
    <t>210111584</t>
  </si>
  <si>
    <t>Borrow, Prof Persephone</t>
  </si>
  <si>
    <t>St George's University of London</t>
  </si>
  <si>
    <t>Guerin, Prof Philippe</t>
  </si>
  <si>
    <t>Hallowell, Prof Nina</t>
  </si>
  <si>
    <t>Simmons, Prof Alison</t>
  </si>
  <si>
    <t>Harvard University</t>
  </si>
  <si>
    <t>3556</t>
  </si>
  <si>
    <t>Lucas, Prof David</t>
  </si>
  <si>
    <t>B9R02191</t>
  </si>
  <si>
    <t>Drugs for Neglected Diseases Initiative</t>
  </si>
  <si>
    <t>Hu, Prof Michele</t>
  </si>
  <si>
    <t>Maclean, Prof Roderick</t>
  </si>
  <si>
    <t>Uhlig, Prof Hans</t>
  </si>
  <si>
    <t>17863</t>
  </si>
  <si>
    <t>Channon, Prof Keith</t>
  </si>
  <si>
    <t>Huber, Dr Kilian</t>
  </si>
  <si>
    <t>Brennan, Prof Paul</t>
  </si>
  <si>
    <t>Brouard, Prof Mark</t>
  </si>
  <si>
    <t>Hinds, Dr Christopher</t>
  </si>
  <si>
    <t>Ansorge, Dr Olaf</t>
  </si>
  <si>
    <t>Kirkland, Prof Angus</t>
  </si>
  <si>
    <t>ESPriT (DA only)</t>
  </si>
  <si>
    <t>Becker, Dr Christian</t>
  </si>
  <si>
    <t>Rodriguez, Prof Blanca</t>
  </si>
  <si>
    <t>Bennett, Prof David</t>
  </si>
  <si>
    <t>Ray, Prof David</t>
  </si>
  <si>
    <t>Nanchahal, Prof Jagdeep</t>
  </si>
  <si>
    <t>Farmer, Prof Andrew</t>
  </si>
  <si>
    <t>Breast Cancer Now</t>
  </si>
  <si>
    <t>4060</t>
  </si>
  <si>
    <t>AZR01310</t>
  </si>
  <si>
    <t>DHR01660</t>
  </si>
  <si>
    <t>DNR00793</t>
  </si>
  <si>
    <t>Queen's University of Belfast</t>
  </si>
  <si>
    <t>King Abdullah University of Science &amp; Technology</t>
  </si>
  <si>
    <t>DKR01260</t>
  </si>
  <si>
    <t>BBR00210</t>
  </si>
  <si>
    <t>Invoice Amount Inv Curr</t>
  </si>
  <si>
    <t>Vat Amount Inv Curr</t>
  </si>
  <si>
    <t>Amount Remaining Inv Curr</t>
  </si>
  <si>
    <t>Amount Remaining GBP</t>
  </si>
  <si>
    <t>Friend, Prof Peter</t>
  </si>
  <si>
    <t>VGR00660</t>
  </si>
  <si>
    <t>REF-MIG</t>
  </si>
  <si>
    <t>Costello, Prof Cathryn</t>
  </si>
  <si>
    <t>716968</t>
  </si>
  <si>
    <t>210115272</t>
  </si>
  <si>
    <t>210115677</t>
  </si>
  <si>
    <t>ATR00950</t>
  </si>
  <si>
    <t>COMBACTE-MAGNET</t>
  </si>
  <si>
    <t>CQR01670</t>
  </si>
  <si>
    <t>Resilience to adolescent Psych</t>
  </si>
  <si>
    <t>Fox, Prof Elaine</t>
  </si>
  <si>
    <t>ES/R004285/1</t>
  </si>
  <si>
    <t>Cader, Prof Muhammed</t>
  </si>
  <si>
    <t>Song, Dr Rinn</t>
  </si>
  <si>
    <t>HMR01870</t>
  </si>
  <si>
    <t>IMPRiND</t>
  </si>
  <si>
    <t>Tofaris, Prof George</t>
  </si>
  <si>
    <t>116060-1</t>
  </si>
  <si>
    <t>210117780</t>
  </si>
  <si>
    <t>Johns Hopkins University</t>
  </si>
  <si>
    <t>10015</t>
  </si>
  <si>
    <t>HMR02080</t>
  </si>
  <si>
    <t>TIMBER</t>
  </si>
  <si>
    <t>Kyle, Dr Simon</t>
  </si>
  <si>
    <t>210118418</t>
  </si>
  <si>
    <t>Gastrointestinal cancer collab</t>
  </si>
  <si>
    <t>Antoniades, Prof Charalambos</t>
  </si>
  <si>
    <t>Goldacre, Prof Ben</t>
  </si>
  <si>
    <t>BZR04600</t>
  </si>
  <si>
    <t>Servais, Prof Laurent</t>
  </si>
  <si>
    <t>210119510</t>
  </si>
  <si>
    <t>210119534</t>
  </si>
  <si>
    <t>YDR00330</t>
  </si>
  <si>
    <t>MetCogCon</t>
  </si>
  <si>
    <t>Sanders, Dr Rachael</t>
  </si>
  <si>
    <t>681422</t>
  </si>
  <si>
    <t>3988</t>
  </si>
  <si>
    <t>Loughborough University</t>
  </si>
  <si>
    <t>Hanke, Prof Tomas</t>
  </si>
  <si>
    <t>HCR00570</t>
  </si>
  <si>
    <t>EAVI2020</t>
  </si>
  <si>
    <t>681137</t>
  </si>
  <si>
    <t>5378</t>
  </si>
  <si>
    <t>Fraser, Prof Christophe</t>
  </si>
  <si>
    <t>Rothermere American Institute</t>
  </si>
  <si>
    <t>The Francis Crick Institute</t>
  </si>
  <si>
    <t>Academy of Medical Sciences</t>
  </si>
  <si>
    <t>CRUK</t>
  </si>
  <si>
    <t>Department of Health</t>
  </si>
  <si>
    <t>Leverhulme</t>
  </si>
  <si>
    <t>Research Councils</t>
  </si>
  <si>
    <t>Automated</t>
  </si>
  <si>
    <t>Cash Matching</t>
  </si>
  <si>
    <t>Cern</t>
  </si>
  <si>
    <t>BMA Foundation</t>
  </si>
  <si>
    <t>DMR01950</t>
  </si>
  <si>
    <t>Asthma and Lung UK</t>
  </si>
  <si>
    <t>HMR04870</t>
  </si>
  <si>
    <t>The J. David Gladstone Institutes</t>
  </si>
  <si>
    <t>University Hospital Southampton NHS Foundation Trust</t>
  </si>
  <si>
    <t>AFR01540</t>
  </si>
  <si>
    <t>CB</t>
  </si>
  <si>
    <t>A4</t>
  </si>
  <si>
    <t>CW</t>
  </si>
  <si>
    <t>E4</t>
  </si>
  <si>
    <t>M1</t>
  </si>
  <si>
    <t>PS</t>
  </si>
  <si>
    <t xml:space="preserve">Institute of Developmental and Regenerative Medicine </t>
  </si>
  <si>
    <t>Biology</t>
  </si>
  <si>
    <t>NDM (CRUK Centre)</t>
  </si>
  <si>
    <t>INEOS</t>
  </si>
  <si>
    <t>Pandemic Sciences</t>
  </si>
  <si>
    <t>210121303</t>
  </si>
  <si>
    <t>ALR00850</t>
  </si>
  <si>
    <t>Micron renewal fr Jan 2016</t>
  </si>
  <si>
    <t>Davis, Prof Ilan</t>
  </si>
  <si>
    <t>107457/Z/15/Z</t>
  </si>
  <si>
    <t>Coalition for Epidemic Preparedness Innovations</t>
  </si>
  <si>
    <t>73467</t>
  </si>
  <si>
    <t>HCR01320</t>
  </si>
  <si>
    <t>PADOVAX- MERS CEPI Oct 18</t>
  </si>
  <si>
    <t>210122470</t>
  </si>
  <si>
    <t>HSR00820</t>
  </si>
  <si>
    <t>AMGEN</t>
  </si>
  <si>
    <t>Rodgers, Dr. Christopher</t>
  </si>
  <si>
    <t>PID12548</t>
  </si>
  <si>
    <t>210122524</t>
  </si>
  <si>
    <t>77719</t>
  </si>
  <si>
    <t>Coates, Dr Laura</t>
  </si>
  <si>
    <t>HNR00610</t>
  </si>
  <si>
    <t>PERISCOPE</t>
  </si>
  <si>
    <t>Kelly, Dr Dominic</t>
  </si>
  <si>
    <t>115910-2</t>
  </si>
  <si>
    <t>210123182</t>
  </si>
  <si>
    <t>Beard, Prof David</t>
  </si>
  <si>
    <t>SGD</t>
  </si>
  <si>
    <t>210123348</t>
  </si>
  <si>
    <t>210123448</t>
  </si>
  <si>
    <t>210123964</t>
  </si>
  <si>
    <t>Medieval and Modern Languages</t>
  </si>
  <si>
    <t>Song, Dr Chunxiao</t>
  </si>
  <si>
    <t>Caldecott, Dr Benjamin</t>
  </si>
  <si>
    <t>Leedham, Prof Simon</t>
  </si>
  <si>
    <t>De Luca, Prof Gabriele</t>
  </si>
  <si>
    <t>Faculty of Asian and Middle Ea</t>
  </si>
  <si>
    <t>LifeArc</t>
  </si>
  <si>
    <t>AVR03050</t>
  </si>
  <si>
    <t>Favara, Dr Marta</t>
  </si>
  <si>
    <t>Pandemic Sciences Centre</t>
  </si>
  <si>
    <t>7502</t>
  </si>
  <si>
    <t>210125534</t>
  </si>
  <si>
    <t>Liu, Dr Xinxue</t>
  </si>
  <si>
    <t>Rickaby, Prof Rosalind</t>
  </si>
  <si>
    <t>Medical Research Foundation</t>
  </si>
  <si>
    <t>47748</t>
  </si>
  <si>
    <t>Stokes, Dr Elizabeth</t>
  </si>
  <si>
    <t>Summerfield, Prof Christopher</t>
  </si>
  <si>
    <t>83479</t>
  </si>
  <si>
    <t>Hamdy, Prof Freddie</t>
  </si>
  <si>
    <t>Actual Outstanding</t>
  </si>
  <si>
    <t>Kidney Research UK</t>
  </si>
  <si>
    <t>2484</t>
  </si>
  <si>
    <t>210126886</t>
  </si>
  <si>
    <t>Heriot-Watt University</t>
  </si>
  <si>
    <t>5354</t>
  </si>
  <si>
    <t>DNR00930</t>
  </si>
  <si>
    <t>Heriot Watt</t>
  </si>
  <si>
    <t>Lucassen, Prof Anneke</t>
  </si>
  <si>
    <t>Mcshane, Prof Helen</t>
  </si>
  <si>
    <t>2391</t>
  </si>
  <si>
    <t>210127949</t>
  </si>
  <si>
    <t>Queen Mary University of London</t>
  </si>
  <si>
    <t>28127</t>
  </si>
  <si>
    <t>AZR02770</t>
  </si>
  <si>
    <t>HJR02470</t>
  </si>
  <si>
    <t>Santersus AG</t>
  </si>
  <si>
    <t>HMR00050</t>
  </si>
  <si>
    <t>Sattentau, Prof Quentin</t>
  </si>
  <si>
    <t>Pollard, Prof Sir Andrew</t>
  </si>
  <si>
    <t>HFR05570</t>
  </si>
  <si>
    <t>POP-I</t>
  </si>
  <si>
    <t>NIHR133467 # RIS8131733/5091954</t>
  </si>
  <si>
    <t>Barts Health NHS Trust</t>
  </si>
  <si>
    <t>98913</t>
  </si>
  <si>
    <t>Santersus ACLs</t>
  </si>
  <si>
    <t>R81872</t>
  </si>
  <si>
    <t>Pharmo Institute N.V.</t>
  </si>
  <si>
    <t>Bowman, Prof Louise</t>
  </si>
  <si>
    <t>NDM Immuno-Oncology</t>
  </si>
  <si>
    <t>Muscular Dystrophy UK</t>
  </si>
  <si>
    <t>Liverpool School of Tropical Medicine</t>
  </si>
  <si>
    <t>ABR00110</t>
  </si>
  <si>
    <t>BAR00850</t>
  </si>
  <si>
    <t>CBR00440</t>
  </si>
  <si>
    <t>The Trustees of The Natural History Museum</t>
  </si>
  <si>
    <t>HFR05670</t>
  </si>
  <si>
    <t>University Hospitals of Derby &amp; Burton NHS Foundation Trust</t>
  </si>
  <si>
    <t>Ahmed, Prof Ahmed</t>
  </si>
  <si>
    <t>210130735</t>
  </si>
  <si>
    <t>Luqmani, Prof Raashid</t>
  </si>
  <si>
    <t>Oxford Biomedical Research Centre</t>
  </si>
  <si>
    <t>44736</t>
  </si>
  <si>
    <t>Dendrou, Dr Calliope</t>
  </si>
  <si>
    <t>Butler, Dr. Christopher</t>
  </si>
  <si>
    <t>Royal Veterinary College</t>
  </si>
  <si>
    <t>3737</t>
  </si>
  <si>
    <t>210132127</t>
  </si>
  <si>
    <t>Adler, Prof Amanda</t>
  </si>
  <si>
    <t>Bortoletto, Prof Daniela</t>
  </si>
  <si>
    <t>4537</t>
  </si>
  <si>
    <t>Royal Brompton &amp; Harefield NHS Trust</t>
  </si>
  <si>
    <t>4845</t>
  </si>
  <si>
    <t>210133121</t>
  </si>
  <si>
    <t>BXR01140</t>
  </si>
  <si>
    <t>MARS-2</t>
  </si>
  <si>
    <t>6632/51012</t>
  </si>
  <si>
    <t>ALR02880</t>
  </si>
  <si>
    <t>Reprog. T cells in Pf malaria</t>
  </si>
  <si>
    <t>WT11471349</t>
  </si>
  <si>
    <t>BZR02270</t>
  </si>
  <si>
    <t>VALUE-Dx</t>
  </si>
  <si>
    <t>820755</t>
  </si>
  <si>
    <t>Mills, Prof Melinda</t>
  </si>
  <si>
    <t>210133743</t>
  </si>
  <si>
    <t>YDR00610</t>
  </si>
  <si>
    <t>RESPONSIBILITY.</t>
  </si>
  <si>
    <t>Hyman, Prof. John</t>
  </si>
  <si>
    <t>789270</t>
  </si>
  <si>
    <t>Lewis, Prof Owen</t>
  </si>
  <si>
    <t>210133891</t>
  </si>
  <si>
    <t>HER00670</t>
  </si>
  <si>
    <t>IMI-PainCare</t>
  </si>
  <si>
    <t>Vincent, Dr Katy</t>
  </si>
  <si>
    <t>777500</t>
  </si>
  <si>
    <t>Knight, Prof Julian</t>
  </si>
  <si>
    <t>AJR00710</t>
  </si>
  <si>
    <t>CRUK-OHSU Project Award</t>
  </si>
  <si>
    <t>C63763/A27122</t>
  </si>
  <si>
    <t>Stier, Prof Philip</t>
  </si>
  <si>
    <t>H5R01920</t>
  </si>
  <si>
    <t>CEPI</t>
  </si>
  <si>
    <t>HMR03220</t>
  </si>
  <si>
    <t>NIHR DRF JB Dec 18</t>
  </si>
  <si>
    <t>Bedford, Dr Jonathan</t>
  </si>
  <si>
    <t>NIHR300224#545704</t>
  </si>
  <si>
    <t>Klenerman, Prof Paul</t>
  </si>
  <si>
    <t>Saunders, Dr Katharine</t>
  </si>
  <si>
    <t>210134662</t>
  </si>
  <si>
    <t>HBR02880</t>
  </si>
  <si>
    <t>J Stradling - RfPB (Brompton)</t>
  </si>
  <si>
    <t>Stradling, Prof John</t>
  </si>
  <si>
    <t>PB-PG-0817-20049</t>
  </si>
  <si>
    <t>210134648</t>
  </si>
  <si>
    <t>HQR01160</t>
  </si>
  <si>
    <t>Proactive</t>
  </si>
  <si>
    <t>Sharpe, Prof Michael</t>
  </si>
  <si>
    <t>119576 HS&amp;DR-15/11/16 #532818</t>
  </si>
  <si>
    <t>Clarke, Prof Philip</t>
  </si>
  <si>
    <t>Bodleian Services</t>
  </si>
  <si>
    <t>Clarke, Dr Alexander</t>
  </si>
  <si>
    <t>Schroeder, Prof Ralph</t>
  </si>
  <si>
    <t>8081</t>
  </si>
  <si>
    <t>DFR07450</t>
  </si>
  <si>
    <t>IDRM- Paediatrics</t>
  </si>
  <si>
    <t>Massachusetts General Hospital</t>
  </si>
  <si>
    <t>49358</t>
  </si>
  <si>
    <t>Foreign, Commonwealth and Development Office</t>
  </si>
  <si>
    <t>4546</t>
  </si>
  <si>
    <t>Seattle Children's Hospital</t>
  </si>
  <si>
    <t>48770</t>
  </si>
  <si>
    <t>HCR01870</t>
  </si>
  <si>
    <t>IMPAc-TB</t>
  </si>
  <si>
    <t>75N93021C00029 # 127165SUB</t>
  </si>
  <si>
    <t>ESA De-risk GSTP Follow On</t>
  </si>
  <si>
    <t>4000129548/19/NL/BJ/ig</t>
  </si>
  <si>
    <t>Pixstory Global Holding Inc</t>
  </si>
  <si>
    <t>88693</t>
  </si>
  <si>
    <t>210135764</t>
  </si>
  <si>
    <t>CZR01180</t>
  </si>
  <si>
    <t>Internet Social Good</t>
  </si>
  <si>
    <t>Juszczak, Mr. Edmund</t>
  </si>
  <si>
    <t>Motor Neurone Disease Association</t>
  </si>
  <si>
    <t>6319</t>
  </si>
  <si>
    <t>HMR04750</t>
  </si>
  <si>
    <t>Talbot -  MNDA</t>
  </si>
  <si>
    <t>Talbot/Apr22/889-791 #MND023118</t>
  </si>
  <si>
    <t>United States Army</t>
  </si>
  <si>
    <t>6593</t>
  </si>
  <si>
    <t>41956</t>
  </si>
  <si>
    <t>Mcculloch, Prof Iain</t>
  </si>
  <si>
    <t>2511</t>
  </si>
  <si>
    <t>9960</t>
  </si>
  <si>
    <t>AVR01740</t>
  </si>
  <si>
    <t>BHF Prog Renewal</t>
  </si>
  <si>
    <t>Zaccolo, Prof Manuela</t>
  </si>
  <si>
    <t>RG/17/6/32944</t>
  </si>
  <si>
    <t>210136178</t>
  </si>
  <si>
    <t>HMR02420</t>
  </si>
  <si>
    <t>AIMS-2-TRIALS</t>
  </si>
  <si>
    <t>777394</t>
  </si>
  <si>
    <t>Parkinson's UK</t>
  </si>
  <si>
    <t>4893</t>
  </si>
  <si>
    <t>Hippisley-Cox, Prof Julia</t>
  </si>
  <si>
    <t>MCM Vaccine B.V.</t>
  </si>
  <si>
    <t>HNR03120</t>
  </si>
  <si>
    <t>AVRUGJ11</t>
  </si>
  <si>
    <t>PRiley-BHF Chair Renew-Nov20</t>
  </si>
  <si>
    <t>CH/11/1/28798</t>
  </si>
  <si>
    <t>210136499</t>
  </si>
  <si>
    <t>210136524</t>
  </si>
  <si>
    <t>DJR01800</t>
  </si>
  <si>
    <t>QCheMG</t>
  </si>
  <si>
    <t>Bogani, Prof Lapo</t>
  </si>
  <si>
    <t>URF\R\191030</t>
  </si>
  <si>
    <t>Hardy, Ms Pollyanna</t>
  </si>
  <si>
    <t>Besser, Dr. Rachel</t>
  </si>
  <si>
    <t>AZR02490</t>
  </si>
  <si>
    <t>Pancreatic Cancer UK</t>
  </si>
  <si>
    <t>University of Glasgow</t>
  </si>
  <si>
    <t>5352</t>
  </si>
  <si>
    <t>5763</t>
  </si>
  <si>
    <t>APR01060</t>
  </si>
  <si>
    <t>HFR05340</t>
  </si>
  <si>
    <t>ANR00891</t>
  </si>
  <si>
    <t>Diabetes UK</t>
  </si>
  <si>
    <t>HBR04210</t>
  </si>
  <si>
    <t>Arcturis Data (UK) Limited</t>
  </si>
  <si>
    <t>Citigroup Global Markets Inc</t>
  </si>
  <si>
    <t>HMR04430</t>
  </si>
  <si>
    <t>HQR02620</t>
  </si>
  <si>
    <t>Chan Zuckerberg Initiative</t>
  </si>
  <si>
    <t>Healthcare Quality Improvement Partnership</t>
  </si>
  <si>
    <t>Met Office</t>
  </si>
  <si>
    <t>Podium Analytics</t>
  </si>
  <si>
    <t>Department for Education</t>
  </si>
  <si>
    <t>AER01590</t>
  </si>
  <si>
    <t>CBR00570</t>
  </si>
  <si>
    <t>HER01530</t>
  </si>
  <si>
    <t>HMR05200</t>
  </si>
  <si>
    <t>HMR05210</t>
  </si>
  <si>
    <t>210097911</t>
  </si>
  <si>
    <t>B9R04190</t>
  </si>
  <si>
    <t>Thai-WT Core</t>
  </si>
  <si>
    <t>220211/Z/20/Z - CORE REPORT</t>
  </si>
  <si>
    <t>Aanensen, Prof David</t>
  </si>
  <si>
    <t>Vatish, Prof Manu</t>
  </si>
  <si>
    <t>NeuroVision Imaging LLC</t>
  </si>
  <si>
    <t>74303</t>
  </si>
  <si>
    <t>HQR00801</t>
  </si>
  <si>
    <t>SCANNING MODALITY</t>
  </si>
  <si>
    <t>Lovestone, Prof Simon</t>
  </si>
  <si>
    <t>R43364 and HQR00801</t>
  </si>
  <si>
    <t>210137064</t>
  </si>
  <si>
    <t>ALR01910</t>
  </si>
  <si>
    <t>PEP-NET</t>
  </si>
  <si>
    <t>Mellor, Prof Elizabeth</t>
  </si>
  <si>
    <t>813282</t>
  </si>
  <si>
    <t>Di Mare, Prof Luca</t>
  </si>
  <si>
    <t>AVR01840</t>
  </si>
  <si>
    <t>BHF Intermediate Fellowship</t>
  </si>
  <si>
    <t>Heather, Dr Lisa</t>
  </si>
  <si>
    <t>FS/17/58/33072</t>
  </si>
  <si>
    <t>Jiang, Dr Shisong</t>
  </si>
  <si>
    <t>Hanako Foundation</t>
  </si>
  <si>
    <t>81901</t>
  </si>
  <si>
    <t>B9R03660</t>
  </si>
  <si>
    <t>Thai-Seidlein-Hanako</t>
  </si>
  <si>
    <t>Von Seidlein, Prof Lorenz</t>
  </si>
  <si>
    <t>Yoshida, Prof Nobuko</t>
  </si>
  <si>
    <t>Voysey, Dr Merryn</t>
  </si>
  <si>
    <t>United States Air Force</t>
  </si>
  <si>
    <t>5756</t>
  </si>
  <si>
    <t>IDRM - DPAG</t>
  </si>
  <si>
    <t>B9R05590</t>
  </si>
  <si>
    <t>VN Core LMICs GBP</t>
  </si>
  <si>
    <t>225167/Z/22/Z</t>
  </si>
  <si>
    <t>HSR01720</t>
  </si>
  <si>
    <t>OxVALVE_BHF Special Project</t>
  </si>
  <si>
    <t>Myerson, Dr Saul</t>
  </si>
  <si>
    <t>SP/F/22/150035</t>
  </si>
  <si>
    <t>HSR01340</t>
  </si>
  <si>
    <t>Ellie - Programme Grant</t>
  </si>
  <si>
    <t>RG/F/20/110025</t>
  </si>
  <si>
    <t>210139310</t>
  </si>
  <si>
    <t>BVR00110</t>
  </si>
  <si>
    <t>Genetic control</t>
  </si>
  <si>
    <t>Robertson, Prof Elizabeth</t>
  </si>
  <si>
    <t>102811/Z/13/Z</t>
  </si>
  <si>
    <t>Fazel, Prof Seena</t>
  </si>
  <si>
    <t>Godfray, Prof Hugh</t>
  </si>
  <si>
    <t>Parker, Prof Michael</t>
  </si>
  <si>
    <t>Lubell, Prof Yoel</t>
  </si>
  <si>
    <t>Goriely, Prof Anne</t>
  </si>
  <si>
    <t>AVR02490</t>
  </si>
  <si>
    <t>SS_WT Collab_Cell fate</t>
  </si>
  <si>
    <t>220379/C/20/Z</t>
  </si>
  <si>
    <t>Tomlinson, Prof Jeremy</t>
  </si>
  <si>
    <t>B9R05210</t>
  </si>
  <si>
    <t>KWTRP Open Access 22/23</t>
  </si>
  <si>
    <t>226916/Z/23/Z</t>
  </si>
  <si>
    <t>210138168</t>
  </si>
  <si>
    <t>Reed, Prof Roger</t>
  </si>
  <si>
    <t>Immunocore Ltd</t>
  </si>
  <si>
    <t>210138907</t>
  </si>
  <si>
    <t>BZR00030</t>
  </si>
  <si>
    <t>BARACK D</t>
  </si>
  <si>
    <t>12/01/52 # 509248</t>
  </si>
  <si>
    <t>Bristol-Myers Squibb Pharmaceuticals Ltd</t>
  </si>
  <si>
    <t>41046</t>
  </si>
  <si>
    <t>Elliott, Prof Timothy</t>
  </si>
  <si>
    <t>Ares, Dr Natalia</t>
  </si>
  <si>
    <t>210139475</t>
  </si>
  <si>
    <t>DFR05600</t>
  </si>
  <si>
    <t>Studentship - Francesco Pinto</t>
  </si>
  <si>
    <t>HSR01250</t>
  </si>
  <si>
    <t>TAVI clinical trial with LSHTM</t>
  </si>
  <si>
    <t>Kharbanda, Dr Rajesh</t>
  </si>
  <si>
    <t>CS/20/1/34732</t>
  </si>
  <si>
    <t>Creese, Prof Sadie</t>
  </si>
  <si>
    <t>Exposure to red light</t>
  </si>
  <si>
    <t>Poulton, Prof Joanna</t>
  </si>
  <si>
    <t>210139772</t>
  </si>
  <si>
    <t>DJR01830</t>
  </si>
  <si>
    <t>ESTEEM3</t>
  </si>
  <si>
    <t>823717</t>
  </si>
  <si>
    <t>Pavord, Prof Ian</t>
  </si>
  <si>
    <t>MDXHealth, Inc.</t>
  </si>
  <si>
    <t>Icahn School of Medicine at Mount Sinai</t>
  </si>
  <si>
    <t>62231</t>
  </si>
  <si>
    <t>HSR01920</t>
  </si>
  <si>
    <t>COVID-CT Registry_Cornell Lead</t>
  </si>
  <si>
    <t>49263</t>
  </si>
  <si>
    <t>210140157</t>
  </si>
  <si>
    <t>ROP Technology Platform.</t>
  </si>
  <si>
    <t>BLR03200</t>
  </si>
  <si>
    <t>BWR01590</t>
  </si>
  <si>
    <t>National Philanthropic Trust</t>
  </si>
  <si>
    <t>B9R05660</t>
  </si>
  <si>
    <t>HFR06040</t>
  </si>
  <si>
    <t>HMR04480</t>
  </si>
  <si>
    <t>University of Malaya</t>
  </si>
  <si>
    <t>Coeliac Uk</t>
  </si>
  <si>
    <t>Royal College of Surgeons of England</t>
  </si>
  <si>
    <t>Heptares Therapeutics Limited</t>
  </si>
  <si>
    <t>Allen, Dr Maxine</t>
  </si>
  <si>
    <t>Imperial College</t>
  </si>
  <si>
    <t>210141966</t>
  </si>
  <si>
    <t>DCR00870</t>
  </si>
  <si>
    <t>SO-CHIC</t>
  </si>
  <si>
    <t>Marshall, Prof David</t>
  </si>
  <si>
    <t>821001</t>
  </si>
  <si>
    <t>Rider, Dr Oliver</t>
  </si>
  <si>
    <t>HSR00870</t>
  </si>
  <si>
    <t>Shoumo Prog. grant</t>
  </si>
  <si>
    <t>RG/18/1/33351</t>
  </si>
  <si>
    <t>HSR01380</t>
  </si>
  <si>
    <t>BHF Programme Grant</t>
  </si>
  <si>
    <t>RG/F/21/110040</t>
  </si>
  <si>
    <t>Salman, Dr Mootaz</t>
  </si>
  <si>
    <t>210140282</t>
  </si>
  <si>
    <t>210140305</t>
  </si>
  <si>
    <t>CKR00450</t>
  </si>
  <si>
    <t>QaSLA</t>
  </si>
  <si>
    <t>Sinai, Prof Nicolai</t>
  </si>
  <si>
    <t>866043</t>
  </si>
  <si>
    <t>Nichols, Prof Thomas</t>
  </si>
  <si>
    <t>Linguistics Philology and Phon</t>
  </si>
  <si>
    <t>HSR01470</t>
  </si>
  <si>
    <t>KC Chair renewal</t>
  </si>
  <si>
    <t>CH/16/1/32013</t>
  </si>
  <si>
    <t>Leeson, Prof Christopher</t>
  </si>
  <si>
    <t>Lambe, Prof Teresa</t>
  </si>
  <si>
    <t>Poole, Prof Philip</t>
  </si>
  <si>
    <t>75029</t>
  </si>
  <si>
    <t>210140736</t>
  </si>
  <si>
    <t>T Hinks - Sensyne</t>
  </si>
  <si>
    <t>BLR03680</t>
  </si>
  <si>
    <t>1 FAIR</t>
  </si>
  <si>
    <t>Kwiatkowska, Prof Marta</t>
  </si>
  <si>
    <t>210141510</t>
  </si>
  <si>
    <t>210141470</t>
  </si>
  <si>
    <t>Crocker, Dr Joanna</t>
  </si>
  <si>
    <t>Lu, Prof Xin</t>
  </si>
  <si>
    <t>Walker, Prof Ann</t>
  </si>
  <si>
    <t>Richards, Prof Duncan</t>
  </si>
  <si>
    <t>9330</t>
  </si>
  <si>
    <t>Cheah, Prof Phaik</t>
  </si>
  <si>
    <t>222870/Z/21/Z</t>
  </si>
  <si>
    <t>210141962</t>
  </si>
  <si>
    <t>YDR00880</t>
  </si>
  <si>
    <t>LEWE</t>
  </si>
  <si>
    <t>Mcmahan, Prof Jefferson</t>
  </si>
  <si>
    <t>101024087</t>
  </si>
  <si>
    <t>2516</t>
  </si>
  <si>
    <t>2394</t>
  </si>
  <si>
    <t>B9R04020</t>
  </si>
  <si>
    <t>WWARN</t>
  </si>
  <si>
    <t>HMR03150</t>
  </si>
  <si>
    <t>BRAIN-MATRIX</t>
  </si>
  <si>
    <t>GN-000580 DJAB.RDCA21390#PO-UOB158283</t>
  </si>
  <si>
    <t>Blue Water Vaccines Inc</t>
  </si>
  <si>
    <t>81353</t>
  </si>
  <si>
    <t>210142342</t>
  </si>
  <si>
    <t>ATR03330</t>
  </si>
  <si>
    <t>Blue Water Vaccines</t>
  </si>
  <si>
    <t>Gupta, Prof Sunetra</t>
  </si>
  <si>
    <t>Centre for Economic Policy Research</t>
  </si>
  <si>
    <t>32332</t>
  </si>
  <si>
    <t>H7R01220</t>
  </si>
  <si>
    <t>DRay_NIHR_Programme Grant</t>
  </si>
  <si>
    <t>NIHR 203667</t>
  </si>
  <si>
    <t>Alder Hey Children's NHS Foundation Trust</t>
  </si>
  <si>
    <t>3984</t>
  </si>
  <si>
    <t>Malhi, Prof Yadvinder</t>
  </si>
  <si>
    <t>Tulane University</t>
  </si>
  <si>
    <t>63166</t>
  </si>
  <si>
    <t>210142566</t>
  </si>
  <si>
    <t>HNR02531</t>
  </si>
  <si>
    <t>NIH Grant, Tulane University.</t>
  </si>
  <si>
    <t>TUL-HSC-559133-21/22</t>
  </si>
  <si>
    <t>Lang, Mrs Gail</t>
  </si>
  <si>
    <t>H7R01240</t>
  </si>
  <si>
    <t>Morris, Prof Eva</t>
  </si>
  <si>
    <t>North Bristol NHS Trust</t>
  </si>
  <si>
    <t>SCG Chemicals Public Company Limited</t>
  </si>
  <si>
    <t>na</t>
  </si>
  <si>
    <t>HQR01440</t>
  </si>
  <si>
    <t>STOPPING</t>
  </si>
  <si>
    <t>Sheaves, Dr Bryony</t>
  </si>
  <si>
    <t>ICA-CDRF-2017-03-088</t>
  </si>
  <si>
    <t>DFR09520</t>
  </si>
  <si>
    <t>DARTS APRA-H</t>
  </si>
  <si>
    <t>Steel, Prof Harrison</t>
  </si>
  <si>
    <t>1AYSAX000005-01</t>
  </si>
  <si>
    <t>HQR03230</t>
  </si>
  <si>
    <t>Rinaldi, Dr Carlo</t>
  </si>
  <si>
    <t>H7R01200</t>
  </si>
  <si>
    <t>Cystic Fibrosis related diabet</t>
  </si>
  <si>
    <t>G112122</t>
  </si>
  <si>
    <t>Education Endowment Foundation</t>
  </si>
  <si>
    <t>48066</t>
  </si>
  <si>
    <t>Shearing, Prof Paul</t>
  </si>
  <si>
    <t>Novartis Gene Therapies Switzerland GmbH</t>
  </si>
  <si>
    <t>Closed</t>
  </si>
  <si>
    <t>0255-G151-4612</t>
  </si>
  <si>
    <t>Action Medical Research</t>
  </si>
  <si>
    <t>1531</t>
  </si>
  <si>
    <t>64803</t>
  </si>
  <si>
    <t>HFR05680</t>
  </si>
  <si>
    <t>RESULT-HF</t>
  </si>
  <si>
    <t>RA5790/WT9738217 # UOE1403115</t>
  </si>
  <si>
    <t>6309</t>
  </si>
  <si>
    <t>HSR01790</t>
  </si>
  <si>
    <t>Nav_BHF_IntFellowship_2022</t>
  </si>
  <si>
    <t>Akbar, Dr Naveed</t>
  </si>
  <si>
    <t>FS/IBSRF/22/25110</t>
  </si>
  <si>
    <t>Eli Lilly and Company Ltd</t>
  </si>
  <si>
    <t>6330</t>
  </si>
  <si>
    <t>AVR03370</t>
  </si>
  <si>
    <t>Genes and Environment</t>
  </si>
  <si>
    <t>Davison, Dr Lucy</t>
  </si>
  <si>
    <t>P1573588 C1656985</t>
  </si>
  <si>
    <t>DMR01930</t>
  </si>
  <si>
    <t>TRANSPORTING POLYMERS</t>
  </si>
  <si>
    <t xml:space="preserve">ORA-2021-CRG10-4650.2 #4300001101 </t>
  </si>
  <si>
    <t>Mead, Dr Emma</t>
  </si>
  <si>
    <t>210143516</t>
  </si>
  <si>
    <t>CMR00040</t>
  </si>
  <si>
    <t>Resolution</t>
  </si>
  <si>
    <t>Burgess-Brown, Dr Nicola</t>
  </si>
  <si>
    <t>101034439</t>
  </si>
  <si>
    <t>Berkley, Prof James</t>
  </si>
  <si>
    <t>Wellcome Trust Sanger Institute</t>
  </si>
  <si>
    <t>210143650</t>
  </si>
  <si>
    <t>LDR01030</t>
  </si>
  <si>
    <t>GEOCEP</t>
  </si>
  <si>
    <t>870245</t>
  </si>
  <si>
    <t>7586</t>
  </si>
  <si>
    <t>Beijing Institute of Collaborative Innovation</t>
  </si>
  <si>
    <t>34478</t>
  </si>
  <si>
    <t>HMR02680</t>
  </si>
  <si>
    <t>IM2PACT</t>
  </si>
  <si>
    <t>807015#</t>
  </si>
  <si>
    <t>210143820</t>
  </si>
  <si>
    <t>HFR04480</t>
  </si>
  <si>
    <t>RL/IU Celgene</t>
  </si>
  <si>
    <t>S2252</t>
  </si>
  <si>
    <t>CMR00110</t>
  </si>
  <si>
    <t>Alex CDK12 - Nottingham</t>
  </si>
  <si>
    <t>Bullock, Dr. Alexander (Centre</t>
  </si>
  <si>
    <t>R00974 / RIS 7373523</t>
  </si>
  <si>
    <t>Aston University</t>
  </si>
  <si>
    <t>Guts UK Charity</t>
  </si>
  <si>
    <t>3139</t>
  </si>
  <si>
    <t>Ilott, Dr Nicholas</t>
  </si>
  <si>
    <t>Gaspar Verissimo, Dr Diogo</t>
  </si>
  <si>
    <t>83055</t>
  </si>
  <si>
    <t>6276</t>
  </si>
  <si>
    <t>Children’s Mercy Hospital</t>
  </si>
  <si>
    <t>82849</t>
  </si>
  <si>
    <t>AJR01000</t>
  </si>
  <si>
    <t>Natural Killer Cell Regulation</t>
  </si>
  <si>
    <t>41462124</t>
  </si>
  <si>
    <t>CBR00600</t>
  </si>
  <si>
    <t>21RM3 - Sheffield</t>
  </si>
  <si>
    <t>BB/W013800/1 - R/173249</t>
  </si>
  <si>
    <t>Lindorff, Dr Ariel</t>
  </si>
  <si>
    <t>Swietach, Prof Pawel</t>
  </si>
  <si>
    <t>Edwards, Prof Claire</t>
  </si>
  <si>
    <t>Kirrander, Prof Adam</t>
  </si>
  <si>
    <t>Hodson, Prof David</t>
  </si>
  <si>
    <t>HMR05620</t>
  </si>
  <si>
    <t>Novartis Institutes for Biomedical Research, Inc</t>
  </si>
  <si>
    <t>DFR09730</t>
  </si>
  <si>
    <t>DMR02180</t>
  </si>
  <si>
    <t>H5R02000</t>
  </si>
  <si>
    <t>NHS Bristol, North Somerset and South Gloucestershire ICB</t>
  </si>
  <si>
    <t>DNR01390</t>
  </si>
  <si>
    <t>A3</t>
  </si>
  <si>
    <t>2020-21</t>
  </si>
  <si>
    <t>2019-20</t>
  </si>
  <si>
    <t>2021-22</t>
  </si>
  <si>
    <t>2022-23</t>
  </si>
  <si>
    <t>2023-24</t>
  </si>
  <si>
    <t>UOE1375511</t>
  </si>
  <si>
    <t>Dondorp, Prof Adrianus</t>
  </si>
  <si>
    <t>National Institute for Health Research CRNCC</t>
  </si>
  <si>
    <t>34519</t>
  </si>
  <si>
    <t>B2R00010</t>
  </si>
  <si>
    <t>OSCAR</t>
  </si>
  <si>
    <t>11/92/15#513682</t>
  </si>
  <si>
    <t>210144935</t>
  </si>
  <si>
    <t>210145021</t>
  </si>
  <si>
    <t>210145053</t>
  </si>
  <si>
    <t>Zhang, Prof Peijun</t>
  </si>
  <si>
    <t>Slater, Prof Rebeccah</t>
  </si>
  <si>
    <t>U.S. Fish and Wildlife Service</t>
  </si>
  <si>
    <t>64315</t>
  </si>
  <si>
    <t>CBR00121</t>
  </si>
  <si>
    <t>1 Saiga in Singapore and Japan</t>
  </si>
  <si>
    <t>Hinsley, Dr Amy</t>
  </si>
  <si>
    <t>F22AP03118-01</t>
  </si>
  <si>
    <t>THB</t>
  </si>
  <si>
    <t>83022</t>
  </si>
  <si>
    <t>OxfQuinOUH</t>
  </si>
  <si>
    <t>Siebold, Prof Christian</t>
  </si>
  <si>
    <t>NAPS</t>
  </si>
  <si>
    <t>WU-24-0035#ST00015828</t>
  </si>
  <si>
    <t>Wordsworth, Prof Sarah</t>
  </si>
  <si>
    <t>Multiple Sclerosis Society UK</t>
  </si>
  <si>
    <t>8091</t>
  </si>
  <si>
    <t>Reaction Engines Ltd</t>
  </si>
  <si>
    <t>70943</t>
  </si>
  <si>
    <t>DFR09680</t>
  </si>
  <si>
    <t>Reaction Engines 4YP 2023/24</t>
  </si>
  <si>
    <t>Doherty, Mr Luke</t>
  </si>
  <si>
    <t>PSR00190</t>
  </si>
  <si>
    <t>Patel, Prof Ketan</t>
  </si>
  <si>
    <t>HSR01080</t>
  </si>
  <si>
    <t>UK Biobank_prog grant</t>
  </si>
  <si>
    <t>RG/18/6/33576</t>
  </si>
  <si>
    <t>HSR01420</t>
  </si>
  <si>
    <t>CAREFOL-HT</t>
  </si>
  <si>
    <t>FS/CRTF/20/24060</t>
  </si>
  <si>
    <t>210145851</t>
  </si>
  <si>
    <t>Leaver, Prof Clare</t>
  </si>
  <si>
    <t>Cicconi, Dr Paola</t>
  </si>
  <si>
    <t>210146084</t>
  </si>
  <si>
    <t>Leducq Foundation for Cardiovascular Research</t>
  </si>
  <si>
    <t>78606</t>
  </si>
  <si>
    <t>B9R05530</t>
  </si>
  <si>
    <t>Symon Kariuki - NIHR 22</t>
  </si>
  <si>
    <t>NU-006384</t>
  </si>
  <si>
    <t>Hawes, Prof Nicholas</t>
  </si>
  <si>
    <t>Programme for Research in Epidemic Preparedness and REsponse (PREPARE)</t>
  </si>
  <si>
    <t>107077</t>
  </si>
  <si>
    <t>B9R05840</t>
  </si>
  <si>
    <t>RSV genomic surveillance</t>
  </si>
  <si>
    <t>Dubot-Peres, Audrey</t>
  </si>
  <si>
    <t>PREPARE-SF-2023-004</t>
  </si>
  <si>
    <t>Blundy, Prof Jonathan</t>
  </si>
  <si>
    <t>Newman, Dr Joseph</t>
  </si>
  <si>
    <t>HSR02060</t>
  </si>
  <si>
    <t>BHF Programme Grant Renewal 1</t>
  </si>
  <si>
    <t>RG/F/23/110121</t>
  </si>
  <si>
    <t>Walker, Prof Richard</t>
  </si>
  <si>
    <t>LifeArc - Talbot/Turner</t>
  </si>
  <si>
    <t>N/A#60518634</t>
  </si>
  <si>
    <t>HBR05090</t>
  </si>
  <si>
    <t>Blood Cancer UK</t>
  </si>
  <si>
    <t>2495</t>
  </si>
  <si>
    <t>210146946</t>
  </si>
  <si>
    <t>Cov-BOOST</t>
  </si>
  <si>
    <t>PRP30234 # MED1781</t>
  </si>
  <si>
    <t>Guangzhou Patronus Biotechnology Co. Ltd</t>
  </si>
  <si>
    <t>210147096</t>
  </si>
  <si>
    <t>DLR00930</t>
  </si>
  <si>
    <t>AIDAinnova</t>
  </si>
  <si>
    <t>101004761</t>
  </si>
  <si>
    <t>Mathers, Dr Sandra</t>
  </si>
  <si>
    <t>Smith, Prof Adrian</t>
  </si>
  <si>
    <t>HCR01350</t>
  </si>
  <si>
    <t>MMVC</t>
  </si>
  <si>
    <t>RIA2016V-1649</t>
  </si>
  <si>
    <t>Kaleibe Therapeutics Inc.</t>
  </si>
  <si>
    <t>100353</t>
  </si>
  <si>
    <t>210147379</t>
  </si>
  <si>
    <t>AVR03170</t>
  </si>
  <si>
    <t>RichardWM_therapeutic gene</t>
  </si>
  <si>
    <t>Unified quantum dynamics</t>
  </si>
  <si>
    <t>RES921078#900001146213</t>
  </si>
  <si>
    <t>210147510</t>
  </si>
  <si>
    <t>BWR01310</t>
  </si>
  <si>
    <t>Microvascular NPY</t>
  </si>
  <si>
    <t>Dora, Prof Kim</t>
  </si>
  <si>
    <t>PG/20/10260</t>
  </si>
  <si>
    <t>62599</t>
  </si>
  <si>
    <t>British Skin Foundation</t>
  </si>
  <si>
    <t>A3R00130</t>
  </si>
  <si>
    <t>MND</t>
  </si>
  <si>
    <t>Purchase Order: 100878</t>
  </si>
  <si>
    <t>Rees, Prof Jonathan</t>
  </si>
  <si>
    <t>210147977</t>
  </si>
  <si>
    <t>PROFILED Most Automated</t>
  </si>
  <si>
    <t>WORK Most Automated</t>
  </si>
  <si>
    <t>MILESTONE Most Automated</t>
  </si>
  <si>
    <t>AUTOMATED FUNDERS</t>
  </si>
  <si>
    <t>AUTOMATED DEPARTMENTS</t>
  </si>
  <si>
    <t>Royal College of Art</t>
  </si>
  <si>
    <t>Merck KGaA</t>
  </si>
  <si>
    <t>Support for the Sick Newborn and their Parents</t>
  </si>
  <si>
    <t>AWE plc</t>
  </si>
  <si>
    <t>National Instititute for Health Research</t>
  </si>
  <si>
    <t>DSTL</t>
  </si>
  <si>
    <t>Celgene International Sarl</t>
  </si>
  <si>
    <t>M Suare Lasers Ltd</t>
  </si>
  <si>
    <t>TOTAL INVOICES</t>
  </si>
  <si>
    <t>% Change</t>
  </si>
  <si>
    <t>Automated %</t>
  </si>
  <si>
    <t>Day-to-Day invoices</t>
  </si>
  <si>
    <t>Milestones Enquired</t>
  </si>
  <si>
    <t>Conversion rate</t>
  </si>
  <si>
    <t>BXR01640</t>
  </si>
  <si>
    <t>H4R02330</t>
  </si>
  <si>
    <t>HJR02050</t>
  </si>
  <si>
    <t>Sussex Partnership NHS Foundation Trust</t>
  </si>
  <si>
    <t>3644</t>
  </si>
  <si>
    <t>NDM (CAMS Oxford Institute)</t>
  </si>
  <si>
    <t>White, Prof Nicholas</t>
  </si>
  <si>
    <t>Yacoub, Dr Sophie</t>
  </si>
  <si>
    <t>210148112</t>
  </si>
  <si>
    <t>B9R04360</t>
  </si>
  <si>
    <t>Shigella Human Infection Study</t>
  </si>
  <si>
    <t>Kapulu, Dr Melissa</t>
  </si>
  <si>
    <t>218528/Z/19/Z</t>
  </si>
  <si>
    <t>210148227</t>
  </si>
  <si>
    <t>HMR03020</t>
  </si>
  <si>
    <t>Xue WT CRCDF (Stage2)</t>
  </si>
  <si>
    <t>Xue, Dr Kanmin</t>
  </si>
  <si>
    <t>216593/Z/19/Z</t>
  </si>
  <si>
    <t>Maiden, Prof Martin</t>
  </si>
  <si>
    <t>Behrens, Prof Timothy</t>
  </si>
  <si>
    <t>210148216</t>
  </si>
  <si>
    <t>HBR03540</t>
  </si>
  <si>
    <t>A Simmons - WT Investigator</t>
  </si>
  <si>
    <t>219523/Z/19/Z</t>
  </si>
  <si>
    <t>13951</t>
  </si>
  <si>
    <t>Petrou, Dr Stavros</t>
  </si>
  <si>
    <t>Taylor, Dr Walter</t>
  </si>
  <si>
    <t>83025</t>
  </si>
  <si>
    <t>Mcmanus, Prof Richard</t>
  </si>
  <si>
    <t>PPMI - Hu</t>
  </si>
  <si>
    <t>PID 15123 (OUH reference)</t>
  </si>
  <si>
    <t>64711</t>
  </si>
  <si>
    <t>Bhui, Prof Kamaldeep</t>
  </si>
  <si>
    <t>102158</t>
  </si>
  <si>
    <t>Collab WT. grant</t>
  </si>
  <si>
    <t>University of Pittsburgh</t>
  </si>
  <si>
    <t>5310</t>
  </si>
  <si>
    <t>2512</t>
  </si>
  <si>
    <t>Selwyn, Prof Julie</t>
  </si>
  <si>
    <t>South Tees Hospitals NHS Foundation Trust</t>
  </si>
  <si>
    <t>3966</t>
  </si>
  <si>
    <t>HFR02600</t>
  </si>
  <si>
    <t>Profher-2</t>
  </si>
  <si>
    <t>Gwilym, Mr Stephen</t>
  </si>
  <si>
    <t>Greater Manchester Mental Health NHS Foundation Trust</t>
  </si>
  <si>
    <t>97789</t>
  </si>
  <si>
    <t>Freeman, Prof Daniel</t>
  </si>
  <si>
    <t>Higgins, Dr Geoffrey</t>
  </si>
  <si>
    <t>210149016</t>
  </si>
  <si>
    <t>HQR01630</t>
  </si>
  <si>
    <t>16/159</t>
  </si>
  <si>
    <t>Baylor College of Medicine</t>
  </si>
  <si>
    <t>63167</t>
  </si>
  <si>
    <t>210149380</t>
  </si>
  <si>
    <t>HMR04760</t>
  </si>
  <si>
    <t>NIH - Behrens</t>
  </si>
  <si>
    <t>DLR00950</t>
  </si>
  <si>
    <t>Whitby, Prof Matthew</t>
  </si>
  <si>
    <t>HFR06540</t>
  </si>
  <si>
    <t>ODD SOCKS</t>
  </si>
  <si>
    <t>Perry, Mr Daniel</t>
  </si>
  <si>
    <t>NIHR132675</t>
  </si>
  <si>
    <t>DEBT BY MONTH</t>
  </si>
  <si>
    <t>ATR03260</t>
  </si>
  <si>
    <t>PALAEOFARM</t>
  </si>
  <si>
    <t>853272</t>
  </si>
  <si>
    <t>210149965</t>
  </si>
  <si>
    <t>210149978</t>
  </si>
  <si>
    <t>210143115</t>
  </si>
  <si>
    <t>DCR00620</t>
  </si>
  <si>
    <t>ITHACA</t>
  </si>
  <si>
    <t>Palmer, Prof Timothy</t>
  </si>
  <si>
    <t>741112</t>
  </si>
  <si>
    <t>LER00430</t>
  </si>
  <si>
    <t>BANK-LASH</t>
  </si>
  <si>
    <t>Culpepper, Prof Pepper</t>
  </si>
  <si>
    <t>787887</t>
  </si>
  <si>
    <t>University Court of University of Glasgow</t>
  </si>
  <si>
    <t>69432</t>
  </si>
  <si>
    <t>HJR01590</t>
  </si>
  <si>
    <t>MGUS progression</t>
  </si>
  <si>
    <t>20004</t>
  </si>
  <si>
    <t>AVR03340</t>
  </si>
  <si>
    <t>HJR02700</t>
  </si>
  <si>
    <t>HJR02340</t>
  </si>
  <si>
    <t>Mcculloch, Prof Peter</t>
  </si>
  <si>
    <t>A4R00050</t>
  </si>
  <si>
    <t>BBSRC_Collaboration_KCL</t>
  </si>
  <si>
    <t>Mommersteeg, Prof Mathilda</t>
  </si>
  <si>
    <t>Activity code RE21201 # 60492575.</t>
  </si>
  <si>
    <t>United States Agency for International Development</t>
  </si>
  <si>
    <t>46669</t>
  </si>
  <si>
    <t>ALR02255</t>
  </si>
  <si>
    <t>USAID IMV TO6 - CR model</t>
  </si>
  <si>
    <t>Minassian, Dr Angela</t>
  </si>
  <si>
    <t>AID.574450-01719943-CRT (TO5)</t>
  </si>
  <si>
    <t>University of Notre Dame</t>
  </si>
  <si>
    <t>BKR02200</t>
  </si>
  <si>
    <t>DFR09930</t>
  </si>
  <si>
    <t>Creswell, Prof Catharine</t>
  </si>
  <si>
    <t>HSR02090</t>
  </si>
  <si>
    <t>Watkins - Chair Renewal</t>
  </si>
  <si>
    <t>CH/1992001/6764</t>
  </si>
  <si>
    <t>DKK</t>
  </si>
  <si>
    <t>Chinese Academy of Medical Sciences</t>
  </si>
  <si>
    <t>78981</t>
  </si>
  <si>
    <t>Dong, Prof Tao</t>
  </si>
  <si>
    <t>210150037</t>
  </si>
  <si>
    <t>University Hospitals Bristol and Weston NHS Foundation Trust</t>
  </si>
  <si>
    <t>24313</t>
  </si>
  <si>
    <t>UK Centre for Ecology &amp; Hydrology</t>
  </si>
  <si>
    <t>AFR01990</t>
  </si>
  <si>
    <t>1466</t>
  </si>
  <si>
    <t>210150227</t>
  </si>
  <si>
    <t>HFR03920</t>
  </si>
  <si>
    <t>Oliver Bird</t>
  </si>
  <si>
    <t>Silman, Prof Alan</t>
  </si>
  <si>
    <t>OBF/43985</t>
  </si>
  <si>
    <t>210150233</t>
  </si>
  <si>
    <t>California Institute of Technology</t>
  </si>
  <si>
    <t>Townsend, Prof Alain</t>
  </si>
  <si>
    <t>Orfonyx Bio Ltd</t>
  </si>
  <si>
    <t>A3R00140</t>
  </si>
  <si>
    <t>210150333</t>
  </si>
  <si>
    <t>Dustin, Prof Michael</t>
  </si>
  <si>
    <t>Leeds Beckett University</t>
  </si>
  <si>
    <t>BZR06190</t>
  </si>
  <si>
    <t>CFR01500</t>
  </si>
  <si>
    <t>HJR02810</t>
  </si>
  <si>
    <t>Gouverneur, Prof Veronique</t>
  </si>
  <si>
    <t>IQVIA RDS Vietnam LLC</t>
  </si>
  <si>
    <t>111602</t>
  </si>
  <si>
    <t>B9R06060</t>
  </si>
  <si>
    <t>Viet-Yacoub-Janssen IQVIA</t>
  </si>
  <si>
    <t>64281802DNG2004</t>
  </si>
  <si>
    <t>ALR02300</t>
  </si>
  <si>
    <t>Whitby_BBSRC_Jan2020</t>
  </si>
  <si>
    <t>BB/V00073X/1</t>
  </si>
  <si>
    <t>Ferreira, Prof Daniela</t>
  </si>
  <si>
    <t>H7R01210</t>
  </si>
  <si>
    <t>D Hodson_DUK_GC Globulin</t>
  </si>
  <si>
    <t>22/0006389</t>
  </si>
  <si>
    <t>Ehlers, Prof Anke</t>
  </si>
  <si>
    <t>Buffa, Prof Francesca</t>
  </si>
  <si>
    <t>Pfizer Inc</t>
  </si>
  <si>
    <t>HJR01810</t>
  </si>
  <si>
    <t>Focused Ultrasound Foundation</t>
  </si>
  <si>
    <t>CDR01580</t>
  </si>
  <si>
    <t>German Historical Institute in Rome</t>
  </si>
  <si>
    <t>Max Weber Foundation</t>
  </si>
  <si>
    <t>DFR08401</t>
  </si>
  <si>
    <t>AWE Plc</t>
  </si>
  <si>
    <t>DMR02240</t>
  </si>
  <si>
    <t>Kodiform Therapeutics Limited</t>
  </si>
  <si>
    <t>DNR01320</t>
  </si>
  <si>
    <t>Omass Therapeutics Ltd</t>
  </si>
  <si>
    <t>H7R00680</t>
  </si>
  <si>
    <t>H7R01280</t>
  </si>
  <si>
    <t>Macular Society</t>
  </si>
  <si>
    <t>LCR00180</t>
  </si>
  <si>
    <t>BLR03610</t>
  </si>
  <si>
    <t>BZR06150</t>
  </si>
  <si>
    <t>CBR01050</t>
  </si>
  <si>
    <t>CYR00620</t>
  </si>
  <si>
    <t>DCR01310</t>
  </si>
  <si>
    <t>DGR02000</t>
  </si>
  <si>
    <t>DHR01661</t>
  </si>
  <si>
    <t>DJR02620</t>
  </si>
  <si>
    <t>H6R00650</t>
  </si>
  <si>
    <t>HFR06500</t>
  </si>
  <si>
    <t>HMR02790</t>
  </si>
  <si>
    <t>HNR03060</t>
  </si>
  <si>
    <t>Office of Naval Research</t>
  </si>
  <si>
    <t>Welsh Government</t>
  </si>
  <si>
    <t>Unilever UK Limited</t>
  </si>
  <si>
    <t>University of Strathclyde</t>
  </si>
  <si>
    <t>Health Data Research UK</t>
  </si>
  <si>
    <t>Cure Parkinson's Trust</t>
  </si>
  <si>
    <t>Stanford University</t>
  </si>
  <si>
    <t>International Growth Centre</t>
  </si>
  <si>
    <t>HNR03490</t>
  </si>
  <si>
    <t>AJR01030</t>
  </si>
  <si>
    <t>AMR00370</t>
  </si>
  <si>
    <t>B9R05720</t>
  </si>
  <si>
    <t>La Fondation Congolaise pour la Recherche Medicale</t>
  </si>
  <si>
    <t>European &amp; Developing Countries Clinical Trials Partnership</t>
  </si>
  <si>
    <t>CFR01480</t>
  </si>
  <si>
    <t>CZR01230</t>
  </si>
  <si>
    <t>DSO National Laboratories</t>
  </si>
  <si>
    <t>DCR01190</t>
  </si>
  <si>
    <t>DFR07330</t>
  </si>
  <si>
    <t>DHR01930</t>
  </si>
  <si>
    <t>H6RPES00</t>
  </si>
  <si>
    <t>HFR03900</t>
  </si>
  <si>
    <t>HFR06290</t>
  </si>
  <si>
    <t>AVR02511</t>
  </si>
  <si>
    <t>AVR03390</t>
  </si>
  <si>
    <t>B9R05500</t>
  </si>
  <si>
    <t>BVR02580</t>
  </si>
  <si>
    <t>BZR04700</t>
  </si>
  <si>
    <t>BZR05870</t>
  </si>
  <si>
    <t>CAR00870</t>
  </si>
  <si>
    <t>CFR01460</t>
  </si>
  <si>
    <t>CSR00580</t>
  </si>
  <si>
    <t>CYR00610</t>
  </si>
  <si>
    <t>DBR01160</t>
  </si>
  <si>
    <t>DBR01290</t>
  </si>
  <si>
    <t>DFR07390</t>
  </si>
  <si>
    <t>DFR09150</t>
  </si>
  <si>
    <t>DFR09490</t>
  </si>
  <si>
    <t>HBR05340</t>
  </si>
  <si>
    <t>HFR06220</t>
  </si>
  <si>
    <t>HMR03640</t>
  </si>
  <si>
    <t>HMR04070</t>
  </si>
  <si>
    <t>HMR05760</t>
  </si>
  <si>
    <t>HNR03560</t>
  </si>
  <si>
    <t>HQR02680</t>
  </si>
  <si>
    <t>Epilepsy Research UK</t>
  </si>
  <si>
    <t>Radboud Universiteit Nijmegen</t>
  </si>
  <si>
    <t>European Bioinformatics Institute - EMBL</t>
  </si>
  <si>
    <t>Royal Astronomical Society</t>
  </si>
  <si>
    <t>Stroke Association</t>
  </si>
  <si>
    <t>Michael J Fox Foundation for Parkinson's Research</t>
  </si>
  <si>
    <t>Daphne Jackson Memorial Fellowship Trust</t>
  </si>
  <si>
    <t>University of Essex</t>
  </si>
  <si>
    <t>DKR01560</t>
  </si>
  <si>
    <t>Department for Science, Innovation and Technology</t>
  </si>
  <si>
    <t>James Martin 21st Century Foundation</t>
  </si>
  <si>
    <t>DFR10290</t>
  </si>
  <si>
    <t>Toyota Motor Europe NV/SA</t>
  </si>
  <si>
    <t>ALR02900</t>
  </si>
  <si>
    <t>BZR06450</t>
  </si>
  <si>
    <t>DJR01860</t>
  </si>
  <si>
    <t>HMR05190</t>
  </si>
  <si>
    <t>HMR05650</t>
  </si>
  <si>
    <t>HMR05720</t>
  </si>
  <si>
    <t>M3R00860</t>
  </si>
  <si>
    <t>KEMRI Wellcome Trust Research Programme</t>
  </si>
  <si>
    <t>Royal Cornwall Hospitals NHS Trust</t>
  </si>
  <si>
    <t>Aarhus University</t>
  </si>
  <si>
    <t>Velux Foundation</t>
  </si>
  <si>
    <t>Brain Research UK</t>
  </si>
  <si>
    <t>University of North Carolina</t>
  </si>
  <si>
    <t>EPR02210</t>
  </si>
  <si>
    <t>Bell Foundation</t>
  </si>
  <si>
    <t>AZR03340</t>
  </si>
  <si>
    <t>Oxford Science Enterprises</t>
  </si>
  <si>
    <t>BBR00270</t>
  </si>
  <si>
    <t>CBR01060</t>
  </si>
  <si>
    <t>Panthera Corporation</t>
  </si>
  <si>
    <t>HER01820</t>
  </si>
  <si>
    <t>HMR05590</t>
  </si>
  <si>
    <t>Calico LLC</t>
  </si>
  <si>
    <t>BLR03860</t>
  </si>
  <si>
    <t>H4R03130</t>
  </si>
  <si>
    <t>HBR05430</t>
  </si>
  <si>
    <t>HMR06020</t>
  </si>
  <si>
    <t>g- 22/08/24 email from Robert Bough to Stephen - The Company is still disputing parts of the invoices, and we continue to rebut their arguments.  Angela Lintern is completely up to speed with the latest position.</t>
  </si>
  <si>
    <t>210151363</t>
  </si>
  <si>
    <t>ALR01430</t>
  </si>
  <si>
    <t>OMPORG</t>
  </si>
  <si>
    <t>Kleanthous, Prof Kleanthis</t>
  </si>
  <si>
    <t>742555</t>
  </si>
  <si>
    <t>HSR01000</t>
  </si>
  <si>
    <t>Watkins CHAIR renewal 19-24</t>
  </si>
  <si>
    <t>ANR00730</t>
  </si>
  <si>
    <t>MBL DNA repair factors</t>
  </si>
  <si>
    <t>Mchugh, Prof Peter</t>
  </si>
  <si>
    <t>C9047/A24759</t>
  </si>
  <si>
    <t>GN- 10767#11233</t>
  </si>
  <si>
    <t>BLR02290</t>
  </si>
  <si>
    <t>CompBioMed2</t>
  </si>
  <si>
    <t>823712</t>
  </si>
  <si>
    <t>210151345</t>
  </si>
  <si>
    <t>BKR01120</t>
  </si>
  <si>
    <t>ACB</t>
  </si>
  <si>
    <t>Alday, Prof Luis</t>
  </si>
  <si>
    <t>787185#</t>
  </si>
  <si>
    <t>BBR00180</t>
  </si>
  <si>
    <t>Senior Research Nurse</t>
  </si>
  <si>
    <t>C2195/A27750</t>
  </si>
  <si>
    <t>210150615</t>
  </si>
  <si>
    <t>210150669</t>
  </si>
  <si>
    <t>Oxford/01.24/Imran Naved#P8951508</t>
  </si>
  <si>
    <t>HSR01750</t>
  </si>
  <si>
    <t>KC Prog Grant Renewal</t>
  </si>
  <si>
    <t>RG/F/22/110085</t>
  </si>
  <si>
    <t>210150902</t>
  </si>
  <si>
    <t>ANR01010</t>
  </si>
  <si>
    <t>Lymphomas in East Africa</t>
  </si>
  <si>
    <t>Schuh, Prof Annette</t>
  </si>
  <si>
    <t>NIHR200133</t>
  </si>
  <si>
    <t>SARS-CoV-2 Delta</t>
  </si>
  <si>
    <t>PA1119 # 4608915</t>
  </si>
  <si>
    <t>210151221</t>
  </si>
  <si>
    <t>210151241</t>
  </si>
  <si>
    <t>ACR01060</t>
  </si>
  <si>
    <t>GCRF Water Security Hub</t>
  </si>
  <si>
    <t>Charles, Prof Katrina</t>
  </si>
  <si>
    <t>ES/S008179 # BH174018</t>
  </si>
  <si>
    <t>A5R00020</t>
  </si>
  <si>
    <t>Engineering the bone marrow</t>
  </si>
  <si>
    <t>DPAG Bionanoscience</t>
  </si>
  <si>
    <t>Stevens, Prof Molly</t>
  </si>
  <si>
    <t>210154163</t>
  </si>
  <si>
    <t>Goulder, Prof Philip</t>
  </si>
  <si>
    <t>Bonilla Osorio, Prof Ruy</t>
  </si>
  <si>
    <t>77630</t>
  </si>
  <si>
    <t>210152119</t>
  </si>
  <si>
    <t>IR to Focused Ultrasound Treat</t>
  </si>
  <si>
    <t>Reddy, Mr. Srikanth</t>
  </si>
  <si>
    <t>Ionate Limited</t>
  </si>
  <si>
    <t>112821</t>
  </si>
  <si>
    <t>DFR09991</t>
  </si>
  <si>
    <t>KTP with Ionate Ltd (Ionate)</t>
  </si>
  <si>
    <t>Morstyn, Prof Thomas</t>
  </si>
  <si>
    <t>13777 10080395</t>
  </si>
  <si>
    <t>210152243</t>
  </si>
  <si>
    <t>DFR04830</t>
  </si>
  <si>
    <t>DEFTPORE</t>
  </si>
  <si>
    <t>Macminn, Prof Christopher</t>
  </si>
  <si>
    <t>805469</t>
  </si>
  <si>
    <t>210152766</t>
  </si>
  <si>
    <t>DHR01190</t>
  </si>
  <si>
    <t>COMPLEXORDER</t>
  </si>
  <si>
    <t>Goodwin, Prof Andrew</t>
  </si>
  <si>
    <t>788144#</t>
  </si>
  <si>
    <t>210152290</t>
  </si>
  <si>
    <t>210152581</t>
  </si>
  <si>
    <t>HNR00810</t>
  </si>
  <si>
    <t>RESCEU</t>
  </si>
  <si>
    <t>116019</t>
  </si>
  <si>
    <t>210153134</t>
  </si>
  <si>
    <t>Centre for Process Innovation Limited</t>
  </si>
  <si>
    <t>82912</t>
  </si>
  <si>
    <t>CFR01440</t>
  </si>
  <si>
    <t>A Townsend - CEPI</t>
  </si>
  <si>
    <t>210152797</t>
  </si>
  <si>
    <t>#STS1000035086</t>
  </si>
  <si>
    <t>210152814</t>
  </si>
  <si>
    <t>EPR01370</t>
  </si>
  <si>
    <t>REES: LIFT</t>
  </si>
  <si>
    <t>NIHR- HS&amp;DR 17-108-06 Prof MacDonald</t>
  </si>
  <si>
    <t>University Hospitals Coventry &amp; Warwickshire NHS T</t>
  </si>
  <si>
    <t>SUT22006</t>
  </si>
  <si>
    <t>210152894</t>
  </si>
  <si>
    <t>23277</t>
  </si>
  <si>
    <t>210152921</t>
  </si>
  <si>
    <t>BXR00890</t>
  </si>
  <si>
    <t>Effectiveness for IMT on PPC</t>
  </si>
  <si>
    <t>UHB 137105/HTA grant 16/140/17</t>
  </si>
  <si>
    <t>Health Research Operations Kenya Ltd</t>
  </si>
  <si>
    <t>BMGF-VIRUTUBISHO</t>
  </si>
  <si>
    <t>INV-033629</t>
  </si>
  <si>
    <t>EDOL</t>
  </si>
  <si>
    <t>Grunewald, Dr Philipp</t>
  </si>
  <si>
    <t>Project code 185846</t>
  </si>
  <si>
    <t>210152950</t>
  </si>
  <si>
    <t>BZR05180</t>
  </si>
  <si>
    <t>Payne NIHR IPF</t>
  </si>
  <si>
    <t>Payne, Dr Rebecca</t>
  </si>
  <si>
    <t>NIHR302740</t>
  </si>
  <si>
    <t>#POPP000006</t>
  </si>
  <si>
    <t>Hoye, Prof Robert</t>
  </si>
  <si>
    <t>104513</t>
  </si>
  <si>
    <t>210153234</t>
  </si>
  <si>
    <t>CANTAM</t>
  </si>
  <si>
    <t>CSA202NoE-3100 CANTAM3</t>
  </si>
  <si>
    <t>REPPORT</t>
  </si>
  <si>
    <t>NIHR134398 # 200460946</t>
  </si>
  <si>
    <t>210153252</t>
  </si>
  <si>
    <t>University of Texas</t>
  </si>
  <si>
    <t>41357</t>
  </si>
  <si>
    <t>210153323</t>
  </si>
  <si>
    <t>H6R00550</t>
  </si>
  <si>
    <t>Meta analysis MRI data.</t>
  </si>
  <si>
    <t>UTA19-000292</t>
  </si>
  <si>
    <t>Szele, Prof Francis</t>
  </si>
  <si>
    <t>210153440</t>
  </si>
  <si>
    <t>HSR02160</t>
  </si>
  <si>
    <t>BHF Intermediate Fellowship 1</t>
  </si>
  <si>
    <t>Zhang, Mr Qiang</t>
  </si>
  <si>
    <t>FS/IBSRF/23/25190</t>
  </si>
  <si>
    <t>Marrow, Prof Thomas</t>
  </si>
  <si>
    <t>Eakins, Prof Daniel</t>
  </si>
  <si>
    <t>210153633</t>
  </si>
  <si>
    <t>210153588</t>
  </si>
  <si>
    <t>HJR02500</t>
  </si>
  <si>
    <t>Analysis of longitudinal immun</t>
  </si>
  <si>
    <t>Shankar, Miss Sushma</t>
  </si>
  <si>
    <t>8411</t>
  </si>
  <si>
    <t>210153649</t>
  </si>
  <si>
    <t>H4R02120</t>
  </si>
  <si>
    <t>WIMM-CRUK-Aldehydes</t>
  </si>
  <si>
    <t>C42693/A23273</t>
  </si>
  <si>
    <t>Frater, Prof Alexander</t>
  </si>
  <si>
    <t>Heart Research UK</t>
  </si>
  <si>
    <t>21865</t>
  </si>
  <si>
    <t>HJR01910</t>
  </si>
  <si>
    <t>Computer Tomography Angiograph</t>
  </si>
  <si>
    <t>Lee, Dr Regent</t>
  </si>
  <si>
    <t>RG2695/21/24</t>
  </si>
  <si>
    <t>210153737</t>
  </si>
  <si>
    <t>DMR01740</t>
  </si>
  <si>
    <t>RoLA-FLEX</t>
  </si>
  <si>
    <t>862474</t>
  </si>
  <si>
    <t>210153770</t>
  </si>
  <si>
    <t>MIDAS DJ</t>
  </si>
  <si>
    <t>EP/S01702X/1    R123610#ELM2073272</t>
  </si>
  <si>
    <t>31550</t>
  </si>
  <si>
    <t>Lewycka, Dr Sonia</t>
  </si>
  <si>
    <t>Sheffield Teaching Hospitals NHSFT</t>
  </si>
  <si>
    <t>48082</t>
  </si>
  <si>
    <t>HMR06150</t>
  </si>
  <si>
    <t>EXPERT-ALS - PART 1</t>
  </si>
  <si>
    <t>NIHR EME funding: STH22655 EME#EXPERTS-ALS BRC</t>
  </si>
  <si>
    <t>UK Atomic Energy Authority</t>
  </si>
  <si>
    <t>210154114</t>
  </si>
  <si>
    <t>AVR01650</t>
  </si>
  <si>
    <t>SURVIVE</t>
  </si>
  <si>
    <t>723997</t>
  </si>
  <si>
    <t>DFR09090</t>
  </si>
  <si>
    <t>CEBD</t>
  </si>
  <si>
    <t>10050803</t>
  </si>
  <si>
    <t>AVR02880</t>
  </si>
  <si>
    <t>Swietach_BHF_Curtailing_Nov20</t>
  </si>
  <si>
    <t>PG/21/10661</t>
  </si>
  <si>
    <t>Robinson, Prof Carol</t>
  </si>
  <si>
    <t>Diabetes Research &amp; Wellness Foundation</t>
  </si>
  <si>
    <t>4543</t>
  </si>
  <si>
    <t>Johnson, Prof Paul</t>
  </si>
  <si>
    <t>Mchugh, Dr Kirsty</t>
  </si>
  <si>
    <t>CFDX Ltd</t>
  </si>
  <si>
    <t>114908</t>
  </si>
  <si>
    <t>210154198</t>
  </si>
  <si>
    <t>HQR03510</t>
  </si>
  <si>
    <t>AI Modeling</t>
  </si>
  <si>
    <t>Koychev, Dr Ivan</t>
  </si>
  <si>
    <t>Malaria Consortium</t>
  </si>
  <si>
    <t>79378</t>
  </si>
  <si>
    <t>Epsom Medical Research</t>
  </si>
  <si>
    <t>74441</t>
  </si>
  <si>
    <t>AZR02540</t>
  </si>
  <si>
    <t>RW - Epsom - 2022</t>
  </si>
  <si>
    <t>Williams, Dr Richard</t>
  </si>
  <si>
    <t>email date 7th March 2022</t>
  </si>
  <si>
    <t>210154293</t>
  </si>
  <si>
    <t>HNR01070</t>
  </si>
  <si>
    <t>BHF - CD</t>
  </si>
  <si>
    <t>Jones, Dr Alexander</t>
  </si>
  <si>
    <t>FS/18/22/33479</t>
  </si>
  <si>
    <t>UK Research and Innovation/ Marie Sklodowska Curie Actions</t>
  </si>
  <si>
    <t>92887</t>
  </si>
  <si>
    <t>210154343</t>
  </si>
  <si>
    <t>Kukura, Dr. Philipp</t>
  </si>
  <si>
    <t>Fernandes, Dr Ricardo</t>
  </si>
  <si>
    <t>BWR01680</t>
  </si>
  <si>
    <t>FLEXLEARN</t>
  </si>
  <si>
    <t>Banerjee, Dr Abhishek</t>
  </si>
  <si>
    <t>210154336</t>
  </si>
  <si>
    <t>BZR05140</t>
  </si>
  <si>
    <t>COLOFIT</t>
  </si>
  <si>
    <t>HTA20/140 - NIHR133852 # NU-007050</t>
  </si>
  <si>
    <t>210154481</t>
  </si>
  <si>
    <t>CSR00130</t>
  </si>
  <si>
    <t>RADAR-AD</t>
  </si>
  <si>
    <t>806999</t>
  </si>
  <si>
    <t>HMR06200</t>
  </si>
  <si>
    <t>LUCA Science Inc.</t>
  </si>
  <si>
    <t>82321</t>
  </si>
  <si>
    <t>HER01200</t>
  </si>
  <si>
    <t>Use of iMIT to deliver mito</t>
  </si>
  <si>
    <t>B9R04192</t>
  </si>
  <si>
    <t>Thai-WT Core THB PPE</t>
  </si>
  <si>
    <t>220211/A/20/A CORE</t>
  </si>
  <si>
    <t>House, Prof Robert</t>
  </si>
  <si>
    <t>BPGbio, Inc.</t>
  </si>
  <si>
    <t>115729</t>
  </si>
  <si>
    <t>210154529</t>
  </si>
  <si>
    <t>CMR00230</t>
  </si>
  <si>
    <t>BPGBio Target Validation</t>
  </si>
  <si>
    <t>Oxford-BPG Research Sponsorship Agreement</t>
  </si>
  <si>
    <t>210154574</t>
  </si>
  <si>
    <t>HFR06150</t>
  </si>
  <si>
    <t>FLARE HTA</t>
  </si>
  <si>
    <t>Wormald, Mr Justin</t>
  </si>
  <si>
    <t>NIHR133784 #STS1000035086</t>
  </si>
  <si>
    <t>B9R06270</t>
  </si>
  <si>
    <t>210154619</t>
  </si>
  <si>
    <t>HQR03490</t>
  </si>
  <si>
    <t>MHM - Capacity Building</t>
  </si>
  <si>
    <t>AVR03530</t>
  </si>
  <si>
    <t>DR_ARUK_Oct2023</t>
  </si>
  <si>
    <t>ARUK-PPG2023B-044</t>
  </si>
  <si>
    <t>210154702</t>
  </si>
  <si>
    <t>HFR02860</t>
  </si>
  <si>
    <t>EHDEN</t>
  </si>
  <si>
    <t>806968</t>
  </si>
  <si>
    <t>Barasa, Mr. Edwine</t>
  </si>
  <si>
    <t>210154698</t>
  </si>
  <si>
    <t>210154720</t>
  </si>
  <si>
    <t>Multi stage clinical tool</t>
  </si>
  <si>
    <t>Rahimi, Prof Kazem</t>
  </si>
  <si>
    <t>OXGRIP</t>
  </si>
  <si>
    <t>National Centre for the Replacement, Refinement and Reduction of Animals in research (NC3RS)</t>
  </si>
  <si>
    <t>2350</t>
  </si>
  <si>
    <t>210154879</t>
  </si>
  <si>
    <t>CKR00330</t>
  </si>
  <si>
    <t>Documult - Johns - ERC</t>
  </si>
  <si>
    <t>Johns, Prof Jeremy</t>
  </si>
  <si>
    <t>1246689</t>
  </si>
  <si>
    <t>Cooper, Ms Cushla</t>
  </si>
  <si>
    <t>Perera, Prof Rafael</t>
  </si>
  <si>
    <t>Draper, Dr. Simon (Paediatrics</t>
  </si>
  <si>
    <t>WIMM - Goriely- NIHR - Nov 23</t>
  </si>
  <si>
    <t>NIHR207257</t>
  </si>
  <si>
    <t>210154944</t>
  </si>
  <si>
    <t>HSR01030</t>
  </si>
  <si>
    <t>BHF-DZHK</t>
  </si>
  <si>
    <t>SP/19/2/34462</t>
  </si>
  <si>
    <t>9823</t>
  </si>
  <si>
    <t>LER01530</t>
  </si>
  <si>
    <t>Civilian Harm in War</t>
  </si>
  <si>
    <t>Dill, Prof Janina</t>
  </si>
  <si>
    <t>ES/X01097X/1</t>
  </si>
  <si>
    <t>Classics Faculty</t>
  </si>
  <si>
    <t>210154984</t>
  </si>
  <si>
    <t>210154957</t>
  </si>
  <si>
    <t>Harrison, Prof Mark</t>
  </si>
  <si>
    <t>UK Research and Innovation</t>
  </si>
  <si>
    <t>48084</t>
  </si>
  <si>
    <t>210155141</t>
  </si>
  <si>
    <t>210155092</t>
  </si>
  <si>
    <t>DNR00800</t>
  </si>
  <si>
    <t>PHOTOMASS</t>
  </si>
  <si>
    <t>819593</t>
  </si>
  <si>
    <t>210155091</t>
  </si>
  <si>
    <t>H3R00560</t>
  </si>
  <si>
    <t>MicroC</t>
  </si>
  <si>
    <t>772970</t>
  </si>
  <si>
    <t>Cotterell, Prof Michael</t>
  </si>
  <si>
    <t>Liu, Prof Dong</t>
  </si>
  <si>
    <t>Serum Institute of India Private Limited</t>
  </si>
  <si>
    <t>70319</t>
  </si>
  <si>
    <t>R86370/CN008</t>
  </si>
  <si>
    <t>AVR03420</t>
  </si>
  <si>
    <t>RWM_PUK_SFarrow_Sep23</t>
  </si>
  <si>
    <t>F-2301</t>
  </si>
  <si>
    <t>210155320</t>
  </si>
  <si>
    <t>210155322</t>
  </si>
  <si>
    <t>210155318</t>
  </si>
  <si>
    <t>B9R05640</t>
  </si>
  <si>
    <t>IMPRIMA</t>
  </si>
  <si>
    <t>101103213</t>
  </si>
  <si>
    <t>Lyons, Prof Terry</t>
  </si>
  <si>
    <t>Program for Appropriate Technology in Health (PATH)</t>
  </si>
  <si>
    <t>97809</t>
  </si>
  <si>
    <t>ALR02256</t>
  </si>
  <si>
    <t>USAID IMV TO7 - CR model</t>
  </si>
  <si>
    <t>AID.574450-01706927-GEN/AID.57</t>
  </si>
  <si>
    <t>Tyler, Prof Damian</t>
  </si>
  <si>
    <t>Oppermann, Prof Udo</t>
  </si>
  <si>
    <t>210155374</t>
  </si>
  <si>
    <t>H4R02760</t>
  </si>
  <si>
    <t>WIMM - BCN (Sun) May 22</t>
  </si>
  <si>
    <t>Chapman, Prof Jonathan</t>
  </si>
  <si>
    <t>2022.11PR1585</t>
  </si>
  <si>
    <t>Paradifference Foundation</t>
  </si>
  <si>
    <t>210156007</t>
  </si>
  <si>
    <t>HQR02540</t>
  </si>
  <si>
    <t>ISAP</t>
  </si>
  <si>
    <t>NN6535-4887</t>
  </si>
  <si>
    <t>Peirson, Prof Stuart</t>
  </si>
  <si>
    <t>Norton, Dr Alice</t>
  </si>
  <si>
    <t>Ovseiko, Dr Pavel</t>
  </si>
  <si>
    <t>CSR00391</t>
  </si>
  <si>
    <t>DGHRW - Y2</t>
  </si>
  <si>
    <t>221283/B/20/Z</t>
  </si>
  <si>
    <t>ALR02030</t>
  </si>
  <si>
    <t>Simon Newstead_WT_IA_Nov2018</t>
  </si>
  <si>
    <t>Newstead, Prof Simon</t>
  </si>
  <si>
    <t>215519/Z/19/Z</t>
  </si>
  <si>
    <t>B9R03270</t>
  </si>
  <si>
    <t>Thai-Lubell-WT ICU-Nov18</t>
  </si>
  <si>
    <t>215604/Z/19/Z</t>
  </si>
  <si>
    <t>210156176</t>
  </si>
  <si>
    <t>CSR00250</t>
  </si>
  <si>
    <t>Infectious Content.</t>
  </si>
  <si>
    <t>217683/Z/19/Z</t>
  </si>
  <si>
    <t>AVR02430</t>
  </si>
  <si>
    <t>Spatiotemporal Dissection</t>
  </si>
  <si>
    <t>Stone, Dr Oliver</t>
  </si>
  <si>
    <t>218561/Z/19/Z</t>
  </si>
  <si>
    <t>CSR00330</t>
  </si>
  <si>
    <t>tracking microbes and ethics</t>
  </si>
  <si>
    <t>Johnson, Dr Stephanie</t>
  </si>
  <si>
    <t>221038/Z/20/Z</t>
  </si>
  <si>
    <t>210156080</t>
  </si>
  <si>
    <t>ATR02260</t>
  </si>
  <si>
    <t>Complex microbial communities</t>
  </si>
  <si>
    <t>Foster, Prof Kevin</t>
  </si>
  <si>
    <t>209397/Z/17/Z</t>
  </si>
  <si>
    <t>H5R01060</t>
  </si>
  <si>
    <t>WT Investigator</t>
  </si>
  <si>
    <t>Myers, Prof Simon</t>
  </si>
  <si>
    <t>212284/Z/18/Z</t>
  </si>
  <si>
    <t>B9R02850</t>
  </si>
  <si>
    <t>Snow PRF Renewal 2019-24</t>
  </si>
  <si>
    <t>Snow, Prof Robert</t>
  </si>
  <si>
    <t>212176/Z/18/Z</t>
  </si>
  <si>
    <t>B8R00160</t>
  </si>
  <si>
    <t>Molecular identity of neurons</t>
  </si>
  <si>
    <t>Miesenboeck, Prof Gero</t>
  </si>
  <si>
    <t>209235/Z/17/Z</t>
  </si>
  <si>
    <t>210156242</t>
  </si>
  <si>
    <t>HNR01660</t>
  </si>
  <si>
    <t>CRCD Fellowship</t>
  </si>
  <si>
    <t>Roy, Prof Anindita</t>
  </si>
  <si>
    <t>216632/Z/19/Z</t>
  </si>
  <si>
    <t>ATR03200</t>
  </si>
  <si>
    <t>PuBMLST</t>
  </si>
  <si>
    <t>218205/Z/19/Z</t>
  </si>
  <si>
    <t>210156319</t>
  </si>
  <si>
    <t>Lezaun, Dr Javier</t>
  </si>
  <si>
    <t>B9R05870</t>
  </si>
  <si>
    <t>Maia Marta BMGF June 23</t>
  </si>
  <si>
    <t>Ferreira Maia, Dr Marta</t>
  </si>
  <si>
    <t>C1204</t>
  </si>
  <si>
    <t>9110</t>
  </si>
  <si>
    <t>HMR05770</t>
  </si>
  <si>
    <t>HJR02910</t>
  </si>
  <si>
    <t>HFR06710</t>
  </si>
  <si>
    <t>AVR03070</t>
  </si>
  <si>
    <t>2462</t>
  </si>
  <si>
    <t>HNR03480</t>
  </si>
  <si>
    <t>Kangaroo Mother Care</t>
  </si>
  <si>
    <t>HMR04500</t>
  </si>
  <si>
    <t>Pansieri - MS</t>
  </si>
  <si>
    <t>Pansieri, Dr Jonathan</t>
  </si>
  <si>
    <t>145</t>
  </si>
  <si>
    <t>210156526</t>
  </si>
  <si>
    <t>210156443</t>
  </si>
  <si>
    <t>210156537</t>
  </si>
  <si>
    <t>CQR01290</t>
  </si>
  <si>
    <t>NEUROABSTRACTION</t>
  </si>
  <si>
    <t>725937</t>
  </si>
  <si>
    <t>210156589</t>
  </si>
  <si>
    <t>210156557</t>
  </si>
  <si>
    <t>HMR02380</t>
  </si>
  <si>
    <t>SLATE Emory</t>
  </si>
  <si>
    <t>Voets, Dr Natalie</t>
  </si>
  <si>
    <t>CTR00550</t>
  </si>
  <si>
    <t>ERC_SCHOOLPOL</t>
  </si>
  <si>
    <t>Gingrich, Prof Jane</t>
  </si>
  <si>
    <t>759188</t>
  </si>
  <si>
    <t>210156629</t>
  </si>
  <si>
    <t>Jamma International</t>
  </si>
  <si>
    <t>83819</t>
  </si>
  <si>
    <t>210156625</t>
  </si>
  <si>
    <t>CBR01140</t>
  </si>
  <si>
    <t>Wild animal deaths</t>
  </si>
  <si>
    <t>Harrington, Dr Lauren</t>
  </si>
  <si>
    <t>OX23024</t>
  </si>
  <si>
    <t>210156626</t>
  </si>
  <si>
    <t>LER01520</t>
  </si>
  <si>
    <t>J-PAL Outcomes Fund study</t>
  </si>
  <si>
    <t>CN</t>
  </si>
  <si>
    <t>CBR00760</t>
  </si>
  <si>
    <t>Bill and Melinda Gates Agricultural Innovations</t>
  </si>
  <si>
    <t>Chief Scientist Office</t>
  </si>
  <si>
    <t>AJR01040</t>
  </si>
  <si>
    <t>Exscientia Ltd</t>
  </si>
  <si>
    <t>BXR01210</t>
  </si>
  <si>
    <t>University Hospitals Birmingham NHS Foundation Trust</t>
  </si>
  <si>
    <t>CDR01550</t>
  </si>
  <si>
    <t>RAMC Charity</t>
  </si>
  <si>
    <t>DQR00221</t>
  </si>
  <si>
    <t>Oxford Nanopore Technologies Ltd</t>
  </si>
  <si>
    <t>HFR05950</t>
  </si>
  <si>
    <t>A3R00190</t>
  </si>
  <si>
    <t>AnnJi Pharmaceutical Co. Ltd</t>
  </si>
  <si>
    <t>BWR01580</t>
  </si>
  <si>
    <t>DUR01310</t>
  </si>
  <si>
    <t>CVR01220</t>
  </si>
  <si>
    <t>CZR01280</t>
  </si>
  <si>
    <t>DKR00940</t>
  </si>
  <si>
    <t>ShanghaiTech University</t>
  </si>
  <si>
    <t>HFR06650</t>
  </si>
  <si>
    <t>BLR02930</t>
  </si>
  <si>
    <t>CBR00070</t>
  </si>
  <si>
    <t>Ministry of Defence</t>
  </si>
  <si>
    <t>HBR05360</t>
  </si>
  <si>
    <t>PSC Support</t>
  </si>
  <si>
    <t>EBR00850</t>
  </si>
  <si>
    <t>HJR03300</t>
  </si>
  <si>
    <t>Oxford Archaeology Limited</t>
  </si>
  <si>
    <t>HFR06840</t>
  </si>
  <si>
    <t>Kyowa Kirin International Plc</t>
  </si>
  <si>
    <t>HFR06870</t>
  </si>
  <si>
    <t>Cellcentric Limited</t>
  </si>
  <si>
    <t>Syntara Limited</t>
  </si>
  <si>
    <t>AZR03380</t>
  </si>
  <si>
    <t>BZR06240</t>
  </si>
  <si>
    <t>BZR06750</t>
  </si>
  <si>
    <t>DFR10560</t>
  </si>
  <si>
    <t>H4R02630</t>
  </si>
  <si>
    <t>H6R00990</t>
  </si>
  <si>
    <t>HBR04930</t>
  </si>
  <si>
    <t>HFR06850</t>
  </si>
  <si>
    <t>HMR06250</t>
  </si>
  <si>
    <t>HNR03530</t>
  </si>
  <si>
    <t>HQR03450</t>
  </si>
  <si>
    <t>Gates Foundation</t>
  </si>
  <si>
    <t>University of Southern California</t>
  </si>
  <si>
    <t>A3R00150</t>
  </si>
  <si>
    <t>Fund for Cures UK Ltd</t>
  </si>
  <si>
    <t>BZR03080</t>
  </si>
  <si>
    <t>DFR05670</t>
  </si>
  <si>
    <t>Man Investments Ltd</t>
  </si>
  <si>
    <t>HSR02230</t>
  </si>
  <si>
    <t>B9R06320</t>
  </si>
  <si>
    <t>B5R00811</t>
  </si>
  <si>
    <t>BZR06810</t>
  </si>
  <si>
    <t>DFR10780</t>
  </si>
  <si>
    <t>DRR00900</t>
  </si>
  <si>
    <t>Yale University</t>
  </si>
  <si>
    <t>BZR06920</t>
  </si>
  <si>
    <t>Pennine Care NHS Foundation Trust</t>
  </si>
  <si>
    <t>Breakthrough Prize Foundation</t>
  </si>
  <si>
    <t>HFR06670</t>
  </si>
  <si>
    <t>ANR00900</t>
  </si>
  <si>
    <t>H4R02210</t>
  </si>
  <si>
    <t>AJR00910</t>
  </si>
  <si>
    <t>DFR10720</t>
  </si>
  <si>
    <t>AJR01240</t>
  </si>
  <si>
    <t>AZR02860</t>
  </si>
  <si>
    <t>Regeneron Pharmaceuticals Inc</t>
  </si>
  <si>
    <t>BZR02800</t>
  </si>
  <si>
    <t>BZR06880</t>
  </si>
  <si>
    <t>BZR07040</t>
  </si>
  <si>
    <t>CBR01300</t>
  </si>
  <si>
    <t>Accounting for Nature</t>
  </si>
  <si>
    <t>CNR00180</t>
  </si>
  <si>
    <t>H4R02653</t>
  </si>
  <si>
    <t>RM61G0394 - NIHR 09-55-63</t>
  </si>
  <si>
    <t>536034 - 16/84/01, DoH 123010</t>
  </si>
  <si>
    <t>Beijing Niujin Shisong Biotechnology Co., Ltd</t>
  </si>
  <si>
    <t>EP/V056883/1 # 30000119</t>
  </si>
  <si>
    <t>Polestar Performance AB</t>
  </si>
  <si>
    <t>107433</t>
  </si>
  <si>
    <t>210146006</t>
  </si>
  <si>
    <t>DHR01990</t>
  </si>
  <si>
    <t>eliminating GHG emissions</t>
  </si>
  <si>
    <t>210147478</t>
  </si>
  <si>
    <t>BLR03450</t>
  </si>
  <si>
    <t>WhiteMech - 834228</t>
  </si>
  <si>
    <t>De Giacomo, Prof Giuseppe</t>
  </si>
  <si>
    <t>834228</t>
  </si>
  <si>
    <t>16/159/09 - 537694 - PROFESSOR SEENA FAZEL</t>
  </si>
  <si>
    <t>#P7000001166</t>
  </si>
  <si>
    <t>210150512</t>
  </si>
  <si>
    <t>210162720</t>
  </si>
  <si>
    <t>210154042</t>
  </si>
  <si>
    <t>ALR02254</t>
  </si>
  <si>
    <t>USAID IMV TO5 - CR model</t>
  </si>
  <si>
    <t>b- 02/12/24 email from Lewis to Aiste Adomaviciene - Please find attached an invoice for staff costs. I have also recently heard of a supplement for the above award (please see attached). Do these costs also need to be invoiced for in a one-off lump sum, like the capacity development?  02/12/24 email from Aiste to Lewis -  Thank you. I have passed the invoice to our research finance team and cc’d you in.    06/01/25 email to ap - With reference to the below remittance listed is credit note 210152555 this credit is not outstanding as it was raised to cancel invoice 210149645 so not available, also credit note 210153131 this was raised to cancel invoice 210150827 this is also not available to be used, copy of all attached.  Can you look into this and let me know when we can expect payment of the two credits back? 06/01/25 email from Alec Frater -  210149645 was paid on the 15/10/24, 210150827 was paid on the 28/10/24.  06/01/25 email to Alec - The payment of invoice 210149645 has been applied to invoice replacement invoice 210152558 copy attached.  The payment of invoice 210150827 has been applied to replacement invoices 210153132 &amp; 210153133.  Need to check remit &amp; allocation.</t>
  </si>
  <si>
    <t>210157219</t>
  </si>
  <si>
    <t>Issa, Mr Fadi</t>
  </si>
  <si>
    <t>210156740</t>
  </si>
  <si>
    <t>DKR00780</t>
  </si>
  <si>
    <t>EQFT</t>
  </si>
  <si>
    <t>Coldea, Prof Radu</t>
  </si>
  <si>
    <t>788814</t>
  </si>
  <si>
    <t>210156738</t>
  </si>
  <si>
    <t>DJR01720</t>
  </si>
  <si>
    <t>MMGNRs</t>
  </si>
  <si>
    <t>773048</t>
  </si>
  <si>
    <t>Zondervan, Prof Krina</t>
  </si>
  <si>
    <t>210156739</t>
  </si>
  <si>
    <t>DMR01410</t>
  </si>
  <si>
    <t>HBPTC</t>
  </si>
  <si>
    <t>832994</t>
  </si>
  <si>
    <t>210156768</t>
  </si>
  <si>
    <t>210156839</t>
  </si>
  <si>
    <t>210156755</t>
  </si>
  <si>
    <t>HFR03670</t>
  </si>
  <si>
    <t>PASHiOn</t>
  </si>
  <si>
    <t>PAM 18-02732</t>
  </si>
  <si>
    <t>Sheppard, Prof Samuel</t>
  </si>
  <si>
    <t>DHR01980</t>
  </si>
  <si>
    <t>From Molecules</t>
  </si>
  <si>
    <t>Stamatakis, Prof Michail</t>
  </si>
  <si>
    <t>RPG-2017-361</t>
  </si>
  <si>
    <t>210156968</t>
  </si>
  <si>
    <t>210156982</t>
  </si>
  <si>
    <t>210157114</t>
  </si>
  <si>
    <t>210157113</t>
  </si>
  <si>
    <t>210157127</t>
  </si>
  <si>
    <t>BZR04360</t>
  </si>
  <si>
    <t>ECRAID-PRIME</t>
  </si>
  <si>
    <t>101046109</t>
  </si>
  <si>
    <t>B9R06250</t>
  </si>
  <si>
    <t>SMC Burkina Faso</t>
  </si>
  <si>
    <t>Contract No:002</t>
  </si>
  <si>
    <t>210157172</t>
  </si>
  <si>
    <t>HFR06700</t>
  </si>
  <si>
    <t>DELPHIC</t>
  </si>
  <si>
    <t>MOPPET/23GAN006/DELPHIC</t>
  </si>
  <si>
    <t>HSR00031</t>
  </si>
  <si>
    <t>BHF CRE Renewal 3</t>
  </si>
  <si>
    <t>RE/18/3/34214</t>
  </si>
  <si>
    <t>UK Research and Innovation/ European Commission Collaborative Project</t>
  </si>
  <si>
    <t>92886</t>
  </si>
  <si>
    <t>Wilson, Prof Charles</t>
  </si>
  <si>
    <t>210157240</t>
  </si>
  <si>
    <t>DKR00790</t>
  </si>
  <si>
    <t>OPV Prosperity Partner</t>
  </si>
  <si>
    <t>EP/S004947/1</t>
  </si>
  <si>
    <t>Keele University</t>
  </si>
  <si>
    <t>2349</t>
  </si>
  <si>
    <t>210157465</t>
  </si>
  <si>
    <t>Barlow, Prof Jane</t>
  </si>
  <si>
    <t>Gergely, Dr Fanni</t>
  </si>
  <si>
    <t>NeoVac Ltd</t>
  </si>
  <si>
    <t>90535</t>
  </si>
  <si>
    <t>210157654</t>
  </si>
  <si>
    <t>HCR01930</t>
  </si>
  <si>
    <t>NeomiVac001</t>
  </si>
  <si>
    <t>NV01-NeomiVac</t>
  </si>
  <si>
    <t>Ogg, Prof Graham</t>
  </si>
  <si>
    <t>210157709</t>
  </si>
  <si>
    <t>210157737</t>
  </si>
  <si>
    <t>HQR01870</t>
  </si>
  <si>
    <t>euSNN</t>
  </si>
  <si>
    <t>De Ozorio Nobre, Prof Anna</t>
  </si>
  <si>
    <t>860563</t>
  </si>
  <si>
    <t>210157884</t>
  </si>
  <si>
    <t>University of Maryland</t>
  </si>
  <si>
    <t>6231</t>
  </si>
  <si>
    <t>210157916</t>
  </si>
  <si>
    <t>HNR02830</t>
  </si>
  <si>
    <t>TyVAC 2.0</t>
  </si>
  <si>
    <t>20421-0855 INV-030857 # 1000012591</t>
  </si>
  <si>
    <t>HMR04740</t>
  </si>
  <si>
    <t>Talbot - MNDA</t>
  </si>
  <si>
    <t>Talbot/Oct21/966-794 #MND021828</t>
  </si>
  <si>
    <t>Satsangi, Prof Jack</t>
  </si>
  <si>
    <t>BXR01610</t>
  </si>
  <si>
    <t>IMPACT.</t>
  </si>
  <si>
    <t>Landeiro, Dr Filipa</t>
  </si>
  <si>
    <t>PO 4713559 - PA3631</t>
  </si>
  <si>
    <t>Snape, Prof Matthew</t>
  </si>
  <si>
    <t>Fondation Philippe Wiener-Maurice Anspach</t>
  </si>
  <si>
    <t>7630</t>
  </si>
  <si>
    <t>210158199</t>
  </si>
  <si>
    <t>BER00620</t>
  </si>
  <si>
    <t>Crete and Euboea</t>
  </si>
  <si>
    <t>Lemos, Prof Irene</t>
  </si>
  <si>
    <t>R79088</t>
  </si>
  <si>
    <t>NHS Buckinghamshire, Oxfordshire and Berkshire West ICB (QU9)</t>
  </si>
  <si>
    <t>9746</t>
  </si>
  <si>
    <t>BZR00140</t>
  </si>
  <si>
    <t>New Monitoring</t>
  </si>
  <si>
    <t>RP-PG-1210-12003</t>
  </si>
  <si>
    <t>B9R05920</t>
  </si>
  <si>
    <t>Kenya Open Access 2024</t>
  </si>
  <si>
    <t>309269/Z/24/Z</t>
  </si>
  <si>
    <t>HFR05650</t>
  </si>
  <si>
    <t>iPROLEPSIS</t>
  </si>
  <si>
    <t>10069573</t>
  </si>
  <si>
    <t>210158436</t>
  </si>
  <si>
    <t>BKR01980</t>
  </si>
  <si>
    <t>02572</t>
  </si>
  <si>
    <t>Harrington, Prof Heather</t>
  </si>
  <si>
    <t>URF\R\211032</t>
  </si>
  <si>
    <t>Collins, Prof Gary</t>
  </si>
  <si>
    <t>DJR02770</t>
  </si>
  <si>
    <t>ARCANE</t>
  </si>
  <si>
    <t>LDR01410</t>
  </si>
  <si>
    <t>SUSTAIN</t>
  </si>
  <si>
    <t>10075763</t>
  </si>
  <si>
    <t>210158757</t>
  </si>
  <si>
    <t>210158805</t>
  </si>
  <si>
    <t>210158808</t>
  </si>
  <si>
    <t>Global Antibiotic Research and Development Partnership (GARDP)</t>
  </si>
  <si>
    <t>82140</t>
  </si>
  <si>
    <t>210158516</t>
  </si>
  <si>
    <t>B9R05250</t>
  </si>
  <si>
    <t>GARDP NeoSep1-July22</t>
  </si>
  <si>
    <t>210158595</t>
  </si>
  <si>
    <t>HMR03191</t>
  </si>
  <si>
    <t>Cerebral palsy.</t>
  </si>
  <si>
    <t>Project StimCP 1170/RB09374</t>
  </si>
  <si>
    <t>Programme grant</t>
  </si>
  <si>
    <t>PRCNPG-Nov23/100001# UOB581072</t>
  </si>
  <si>
    <t>University of Texas at Austin</t>
  </si>
  <si>
    <t>61608</t>
  </si>
  <si>
    <t>210158793</t>
  </si>
  <si>
    <t>CSR00750</t>
  </si>
  <si>
    <t>meta-analysis of functional MR</t>
  </si>
  <si>
    <t>UTAUS-SUB00001633</t>
  </si>
  <si>
    <t>210158816</t>
  </si>
  <si>
    <t>AVR02640</t>
  </si>
  <si>
    <t>GSK_GWAS Loci</t>
  </si>
  <si>
    <t>3000037062</t>
  </si>
  <si>
    <t>210158823</t>
  </si>
  <si>
    <t>DNR01360</t>
  </si>
  <si>
    <t>Learning lessons from Nature</t>
  </si>
  <si>
    <t>Mackenzie, Prof Stuart</t>
  </si>
  <si>
    <t>W911NF2310342</t>
  </si>
  <si>
    <t>210158826</t>
  </si>
  <si>
    <t>210158899</t>
  </si>
  <si>
    <t>210159386</t>
  </si>
  <si>
    <t>Target safety &amp; efficacy eval</t>
  </si>
  <si>
    <t>#0082169250</t>
  </si>
  <si>
    <t>210159389</t>
  </si>
  <si>
    <t>Burkina Faso collab.</t>
  </si>
  <si>
    <t>224487/Z/21/Z</t>
  </si>
  <si>
    <t>74977</t>
  </si>
  <si>
    <t>E. Culver- Predicting Progress</t>
  </si>
  <si>
    <t>AGPROJ23B</t>
  </si>
  <si>
    <t>210159255</t>
  </si>
  <si>
    <t>210159533</t>
  </si>
  <si>
    <t>210159501</t>
  </si>
  <si>
    <t>CBR00280</t>
  </si>
  <si>
    <t>Resurrection Island</t>
  </si>
  <si>
    <t>Bull, Prof Joseph</t>
  </si>
  <si>
    <t>28-003</t>
  </si>
  <si>
    <t>210159500</t>
  </si>
  <si>
    <t>HBR05550</t>
  </si>
  <si>
    <t>N Rahman - NIHR RfPB</t>
  </si>
  <si>
    <t>NIHR 206382 - R92218 CN073</t>
  </si>
  <si>
    <t>210159575</t>
  </si>
  <si>
    <t>HBR05530</t>
  </si>
  <si>
    <t>N Rahman - NIHR...</t>
  </si>
  <si>
    <t>NIHR154890 # PO-RJ1-1275746</t>
  </si>
  <si>
    <t>Advanced Research and Invention Agency (ARIA)</t>
  </si>
  <si>
    <t>113410</t>
  </si>
  <si>
    <t>DCR01380</t>
  </si>
  <si>
    <t>CleanCloud</t>
  </si>
  <si>
    <t>10113611</t>
  </si>
  <si>
    <t>Nottinghamshire Healthcare NHS Foundation Trust</t>
  </si>
  <si>
    <t>74638</t>
  </si>
  <si>
    <t>BZR04450</t>
  </si>
  <si>
    <t>OSCAR.</t>
  </si>
  <si>
    <t>NIHR201895</t>
  </si>
  <si>
    <t>BLR03490</t>
  </si>
  <si>
    <t>TaRDIS</t>
  </si>
  <si>
    <t>10066667</t>
  </si>
  <si>
    <t>Ruskin School of Art</t>
  </si>
  <si>
    <t>AFR02150</t>
  </si>
  <si>
    <t>Co-Centre</t>
  </si>
  <si>
    <t>Ingram, Dr John</t>
  </si>
  <si>
    <t>R/185116</t>
  </si>
  <si>
    <t>Energy Systems Catapult</t>
  </si>
  <si>
    <t>73491</t>
  </si>
  <si>
    <t>210159748</t>
  </si>
  <si>
    <t>DFR09710</t>
  </si>
  <si>
    <t>HFNZ ESC</t>
  </si>
  <si>
    <t>210159834</t>
  </si>
  <si>
    <t>HQR02610</t>
  </si>
  <si>
    <t>CHRONOS</t>
  </si>
  <si>
    <t>Cipriani, Prof Andrea</t>
  </si>
  <si>
    <t>AI_AWARD02183 - 562274</t>
  </si>
  <si>
    <t>HNR03170</t>
  </si>
  <si>
    <t>NOSEVAC</t>
  </si>
  <si>
    <t>10077113</t>
  </si>
  <si>
    <t>Ramsey, Prof Christopher</t>
  </si>
  <si>
    <t>Hall, Prof James</t>
  </si>
  <si>
    <t>Bhaskaran, Prof Harish</t>
  </si>
  <si>
    <t>DCR01240</t>
  </si>
  <si>
    <t>EERIE (Christensen RIA 2022)</t>
  </si>
  <si>
    <t>Christensen, Prof Hannah</t>
  </si>
  <si>
    <t>10049639</t>
  </si>
  <si>
    <t>210159979</t>
  </si>
  <si>
    <t>Woollings, Prof Tim</t>
  </si>
  <si>
    <t>210159953</t>
  </si>
  <si>
    <t>210159930</t>
  </si>
  <si>
    <t>KH BMS Fellowship</t>
  </si>
  <si>
    <t>N/A#0082177790</t>
  </si>
  <si>
    <t>210159997</t>
  </si>
  <si>
    <t>DNR01350</t>
  </si>
  <si>
    <t>Aerosol Optical Properties</t>
  </si>
  <si>
    <t>RG\R2\232061</t>
  </si>
  <si>
    <t>210160059</t>
  </si>
  <si>
    <t>210160150</t>
  </si>
  <si>
    <t>Multiple roles of cryptochrome</t>
  </si>
  <si>
    <t>311280/Z/24/Z</t>
  </si>
  <si>
    <t>P Klenerman - CoeliacUK</t>
  </si>
  <si>
    <t>210160361</t>
  </si>
  <si>
    <t>Kavli Trust</t>
  </si>
  <si>
    <t>77635</t>
  </si>
  <si>
    <t>210160424</t>
  </si>
  <si>
    <t>CQR01970</t>
  </si>
  <si>
    <t>Online Intervention</t>
  </si>
  <si>
    <t>210160435</t>
  </si>
  <si>
    <t>ANR01450</t>
  </si>
  <si>
    <t>Tumour Control</t>
  </si>
  <si>
    <t>Maughan, Prof Timothy</t>
  </si>
  <si>
    <t>RCCPOB-May22\100004</t>
  </si>
  <si>
    <t>210160462</t>
  </si>
  <si>
    <t>H3R00640</t>
  </si>
  <si>
    <t>NCITA</t>
  </si>
  <si>
    <t>C34326/A28684</t>
  </si>
  <si>
    <t>210160438</t>
  </si>
  <si>
    <t>ANR01250</t>
  </si>
  <si>
    <t>CEeDD.</t>
  </si>
  <si>
    <t>Kerr, Dr Rachel</t>
  </si>
  <si>
    <t>NIHR201655</t>
  </si>
  <si>
    <t>Barker, Prof Karen</t>
  </si>
  <si>
    <t>H7R01170</t>
  </si>
  <si>
    <t>REDDIE</t>
  </si>
  <si>
    <t>10069566</t>
  </si>
  <si>
    <t>210160512</t>
  </si>
  <si>
    <t>E1R00090</t>
  </si>
  <si>
    <t>MOR-PHON</t>
  </si>
  <si>
    <t>Lahiri, Prof Aditi</t>
  </si>
  <si>
    <t>695481</t>
  </si>
  <si>
    <t>210160523</t>
  </si>
  <si>
    <t>HCR02060</t>
  </si>
  <si>
    <t>TBVAC-HORIZON- UKRI</t>
  </si>
  <si>
    <t>10076073</t>
  </si>
  <si>
    <t>210160534</t>
  </si>
  <si>
    <t>ALR01760</t>
  </si>
  <si>
    <t>Nasmyth_CRUK_finalNov2017</t>
  </si>
  <si>
    <t>Nasmyth, Prof Kim</t>
  </si>
  <si>
    <t>C573/A26747</t>
  </si>
  <si>
    <t>210160541</t>
  </si>
  <si>
    <t>Booth, Prof Martin</t>
  </si>
  <si>
    <t>Georgieva, Prof Antoniya</t>
  </si>
  <si>
    <t>210160565</t>
  </si>
  <si>
    <t>BKR02470</t>
  </si>
  <si>
    <t>3547</t>
  </si>
  <si>
    <t>Bhardwaj, Dr Lakshya</t>
  </si>
  <si>
    <t>URF\R1\231467</t>
  </si>
  <si>
    <t>Birmingham Women's and Children's NHS Foundation Trust</t>
  </si>
  <si>
    <t>5730</t>
  </si>
  <si>
    <t>DMR02250</t>
  </si>
  <si>
    <t>(BioPlatScope)</t>
  </si>
  <si>
    <t>10128439</t>
  </si>
  <si>
    <t>210160736</t>
  </si>
  <si>
    <t>Novartis Pharma AG Switzerland</t>
  </si>
  <si>
    <t>6713</t>
  </si>
  <si>
    <t>111824</t>
  </si>
  <si>
    <t>210160596</t>
  </si>
  <si>
    <t>SBMA</t>
  </si>
  <si>
    <t>R89141/CN001</t>
  </si>
  <si>
    <t>Rahal, Dr Richard</t>
  </si>
  <si>
    <t>210160766</t>
  </si>
  <si>
    <t>DJR01840</t>
  </si>
  <si>
    <t>URF Natalia Ares</t>
  </si>
  <si>
    <t>URF\R1\191150</t>
  </si>
  <si>
    <t>Wooldridge, Prof Michael</t>
  </si>
  <si>
    <t>Kendall, Prof John</t>
  </si>
  <si>
    <t>DFR10390</t>
  </si>
  <si>
    <t>Reveal3D</t>
  </si>
  <si>
    <t>Fallon, Dr Maurice</t>
  </si>
  <si>
    <t>R129861#EEZ2674906</t>
  </si>
  <si>
    <t>210160805</t>
  </si>
  <si>
    <t>Birdlife International</t>
  </si>
  <si>
    <t>99153</t>
  </si>
  <si>
    <t>210160820</t>
  </si>
  <si>
    <t>CBR00240</t>
  </si>
  <si>
    <t>Cabo Verd Communities</t>
  </si>
  <si>
    <t>E1440</t>
  </si>
  <si>
    <t>University of Toronto</t>
  </si>
  <si>
    <t>8399</t>
  </si>
  <si>
    <t>210160832</t>
  </si>
  <si>
    <t>CUR01440</t>
  </si>
  <si>
    <t>Strengthening Tax Enforcement</t>
  </si>
  <si>
    <t>Meriggi, Mr Niccolo</t>
  </si>
  <si>
    <t>Subgrant1 513334 (Toronto)</t>
  </si>
  <si>
    <t>Ploeg, Prof Rutger</t>
  </si>
  <si>
    <t>210160888</t>
  </si>
  <si>
    <t>Arts Council England</t>
  </si>
  <si>
    <t>4063</t>
  </si>
  <si>
    <t>210160929</t>
  </si>
  <si>
    <t>GPR00140</t>
  </si>
  <si>
    <t>Afterimages</t>
  </si>
  <si>
    <t>Martin, Prof Daria</t>
  </si>
  <si>
    <t>ACPG-00406500</t>
  </si>
  <si>
    <t>Tierney, Dr Stephanie</t>
  </si>
  <si>
    <t>210160981</t>
  </si>
  <si>
    <t>319417</t>
  </si>
  <si>
    <t>Fullerton, Prof James</t>
  </si>
  <si>
    <t>210161055</t>
  </si>
  <si>
    <t>DFR08590</t>
  </si>
  <si>
    <t>TIER2</t>
  </si>
  <si>
    <t>10056276</t>
  </si>
  <si>
    <t>MQR00080</t>
  </si>
  <si>
    <t>Retail Business Datasafe</t>
  </si>
  <si>
    <t>Reynolds, Dr Jonathan</t>
  </si>
  <si>
    <t>WT 3947817 # 0000016817</t>
  </si>
  <si>
    <t>210161144</t>
  </si>
  <si>
    <t>Walker, Prof Andrew</t>
  </si>
  <si>
    <t>210161150</t>
  </si>
  <si>
    <t>210161204</t>
  </si>
  <si>
    <t>HFR02890</t>
  </si>
  <si>
    <t>CRUK CSM (2019-2024)</t>
  </si>
  <si>
    <t>A27294/C49297</t>
  </si>
  <si>
    <t>210161237</t>
  </si>
  <si>
    <t>BWR01440</t>
  </si>
  <si>
    <t>anti-CD20</t>
  </si>
  <si>
    <t>Anthony, Prof Daniel</t>
  </si>
  <si>
    <t>3005557912</t>
  </si>
  <si>
    <t>210161232</t>
  </si>
  <si>
    <t>DLR00882</t>
  </si>
  <si>
    <t>LHCb - Shared EQ Budget</t>
  </si>
  <si>
    <t>John, Prof Malcolm</t>
  </si>
  <si>
    <t># 4070359488</t>
  </si>
  <si>
    <t>210161238</t>
  </si>
  <si>
    <t>DKR00860</t>
  </si>
  <si>
    <t>mVITO</t>
  </si>
  <si>
    <t>Davis, Prof James</t>
  </si>
  <si>
    <t>788932</t>
  </si>
  <si>
    <t>210161265</t>
  </si>
  <si>
    <t>210161253</t>
  </si>
  <si>
    <t>BZR03670</t>
  </si>
  <si>
    <t>CRUK TAG call</t>
  </si>
  <si>
    <t>Hartmann-Boyce, Dr Jamie</t>
  </si>
  <si>
    <t>PPRCTAGPJT\100002</t>
  </si>
  <si>
    <t>210161264</t>
  </si>
  <si>
    <t>AJR01080</t>
  </si>
  <si>
    <t>HAO1 inhibitors for primary hy</t>
  </si>
  <si>
    <t>NU-007814</t>
  </si>
  <si>
    <t>AER01730</t>
  </si>
  <si>
    <t>ISCA-NIHR-LSTM-TFR-Arboviral</t>
  </si>
  <si>
    <t>Kelly, Prof Ann</t>
  </si>
  <si>
    <t>NIHR156750</t>
  </si>
  <si>
    <t>Erasmus Universitair Medisch Centrum Rotterdam</t>
  </si>
  <si>
    <t>69145</t>
  </si>
  <si>
    <t>HFR05461</t>
  </si>
  <si>
    <t>AD - DARWIN</t>
  </si>
  <si>
    <t>Delmestri, Dr Antonella</t>
  </si>
  <si>
    <t>113271 - 8th February 2022#11207399</t>
  </si>
  <si>
    <t>University of Plymouth</t>
  </si>
  <si>
    <t>2355</t>
  </si>
  <si>
    <t>DFR09660</t>
  </si>
  <si>
    <t>Supergen ORE 2</t>
  </si>
  <si>
    <t>Willden, Prof Richard</t>
  </si>
  <si>
    <t>RR205953-101</t>
  </si>
  <si>
    <t>210161300</t>
  </si>
  <si>
    <t>HFR03600</t>
  </si>
  <si>
    <t>JR - PRO-CURE</t>
  </si>
  <si>
    <t>NIHR128043</t>
  </si>
  <si>
    <t>H5R02080</t>
  </si>
  <si>
    <t>EU MC BSAV</t>
  </si>
  <si>
    <t>10111033</t>
  </si>
  <si>
    <t>PSR00140</t>
  </si>
  <si>
    <t>Development Award (GHR CADA) R</t>
  </si>
  <si>
    <t>210161338</t>
  </si>
  <si>
    <t>HNR02140</t>
  </si>
  <si>
    <t>NIHR202437</t>
  </si>
  <si>
    <t>d- 14/05/25 email from Junaid to academy awards - Please find attached Credit Note relating to the above-mentioned project.</t>
  </si>
  <si>
    <t>HMR05120</t>
  </si>
  <si>
    <t>WT CRCDF - Ajina (lead UCL)</t>
  </si>
  <si>
    <t>Ajina, Dr. Sara</t>
  </si>
  <si>
    <t>224655/Z/21/Z # 572003</t>
  </si>
  <si>
    <t>2503</t>
  </si>
  <si>
    <t>A4R00030</t>
  </si>
  <si>
    <t>Blast Injury Regen - Fellow</t>
  </si>
  <si>
    <t>#DSTL0000013955</t>
  </si>
  <si>
    <t>210161432</t>
  </si>
  <si>
    <t>VN_Sonia-BA_ODA</t>
  </si>
  <si>
    <t>IOCRG\100070</t>
  </si>
  <si>
    <t>210161456</t>
  </si>
  <si>
    <t>H6R00450</t>
  </si>
  <si>
    <t>BHF Chair</t>
  </si>
  <si>
    <t>Collins, Prof Rory</t>
  </si>
  <si>
    <t>CH/1996001/9454</t>
  </si>
  <si>
    <t>210161480</t>
  </si>
  <si>
    <t>210161481</t>
  </si>
  <si>
    <t>210161483</t>
  </si>
  <si>
    <t>210161485</t>
  </si>
  <si>
    <t>Marley Health Ltd</t>
  </si>
  <si>
    <t>DFR10890</t>
  </si>
  <si>
    <t>Clifton, Prof David</t>
  </si>
  <si>
    <t>Chelsea and Westminster Hospital NHS Foundation Trust</t>
  </si>
  <si>
    <t>78922</t>
  </si>
  <si>
    <t>210161601</t>
  </si>
  <si>
    <t>B2R01140</t>
  </si>
  <si>
    <t>Cardiomyopathy</t>
  </si>
  <si>
    <t>UKOSS R&amp;D Cauldwell</t>
  </si>
  <si>
    <t>210161645</t>
  </si>
  <si>
    <t>HNR03500</t>
  </si>
  <si>
    <t>Anti-SARS-CoV2 lung responses</t>
  </si>
  <si>
    <t>ROC10200FS RBPS 05710</t>
  </si>
  <si>
    <t>HNR03701</t>
  </si>
  <si>
    <t>SII Bi Valent Vacc/Challenge -</t>
  </si>
  <si>
    <t>Institute for Fiscal Studies</t>
  </si>
  <si>
    <t>60223</t>
  </si>
  <si>
    <t>GN3036</t>
  </si>
  <si>
    <t>AbbVie Inc</t>
  </si>
  <si>
    <t>91553</t>
  </si>
  <si>
    <t>210161705</t>
  </si>
  <si>
    <t>ACR01590</t>
  </si>
  <si>
    <t>Mistral.</t>
  </si>
  <si>
    <t>Lora-Wainwright, Prof Anna</t>
  </si>
  <si>
    <t>10063764</t>
  </si>
  <si>
    <t>HFR06690</t>
  </si>
  <si>
    <t>MC - CADA</t>
  </si>
  <si>
    <t>NIHR203194</t>
  </si>
  <si>
    <t>210161700</t>
  </si>
  <si>
    <t>210161687</t>
  </si>
  <si>
    <t>HER01180</t>
  </si>
  <si>
    <t>AI Fetal Monitoring</t>
  </si>
  <si>
    <t>NIHR202117 - 555326</t>
  </si>
  <si>
    <t>210161758</t>
  </si>
  <si>
    <t>BLR04050</t>
  </si>
  <si>
    <t>Supermartingale Certificates</t>
  </si>
  <si>
    <t>Abate, Prof Alessandro</t>
  </si>
  <si>
    <t>3117</t>
  </si>
  <si>
    <t>Suttie, Dr Michael</t>
  </si>
  <si>
    <t>University of Michigan</t>
  </si>
  <si>
    <t>4880</t>
  </si>
  <si>
    <t>B9R04260</t>
  </si>
  <si>
    <t>Thai - Taylor -MRC DPFS Jun 20</t>
  </si>
  <si>
    <t>MR/V027522/1</t>
  </si>
  <si>
    <t>210162292</t>
  </si>
  <si>
    <t>210162415</t>
  </si>
  <si>
    <t>Shapiro, Dr Susan</t>
  </si>
  <si>
    <t>Little Princess Trust</t>
  </si>
  <si>
    <t>82919</t>
  </si>
  <si>
    <t>210162325</t>
  </si>
  <si>
    <t>HNR02080</t>
  </si>
  <si>
    <t>Role of CD133/PROM1 in MLL</t>
  </si>
  <si>
    <t>CCLGA 2020 23</t>
  </si>
  <si>
    <t>GlaxoSmithKline Biologicals s.a.</t>
  </si>
  <si>
    <t>28266</t>
  </si>
  <si>
    <t>210162448</t>
  </si>
  <si>
    <t>210162421</t>
  </si>
  <si>
    <t>DCR01390</t>
  </si>
  <si>
    <t>Embed2Scale</t>
  </si>
  <si>
    <t>10113603</t>
  </si>
  <si>
    <t>210162466</t>
  </si>
  <si>
    <t>BZR03620</t>
  </si>
  <si>
    <t>Child LD services</t>
  </si>
  <si>
    <t>R.CDAA.3128</t>
  </si>
  <si>
    <t>210162498</t>
  </si>
  <si>
    <t>210162482</t>
  </si>
  <si>
    <t>210162501</t>
  </si>
  <si>
    <t>Draper, Prof Simon</t>
  </si>
  <si>
    <t>210162515</t>
  </si>
  <si>
    <t>210162595</t>
  </si>
  <si>
    <t>H7R01290</t>
  </si>
  <si>
    <t>CHRISTODOULIDES_BHF_SRF</t>
  </si>
  <si>
    <t>FS/SCRF/24/32029</t>
  </si>
  <si>
    <t>Licausi, Prof Francesco</t>
  </si>
  <si>
    <t>210162670</t>
  </si>
  <si>
    <t>DMR01540</t>
  </si>
  <si>
    <t>Nature-ETN</t>
  </si>
  <si>
    <t>Brown, Prof Tom</t>
  </si>
  <si>
    <t>861381</t>
  </si>
  <si>
    <t>210162728</t>
  </si>
  <si>
    <t>PSR00270</t>
  </si>
  <si>
    <t>CEPI Fraser</t>
  </si>
  <si>
    <t>210162729</t>
  </si>
  <si>
    <t>Alonso, Prof David</t>
  </si>
  <si>
    <t>MSCS-Webb</t>
  </si>
  <si>
    <t>Webb, Mr Sam</t>
  </si>
  <si>
    <t>PF25\100003</t>
  </si>
  <si>
    <t>ESRC Centre for Care</t>
  </si>
  <si>
    <t>R/167836</t>
  </si>
  <si>
    <t>circadian sci &amp; mental health</t>
  </si>
  <si>
    <t>Denison, Prof Timothy</t>
  </si>
  <si>
    <t>227012/Z/23/Z # 523521</t>
  </si>
  <si>
    <t>210162846</t>
  </si>
  <si>
    <t>210162859</t>
  </si>
  <si>
    <t>HFR02340</t>
  </si>
  <si>
    <t>SP-CRUK-May17</t>
  </si>
  <si>
    <t>Pauklin, Dr Siim</t>
  </si>
  <si>
    <t>C59392/A25064</t>
  </si>
  <si>
    <t>210162886</t>
  </si>
  <si>
    <t>AZR03460</t>
  </si>
  <si>
    <t>STEP-UP OA - GSK</t>
  </si>
  <si>
    <t>PO 6601655906</t>
  </si>
  <si>
    <t>41839</t>
  </si>
  <si>
    <t>210162878</t>
  </si>
  <si>
    <t>PSR00050</t>
  </si>
  <si>
    <t>EDCTP-DHSC support to GloPID-R</t>
  </si>
  <si>
    <t>CSA2022GloPID-R -3387</t>
  </si>
  <si>
    <t>HFR07040</t>
  </si>
  <si>
    <t>UO_GSK_2025</t>
  </si>
  <si>
    <t>AGR-4804 #6600118616</t>
  </si>
  <si>
    <t>EPR02250</t>
  </si>
  <si>
    <t>McKean Nuffield Sheffield Lead</t>
  </si>
  <si>
    <t>Mckean, Prof Cristina</t>
  </si>
  <si>
    <t>EDO/FR-000024384</t>
  </si>
  <si>
    <t>Yau, Prof Christopher</t>
  </si>
  <si>
    <t>210162927</t>
  </si>
  <si>
    <t>Henry Royce Institute</t>
  </si>
  <si>
    <t>81955</t>
  </si>
  <si>
    <t>Cambridge University Hospitals NHS Trust</t>
  </si>
  <si>
    <t>46385</t>
  </si>
  <si>
    <t>HER01880</t>
  </si>
  <si>
    <t>Health research from home</t>
  </si>
  <si>
    <t>R129573 # KCB2652645</t>
  </si>
  <si>
    <t>210163018</t>
  </si>
  <si>
    <t>HNR03420</t>
  </si>
  <si>
    <t>Challenge 3</t>
  </si>
  <si>
    <t>LSTM ref: WS1 and funder ref:</t>
  </si>
  <si>
    <t>210163024</t>
  </si>
  <si>
    <t>CMR00100</t>
  </si>
  <si>
    <t>QCDD ISCF</t>
  </si>
  <si>
    <t>Bountra, Prof Charanjit</t>
  </si>
  <si>
    <t>10005792</t>
  </si>
  <si>
    <t>210163006</t>
  </si>
  <si>
    <t>STELLAR</t>
  </si>
  <si>
    <t>17003 - 4th July 2019#UOB067575</t>
  </si>
  <si>
    <t>Oxford Brookes University</t>
  </si>
  <si>
    <t>8088</t>
  </si>
  <si>
    <t>HMR05880</t>
  </si>
  <si>
    <t>MDUK 23 - Leite</t>
  </si>
  <si>
    <t>Leite, Dr Maria</t>
  </si>
  <si>
    <t>23GRO-PG36-0664</t>
  </si>
  <si>
    <t>8072</t>
  </si>
  <si>
    <t>210163074</t>
  </si>
  <si>
    <t>HFR05580</t>
  </si>
  <si>
    <t>Periscope</t>
  </si>
  <si>
    <t>NIHR134800 # RG.RMOR.125421</t>
  </si>
  <si>
    <t>210163100</t>
  </si>
  <si>
    <t>H6R00350</t>
  </si>
  <si>
    <t>ORION-4.</t>
  </si>
  <si>
    <t>MDCO-PCS-17-01#3900026471</t>
  </si>
  <si>
    <t>210163136</t>
  </si>
  <si>
    <t>DMR01940</t>
  </si>
  <si>
    <t>CRG NECTAR</t>
  </si>
  <si>
    <t>ORA-2021-CRG10-4669.2</t>
  </si>
  <si>
    <t>ANR01500</t>
  </si>
  <si>
    <t>FLASH Particle RT</t>
  </si>
  <si>
    <t>Giaccia, Prof Amato</t>
  </si>
  <si>
    <t>210163142</t>
  </si>
  <si>
    <t>210163193</t>
  </si>
  <si>
    <t>HFR07090</t>
  </si>
  <si>
    <t>(SS-UPDATE)</t>
  </si>
  <si>
    <t>MR/Z503873/1</t>
  </si>
  <si>
    <t>HFR07050</t>
  </si>
  <si>
    <t>DPA PGfAR Southampton</t>
  </si>
  <si>
    <t>CUR01330</t>
  </si>
  <si>
    <t>IFS Leverhulme RPG-2021-391</t>
  </si>
  <si>
    <t>CH00157.0000 GL.512</t>
  </si>
  <si>
    <t>AZR03150</t>
  </si>
  <si>
    <t>JJ - MRC MGN DDF</t>
  </si>
  <si>
    <t>Johnson, Dr Jethro</t>
  </si>
  <si>
    <t>210163297</t>
  </si>
  <si>
    <t>210163315</t>
  </si>
  <si>
    <t>AER01550</t>
  </si>
  <si>
    <t>IHS-Cohen-BA-IF</t>
  </si>
  <si>
    <t>Hathaway, Prof Emma</t>
  </si>
  <si>
    <t>IF2223\230066</t>
  </si>
  <si>
    <t>210163320</t>
  </si>
  <si>
    <t>BLR03400</t>
  </si>
  <si>
    <t>Rodriguez_CompBioMed-X_2022</t>
  </si>
  <si>
    <t>EP/X019411/1</t>
  </si>
  <si>
    <t>210163308</t>
  </si>
  <si>
    <t>A3R00180</t>
  </si>
  <si>
    <t>Dam-pge</t>
  </si>
  <si>
    <t>PO 3006010484 line 1</t>
  </si>
  <si>
    <t>Reinert, Prof Gesine</t>
  </si>
  <si>
    <t>68759</t>
  </si>
  <si>
    <t>210163346</t>
  </si>
  <si>
    <t>ANR00960</t>
  </si>
  <si>
    <t>Immunotherapy of the tumour</t>
  </si>
  <si>
    <t>Seymour, Prof Leonard</t>
  </si>
  <si>
    <t>C552/A29106</t>
  </si>
  <si>
    <t>BZR06890</t>
  </si>
  <si>
    <t>OpenSAFELY-Pharmacy First</t>
  </si>
  <si>
    <t>103093PR NIHR160217</t>
  </si>
  <si>
    <t>Hale, Dr Scott</t>
  </si>
  <si>
    <t>Manchester University NHS Foundation Trust</t>
  </si>
  <si>
    <t>4826</t>
  </si>
  <si>
    <t>HFR06510</t>
  </si>
  <si>
    <t>LEADER</t>
  </si>
  <si>
    <t>G90037 - NIHR158471 #000516521</t>
  </si>
  <si>
    <t>210163420</t>
  </si>
  <si>
    <t>HFR06470</t>
  </si>
  <si>
    <t>Tominersen</t>
  </si>
  <si>
    <t>PID 16690</t>
  </si>
  <si>
    <t>210163421</t>
  </si>
  <si>
    <t>210163427</t>
  </si>
  <si>
    <t>H6R00620</t>
  </si>
  <si>
    <t>Cancer Intelligence Hub</t>
  </si>
  <si>
    <t>C23434/A23706</t>
  </si>
  <si>
    <t>210163402</t>
  </si>
  <si>
    <t>H7R00850</t>
  </si>
  <si>
    <t>Impaired hypoglycaemia</t>
  </si>
  <si>
    <t>Rorsman, Prof Patrik</t>
  </si>
  <si>
    <t>MR/V011979/1</t>
  </si>
  <si>
    <t>University of Hull</t>
  </si>
  <si>
    <t>9188</t>
  </si>
  <si>
    <t>CVR01280</t>
  </si>
  <si>
    <t>A Sutherland - YEF</t>
  </si>
  <si>
    <t>Sutherland, Mr Alex</t>
  </si>
  <si>
    <t>DGR02250</t>
  </si>
  <si>
    <t>DarkSeis</t>
  </si>
  <si>
    <t>R103795-101 86440</t>
  </si>
  <si>
    <t>Patronus Biotech PTE Ltd</t>
  </si>
  <si>
    <t>117268</t>
  </si>
  <si>
    <t>210163440</t>
  </si>
  <si>
    <t>HNR03740</t>
  </si>
  <si>
    <t>Multi-antigen malaria vaccines</t>
  </si>
  <si>
    <t>210163437</t>
  </si>
  <si>
    <t>HJR02660</t>
  </si>
  <si>
    <t>OrQA project</t>
  </si>
  <si>
    <t>Hunter, Mr James</t>
  </si>
  <si>
    <t>NU-010601</t>
  </si>
  <si>
    <t>210163482</t>
  </si>
  <si>
    <t>210163457</t>
  </si>
  <si>
    <t>210163673</t>
  </si>
  <si>
    <t>210163598</t>
  </si>
  <si>
    <t>210163572</t>
  </si>
  <si>
    <t>210163549</t>
  </si>
  <si>
    <t>210163574</t>
  </si>
  <si>
    <t>210163783</t>
  </si>
  <si>
    <t>AZR02723</t>
  </si>
  <si>
    <t>BRC4 Yr 3 - Inflammation</t>
  </si>
  <si>
    <t>BRR00193</t>
  </si>
  <si>
    <t>BRC4 hub - Business Develop Y3</t>
  </si>
  <si>
    <t>HBR04703</t>
  </si>
  <si>
    <t>BRC4 - MMM Year 3</t>
  </si>
  <si>
    <t>CFR01433</t>
  </si>
  <si>
    <t>BRC4 CORE THEME Yr 3</t>
  </si>
  <si>
    <t>BZR05003</t>
  </si>
  <si>
    <t>Digital Health BRC Yr3</t>
  </si>
  <si>
    <t>BZR05013</t>
  </si>
  <si>
    <t>PPIE Yr3</t>
  </si>
  <si>
    <t>H5R01843</t>
  </si>
  <si>
    <t>BRC4JK_JT. 2025-26</t>
  </si>
  <si>
    <t>HSR01743</t>
  </si>
  <si>
    <t>BRC4 Imaging - Yr 4</t>
  </si>
  <si>
    <t>HPR00323</t>
  </si>
  <si>
    <t>BRC Cancer Theme Yr 3</t>
  </si>
  <si>
    <t>HSR01733</t>
  </si>
  <si>
    <t>BRC4 Cardio - Yr5</t>
  </si>
  <si>
    <t>HFR05543</t>
  </si>
  <si>
    <t>BRC4 Stats.</t>
  </si>
  <si>
    <t>CSR00554</t>
  </si>
  <si>
    <t>BRC4 -Translational Data Yr 3</t>
  </si>
  <si>
    <t>CSR00563</t>
  </si>
  <si>
    <t>BRC4 Ethics Hub Yr 3</t>
  </si>
  <si>
    <t>HFR05533</t>
  </si>
  <si>
    <t>BRC4 - MSK..</t>
  </si>
  <si>
    <t>H7R01113</t>
  </si>
  <si>
    <t>BRC4 Metabolics..</t>
  </si>
  <si>
    <t>HNR02773</t>
  </si>
  <si>
    <t>BRC Vaccines Theme Y3</t>
  </si>
  <si>
    <t>HMR04913</t>
  </si>
  <si>
    <t>BRC4 - Preventive Neurology Y3</t>
  </si>
  <si>
    <t>BXR01483</t>
  </si>
  <si>
    <t>BRC4 hub - Health Economics Yr</t>
  </si>
  <si>
    <t>210163776</t>
  </si>
  <si>
    <t>B9R05022</t>
  </si>
  <si>
    <t>Viet- Thwaites NIH INTERCEPT25</t>
  </si>
  <si>
    <t>R01AI165721</t>
  </si>
  <si>
    <t>HBR04713</t>
  </si>
  <si>
    <t>BRC4 - Respiratory Year 3</t>
  </si>
  <si>
    <t>HJR02393</t>
  </si>
  <si>
    <t>BRC 4 SITE Theme Year 3</t>
  </si>
  <si>
    <t>210163793</t>
  </si>
  <si>
    <t>DFR08250</t>
  </si>
  <si>
    <t>MHz-Tomoscopy</t>
  </si>
  <si>
    <t>10037818</t>
  </si>
  <si>
    <t>CNR00052</t>
  </si>
  <si>
    <t>Postdoc Fellowships</t>
  </si>
  <si>
    <t>BZR05800</t>
  </si>
  <si>
    <t>Survival from blood cancer</t>
  </si>
  <si>
    <t>BCAP03.23</t>
  </si>
  <si>
    <t>4030</t>
  </si>
  <si>
    <t>CDR01980</t>
  </si>
  <si>
    <t>BLOOD FURTHER FORWARD</t>
  </si>
  <si>
    <t>709956450</t>
  </si>
  <si>
    <t>210163832</t>
  </si>
  <si>
    <t>BZR06870</t>
  </si>
  <si>
    <t>PANACEA</t>
  </si>
  <si>
    <t>PB0825 NIHR207551 #4941520</t>
  </si>
  <si>
    <t>DFR08220</t>
  </si>
  <si>
    <t>DIGIFOREST</t>
  </si>
  <si>
    <t>10037847</t>
  </si>
  <si>
    <t>210163861</t>
  </si>
  <si>
    <t>EBR00440</t>
  </si>
  <si>
    <t>EXPLO</t>
  </si>
  <si>
    <t>Bogaard, Prof Amy</t>
  </si>
  <si>
    <t>810586</t>
  </si>
  <si>
    <t>210163895</t>
  </si>
  <si>
    <t>H5R01940</t>
  </si>
  <si>
    <t>MRC Mouse SL</t>
  </si>
  <si>
    <t>210163897</t>
  </si>
  <si>
    <t>5405</t>
  </si>
  <si>
    <t>210163910</t>
  </si>
  <si>
    <t>M1R00010</t>
  </si>
  <si>
    <t>Bounding Power</t>
  </si>
  <si>
    <t>Jenner, Dr Christopher</t>
  </si>
  <si>
    <t>N62909-21-1-2023#4720008039</t>
  </si>
  <si>
    <t>A5</t>
  </si>
  <si>
    <t>2024-25</t>
  </si>
  <si>
    <t>BZR06940</t>
  </si>
  <si>
    <t>HER01450</t>
  </si>
  <si>
    <t>HQR03690</t>
  </si>
  <si>
    <t>PSR00400</t>
  </si>
  <si>
    <t>Swansea University</t>
  </si>
  <si>
    <t>All numbers down significantly</t>
  </si>
  <si>
    <t>Funder terms getting tighter, fewer projects eligible for Automation</t>
  </si>
  <si>
    <t>Billing becoming more complex</t>
  </si>
  <si>
    <t>Analysis</t>
  </si>
  <si>
    <t>AJR01260</t>
  </si>
  <si>
    <t>AZR03280</t>
  </si>
  <si>
    <t>KC - Daphne Jackson Trust</t>
  </si>
  <si>
    <t>Coldwell, Dr Katherine</t>
  </si>
  <si>
    <t>5N Plus Inc</t>
  </si>
  <si>
    <t>121042</t>
  </si>
  <si>
    <t>DHR02001</t>
  </si>
  <si>
    <t>Detector Materials Engineering</t>
  </si>
  <si>
    <t>RCSRF2324-18-68</t>
  </si>
  <si>
    <t>5745</t>
  </si>
  <si>
    <t>210164016</t>
  </si>
  <si>
    <t>MEMVIE 3</t>
  </si>
  <si>
    <t>74853</t>
  </si>
  <si>
    <t>12702</t>
  </si>
  <si>
    <t>INITIATE</t>
  </si>
  <si>
    <t>NIHR150983 - B25183 INITIATE 5</t>
  </si>
  <si>
    <t>Pre-eclamspsia</t>
  </si>
  <si>
    <t>Schroeder, Dr Elizabeth-Ann</t>
  </si>
  <si>
    <t>NIHR152762 / G79414 # 000454383</t>
  </si>
  <si>
    <t>Reveley-Daphne Jackson Fship</t>
  </si>
  <si>
    <t>Reveley, Dr Colin</t>
  </si>
  <si>
    <t>Bhatia, Dr Amiya</t>
  </si>
  <si>
    <t>Chambers, Dr Mary</t>
  </si>
  <si>
    <t>76994</t>
  </si>
  <si>
    <t>210164069</t>
  </si>
  <si>
    <t>Kleb 2.0</t>
  </si>
  <si>
    <t>105636IB - INV-077266</t>
  </si>
  <si>
    <t>N/a</t>
  </si>
  <si>
    <t>63579</t>
  </si>
  <si>
    <t>210164038</t>
  </si>
  <si>
    <t>WIMM- NIH Twiggs 21</t>
  </si>
  <si>
    <t>Twigg, Dr Stephen</t>
  </si>
  <si>
    <t>2R01DE026339-06 REVISED</t>
  </si>
  <si>
    <t>6419</t>
  </si>
  <si>
    <t>LSST: Phase C (QUB component)</t>
  </si>
  <si>
    <t>Smartt, Prof Stephen</t>
  </si>
  <si>
    <t>NPO 3282 R1005APL</t>
  </si>
  <si>
    <t>Irani, Prof Sarosh</t>
  </si>
  <si>
    <t>210163940</t>
  </si>
  <si>
    <t>210164012</t>
  </si>
  <si>
    <t>210164044</t>
  </si>
  <si>
    <t>Oxford Transplant Foundation</t>
  </si>
  <si>
    <t>Barnes, Prof Eleanor</t>
  </si>
  <si>
    <t>Christodoulides, Prof Constant</t>
  </si>
  <si>
    <t>HBR05100</t>
  </si>
  <si>
    <t>N Rahman - PID 16612</t>
  </si>
  <si>
    <t>PID 16612 FIBRONEER 1305-0014</t>
  </si>
  <si>
    <t>210164086</t>
  </si>
  <si>
    <t>Howey, Prof David</t>
  </si>
  <si>
    <t>210164075</t>
  </si>
  <si>
    <t>Clark, Prof Ronald</t>
  </si>
  <si>
    <t>ONO Pharmaceutical Co. Ltd.</t>
  </si>
  <si>
    <t>75464</t>
  </si>
  <si>
    <t>GeNeuro SA</t>
  </si>
  <si>
    <t>102994</t>
  </si>
  <si>
    <t>BWR01540</t>
  </si>
  <si>
    <t>GN-K301</t>
  </si>
  <si>
    <t>GE Healthcare Limited</t>
  </si>
  <si>
    <t>79866</t>
  </si>
  <si>
    <t>210164156</t>
  </si>
  <si>
    <t>HFR06180</t>
  </si>
  <si>
    <t>JF/PG - GE</t>
  </si>
  <si>
    <t>GE-045-Sonazoid PO S300105225</t>
  </si>
  <si>
    <t>5383</t>
  </si>
  <si>
    <t>Paterson, Prof David</t>
  </si>
  <si>
    <t>210164154</t>
  </si>
  <si>
    <t>Bauermeister, Dr Sarah</t>
  </si>
  <si>
    <t>106494</t>
  </si>
  <si>
    <t>Mills, Prof Ian</t>
  </si>
  <si>
    <t>White, Dr Richard</t>
  </si>
  <si>
    <t>210164215</t>
  </si>
  <si>
    <t>HBR04670</t>
  </si>
  <si>
    <t>N Rahman - NIHR HTA</t>
  </si>
  <si>
    <t>B25198 CONSEPT 5076</t>
  </si>
  <si>
    <t>210164271</t>
  </si>
  <si>
    <t>H6R00440</t>
  </si>
  <si>
    <t>CR-UK trials programme grant</t>
  </si>
  <si>
    <t>Gray, Prof. Richard</t>
  </si>
  <si>
    <t>C53005/A27691</t>
  </si>
  <si>
    <t>210164248</t>
  </si>
  <si>
    <t>ANR00940</t>
  </si>
  <si>
    <t>THERADNET</t>
  </si>
  <si>
    <t>860245</t>
  </si>
  <si>
    <t>210164285</t>
  </si>
  <si>
    <t>AZR02850</t>
  </si>
  <si>
    <t>AC - MRF</t>
  </si>
  <si>
    <t>MRF-159-0005-ELP-CLAR-C0953</t>
  </si>
  <si>
    <t>Egger, Dr Dennis</t>
  </si>
  <si>
    <t>DFR09960</t>
  </si>
  <si>
    <t>ENPROT - Ice Shedding</t>
  </si>
  <si>
    <t>Gillespie, Prof David</t>
  </si>
  <si>
    <t>PO 1500-00756617</t>
  </si>
  <si>
    <t>210164316</t>
  </si>
  <si>
    <t>210164336</t>
  </si>
  <si>
    <t>DFR09070</t>
  </si>
  <si>
    <t>Crystal Ocean</t>
  </si>
  <si>
    <t>Yang, Prof Aidong</t>
  </si>
  <si>
    <t>RES922047</t>
  </si>
  <si>
    <t>210164313</t>
  </si>
  <si>
    <t>Introduction of more portals means less Automation ability</t>
  </si>
  <si>
    <t>Conclusions/Next steps</t>
  </si>
  <si>
    <t>How to expand Automation. AI?</t>
  </si>
  <si>
    <t>EP/X025454/1 #UOB467593</t>
  </si>
  <si>
    <t>GSK Research &amp; Development Ltd</t>
  </si>
  <si>
    <t>Sheikh, Prof Sir Aziz</t>
  </si>
  <si>
    <t>d- FES credit to be taken back by Research Council.</t>
  </si>
  <si>
    <t>2953182 # UOB630816</t>
  </si>
  <si>
    <t>210165515</t>
  </si>
  <si>
    <t>JQR00170</t>
  </si>
  <si>
    <t>GLAST</t>
  </si>
  <si>
    <t>Brand, Prof Christian</t>
  </si>
  <si>
    <t>817754</t>
  </si>
  <si>
    <t>639385 / B18R13173#900001178845</t>
  </si>
  <si>
    <t>210164706</t>
  </si>
  <si>
    <t>AER00550</t>
  </si>
  <si>
    <t>RitualModes</t>
  </si>
  <si>
    <t>Whitehouse, Prof Harvey</t>
  </si>
  <si>
    <t>694986</t>
  </si>
  <si>
    <t>210164376</t>
  </si>
  <si>
    <t>CSF-ubiquitome biomarker disco</t>
  </si>
  <si>
    <t>Jones, Miss Hannah</t>
  </si>
  <si>
    <t>210164377</t>
  </si>
  <si>
    <t>210164621</t>
  </si>
  <si>
    <t>HJR03110</t>
  </si>
  <si>
    <t>SIGNET-EME</t>
  </si>
  <si>
    <t>NIHR134145</t>
  </si>
  <si>
    <t>Mantra4Change US</t>
  </si>
  <si>
    <t>120140</t>
  </si>
  <si>
    <t>LER01610</t>
  </si>
  <si>
    <t>Insights from Shikshagraha</t>
  </si>
  <si>
    <t>Airoldi, Dr Mara</t>
  </si>
  <si>
    <t>Pasta, Prof Mauro</t>
  </si>
  <si>
    <t>CWR00190</t>
  </si>
  <si>
    <t>MHC-E</t>
  </si>
  <si>
    <t>1R01AI175459-01A1</t>
  </si>
  <si>
    <t>f- 90 day payment terms.</t>
  </si>
  <si>
    <t>HJR02180</t>
  </si>
  <si>
    <t>control myeloma dormancy</t>
  </si>
  <si>
    <t>22013</t>
  </si>
  <si>
    <t>DJR02930</t>
  </si>
  <si>
    <t>ICP Cost-Effective PV</t>
  </si>
  <si>
    <t>RICP-R4-100173 EP/X527257/1</t>
  </si>
  <si>
    <t>B9R06051</t>
  </si>
  <si>
    <t>NIH Ndungu Francis (OBAMA).</t>
  </si>
  <si>
    <t>303002506</t>
  </si>
  <si>
    <t>DJR01020</t>
  </si>
  <si>
    <t>Royce Recurrent</t>
  </si>
  <si>
    <t>Wilkinson, Prof Angus</t>
  </si>
  <si>
    <t>#EHZ2217633</t>
  </si>
  <si>
    <t>210164616</t>
  </si>
  <si>
    <t>Espie, Prof Colin</t>
  </si>
  <si>
    <t>210164683</t>
  </si>
  <si>
    <t>E Barnes - NIHR .</t>
  </si>
  <si>
    <t>NIHR135830 # UOB512399</t>
  </si>
  <si>
    <t>210164680</t>
  </si>
  <si>
    <t>BBR00310</t>
  </si>
  <si>
    <t>DeLIVERdata</t>
  </si>
  <si>
    <t>Blake, Mr Andrew</t>
  </si>
  <si>
    <t>RDSDIA-2023/100002</t>
  </si>
  <si>
    <t>HFR06910</t>
  </si>
  <si>
    <t>RRDDN MSK 2526</t>
  </si>
  <si>
    <t>HFR07000</t>
  </si>
  <si>
    <t>KB - CSPCT</t>
  </si>
  <si>
    <t>WT 935235</t>
  </si>
  <si>
    <t>210164773</t>
  </si>
  <si>
    <t>210164766</t>
  </si>
  <si>
    <t>H5R01150</t>
  </si>
  <si>
    <t>CRUK Advanced CSF</t>
  </si>
  <si>
    <t>Church, Dr David</t>
  </si>
  <si>
    <t>C26642/A27963</t>
  </si>
  <si>
    <t>5006</t>
  </si>
  <si>
    <t>HIV-1 Env structure-function..</t>
  </si>
  <si>
    <t>5R37AI150560-06</t>
  </si>
  <si>
    <t>210164870</t>
  </si>
  <si>
    <t>210164857</t>
  </si>
  <si>
    <t>LCR00320</t>
  </si>
  <si>
    <t>RITICS Fellowship</t>
  </si>
  <si>
    <t>Koutroumpis, Dr Pantelis</t>
  </si>
  <si>
    <t>HER01006</t>
  </si>
  <si>
    <t>RRDN 2025-26</t>
  </si>
  <si>
    <t>Westcar, Mrs Sharon</t>
  </si>
  <si>
    <t>Letter date 18th March 2025</t>
  </si>
  <si>
    <t>HQR03560</t>
  </si>
  <si>
    <t>TBI-REPORTER</t>
  </si>
  <si>
    <t>G112004</t>
  </si>
  <si>
    <t>BZR05153</t>
  </si>
  <si>
    <t>BRC2 PMM - Y3</t>
  </si>
  <si>
    <t>Pechey, Dr Rachel</t>
  </si>
  <si>
    <t>BZR06960</t>
  </si>
  <si>
    <t>Park, Prof Sophie</t>
  </si>
  <si>
    <t>CHF</t>
  </si>
  <si>
    <t>HCR01883</t>
  </si>
  <si>
    <t>RRDN funding 2025-26</t>
  </si>
  <si>
    <t>HMR05130</t>
  </si>
  <si>
    <t>Watkinson - NIHR</t>
  </si>
  <si>
    <t>Watkinson, Prof Peter</t>
  </si>
  <si>
    <t>NIHR204430</t>
  </si>
  <si>
    <t>HMR05310</t>
  </si>
  <si>
    <t>Bennett (KCL lead) - WT Coll</t>
  </si>
  <si>
    <t>RE19913, 224257/Z/21/Z#60539435</t>
  </si>
  <si>
    <t>210164905</t>
  </si>
  <si>
    <t>CSR00700</t>
  </si>
  <si>
    <t>I-CARE</t>
  </si>
  <si>
    <t>Suleman, Dr Mehrunisha</t>
  </si>
  <si>
    <t>RM63W545548</t>
  </si>
  <si>
    <t>f- 60 day payment terms.</t>
  </si>
  <si>
    <t>210164903</t>
  </si>
  <si>
    <t>HCR01170</t>
  </si>
  <si>
    <t>Translation Award</t>
  </si>
  <si>
    <t>205981 Milestone</t>
  </si>
  <si>
    <t>Sloan Kettering Institute for Cancer Research</t>
  </si>
  <si>
    <t>109660</t>
  </si>
  <si>
    <t>HPR00360</t>
  </si>
  <si>
    <t>Yr3 Black Acral - R White</t>
  </si>
  <si>
    <t>MSKSUB00000272/ PO #C22591717</t>
  </si>
  <si>
    <t>210164992</t>
  </si>
  <si>
    <t>HQR02370</t>
  </si>
  <si>
    <t>SPARK</t>
  </si>
  <si>
    <t>NIHR200842#60309168</t>
  </si>
  <si>
    <t>17546</t>
  </si>
  <si>
    <t>210165026</t>
  </si>
  <si>
    <t>HNR03220</t>
  </si>
  <si>
    <t>CEPI strategic partnership</t>
  </si>
  <si>
    <t>210165018</t>
  </si>
  <si>
    <t>BZR06510</t>
  </si>
  <si>
    <t>Winter Pressures with LSHTM</t>
  </si>
  <si>
    <t>103447ED</t>
  </si>
  <si>
    <t>210164979</t>
  </si>
  <si>
    <t>HFR06760</t>
  </si>
  <si>
    <t>DP_PERTHES</t>
  </si>
  <si>
    <t>NIHR152309</t>
  </si>
  <si>
    <t>HNR01350</t>
  </si>
  <si>
    <t>MD UK Neuromusclar Centre</t>
  </si>
  <si>
    <t>16CNTR-CG60-0008</t>
  </si>
  <si>
    <t>B2R00660</t>
  </si>
  <si>
    <t>Surfactant Trial</t>
  </si>
  <si>
    <t>RM62G0849</t>
  </si>
  <si>
    <t>210165052</t>
  </si>
  <si>
    <t>HFR06190</t>
  </si>
  <si>
    <t>GC - REVAMP</t>
  </si>
  <si>
    <t>210165151</t>
  </si>
  <si>
    <t>CUR00980</t>
  </si>
  <si>
    <t>PANEDA</t>
  </si>
  <si>
    <t>Weidner, Prof Martin</t>
  </si>
  <si>
    <t>819086</t>
  </si>
  <si>
    <t>97271</t>
  </si>
  <si>
    <t>210165056</t>
  </si>
  <si>
    <t>uORF Related Research</t>
  </si>
  <si>
    <t>Roberts, Mr Thomas</t>
  </si>
  <si>
    <t>ALR03100</t>
  </si>
  <si>
    <t>Peter Sarkies_WT_March2023</t>
  </si>
  <si>
    <t>Sarkies, Prof Peter</t>
  </si>
  <si>
    <t>227739/Z/23/Z#RPI/100826818</t>
  </si>
  <si>
    <t>Raymont, Dr Vanessa</t>
  </si>
  <si>
    <t>LER01440</t>
  </si>
  <si>
    <t>Outsourcing social care (B-M)</t>
  </si>
  <si>
    <t>Carter, Dr Eleanor</t>
  </si>
  <si>
    <t>WEL /FR-000024749</t>
  </si>
  <si>
    <t>210165227</t>
  </si>
  <si>
    <t>AVR03710</t>
  </si>
  <si>
    <t>PS_Special_BHF_Diabetic Hearts</t>
  </si>
  <si>
    <t>SP/F/24/150074</t>
  </si>
  <si>
    <t>210165248</t>
  </si>
  <si>
    <t>DFR02740</t>
  </si>
  <si>
    <t>ATOFUN</t>
  </si>
  <si>
    <t>Hofmann, Prof Felix</t>
  </si>
  <si>
    <t>714697</t>
  </si>
  <si>
    <t>210165249</t>
  </si>
  <si>
    <t>DFR02770</t>
  </si>
  <si>
    <t>PULSE</t>
  </si>
  <si>
    <t>Noble, Prof Julia</t>
  </si>
  <si>
    <t>694581</t>
  </si>
  <si>
    <t>210166090</t>
  </si>
  <si>
    <t>Limmathurotsakul, Mr. Direk</t>
  </si>
  <si>
    <t>HER01960</t>
  </si>
  <si>
    <t>Generation Study</t>
  </si>
  <si>
    <t>PID 17697</t>
  </si>
  <si>
    <t>210165326</t>
  </si>
  <si>
    <t>Rockefeller University</t>
  </si>
  <si>
    <t>61452</t>
  </si>
  <si>
    <t>HBR02890</t>
  </si>
  <si>
    <t>Gates Clinical Trial</t>
  </si>
  <si>
    <t>OPP1210792</t>
  </si>
  <si>
    <t>Wellbeing of Women</t>
  </si>
  <si>
    <t>6296</t>
  </si>
  <si>
    <t>HER01840</t>
  </si>
  <si>
    <t>Outcome in Ovarian Cancer</t>
  </si>
  <si>
    <t>RG2421</t>
  </si>
  <si>
    <t>Lennox, Prof Belinda</t>
  </si>
  <si>
    <t>HMR06540</t>
  </si>
  <si>
    <t>ERACC</t>
  </si>
  <si>
    <t>NIHR206266</t>
  </si>
  <si>
    <t>Plymouth Marine Lab</t>
  </si>
  <si>
    <t>60966</t>
  </si>
  <si>
    <t>210165346</t>
  </si>
  <si>
    <t>DGR02220</t>
  </si>
  <si>
    <t>SCOPE</t>
  </si>
  <si>
    <t>Bouman, Prof Heather</t>
  </si>
  <si>
    <t>4000142532/23/I-DT</t>
  </si>
  <si>
    <t>210165335</t>
  </si>
  <si>
    <t>DLR01020</t>
  </si>
  <si>
    <t>Frost URF Renewal 2021</t>
  </si>
  <si>
    <t>Frost, Dr James</t>
  </si>
  <si>
    <t>URF\R\221037</t>
  </si>
  <si>
    <t>North West Anglia NHS Foundation Trust</t>
  </si>
  <si>
    <t>105072</t>
  </si>
  <si>
    <t>HFR07020</t>
  </si>
  <si>
    <t>PediJect</t>
  </si>
  <si>
    <t>Massa, Dr Maria</t>
  </si>
  <si>
    <t>NIHR207403</t>
  </si>
  <si>
    <t>B5R00763</t>
  </si>
  <si>
    <t>U54..</t>
  </si>
  <si>
    <t>210165397</t>
  </si>
  <si>
    <t>HFR05600</t>
  </si>
  <si>
    <t>METEOR2</t>
  </si>
  <si>
    <t>NIHR131629 MeTeOR2 EOR103 # 200450727</t>
  </si>
  <si>
    <t>HFR06780</t>
  </si>
  <si>
    <t>WHITE 10</t>
  </si>
  <si>
    <t>NIHR207260</t>
  </si>
  <si>
    <t>AJR01170</t>
  </si>
  <si>
    <t>BHF via Reading</t>
  </si>
  <si>
    <t>Fischer, Dr Roman</t>
  </si>
  <si>
    <t>1004016/H 5484000</t>
  </si>
  <si>
    <t>210165432</t>
  </si>
  <si>
    <t>DGR01700</t>
  </si>
  <si>
    <t>MC_RS_NIF_June 2021</t>
  </si>
  <si>
    <t>NIF\R1\211276</t>
  </si>
  <si>
    <t>210165429</t>
  </si>
  <si>
    <t>HQR03050</t>
  </si>
  <si>
    <t>RAPID - HQ</t>
  </si>
  <si>
    <t>NIHR132690 # 000155382</t>
  </si>
  <si>
    <t>210165433</t>
  </si>
  <si>
    <t>HBR04923</t>
  </si>
  <si>
    <t>Rahman RDN 25-26</t>
  </si>
  <si>
    <t>University of the Western Cape</t>
  </si>
  <si>
    <t>119380</t>
  </si>
  <si>
    <t>PSR00410</t>
  </si>
  <si>
    <t>Data integration via UWCSA</t>
  </si>
  <si>
    <t>INV-079648</t>
  </si>
  <si>
    <t>George Pantziarka TP53 Trust</t>
  </si>
  <si>
    <t>113121</t>
  </si>
  <si>
    <t>210165478</t>
  </si>
  <si>
    <t>ANR01331</t>
  </si>
  <si>
    <t>MILI - Patient Expenses</t>
  </si>
  <si>
    <t>Blagden, Dr Sarah</t>
  </si>
  <si>
    <t>Monash University</t>
  </si>
  <si>
    <t>5294</t>
  </si>
  <si>
    <t>HMR06480</t>
  </si>
  <si>
    <t>WT - Foster (lead Monash)</t>
  </si>
  <si>
    <t>Foster, Prof Russell</t>
  </si>
  <si>
    <t>NA</t>
  </si>
  <si>
    <t>Sony Europe B.V.</t>
  </si>
  <si>
    <t>98494</t>
  </si>
  <si>
    <t>DFR11190</t>
  </si>
  <si>
    <t>Sony Focused Research</t>
  </si>
  <si>
    <t>Vedaldi, Prof Andrea</t>
  </si>
  <si>
    <t>HBR05200</t>
  </si>
  <si>
    <t>Uhlig Holm - Eli Lilly</t>
  </si>
  <si>
    <t>10000</t>
  </si>
  <si>
    <t>DFR10730</t>
  </si>
  <si>
    <t>SignGPT</t>
  </si>
  <si>
    <t>Zisserman, Prof Andrew</t>
  </si>
  <si>
    <t>RB3214</t>
  </si>
  <si>
    <t>210165540</t>
  </si>
  <si>
    <t>CUR01380</t>
  </si>
  <si>
    <t>Meango STEG - LRG</t>
  </si>
  <si>
    <t>Meango, Dr Romuald</t>
  </si>
  <si>
    <t>STEG_LOA_2750_MEANGO</t>
  </si>
  <si>
    <t>210165539</t>
  </si>
  <si>
    <t>ATR02700</t>
  </si>
  <si>
    <t>COEVOPRO</t>
  </si>
  <si>
    <t>King, Prof Kayla</t>
  </si>
  <si>
    <t>802242#</t>
  </si>
  <si>
    <t>210165527</t>
  </si>
  <si>
    <t>Sidra Medical and Research Center</t>
  </si>
  <si>
    <t>71045</t>
  </si>
  <si>
    <t>210165537</t>
  </si>
  <si>
    <t>HBR04990</t>
  </si>
  <si>
    <t>H Uhlig - QNRF</t>
  </si>
  <si>
    <t>PPM 05-0419-210008</t>
  </si>
  <si>
    <t>DTR00050</t>
  </si>
  <si>
    <t>Quantum Sensors Hidden Sector</t>
  </si>
  <si>
    <t>Physics - Central</t>
  </si>
  <si>
    <t>Withington, Prof Stafford</t>
  </si>
  <si>
    <t>ST/T006625/2</t>
  </si>
  <si>
    <t>Herrington, Prof William</t>
  </si>
  <si>
    <t>210165564</t>
  </si>
  <si>
    <t>210165574</t>
  </si>
  <si>
    <t>JR-HTA-Notts</t>
  </si>
  <si>
    <t>Rodrigues, Dr Jeremy</t>
  </si>
  <si>
    <t>210165626</t>
  </si>
  <si>
    <t>210165595</t>
  </si>
  <si>
    <t>AZR02800</t>
  </si>
  <si>
    <t>LJD - helmsley with Newcastle</t>
  </si>
  <si>
    <t>Jostins-Dean, Dr Luke</t>
  </si>
  <si>
    <t>NU-003281</t>
  </si>
  <si>
    <t>Rutgers, The State University of New Jersey</t>
  </si>
  <si>
    <t>69917</t>
  </si>
  <si>
    <t>HNR03910</t>
  </si>
  <si>
    <t>CRN 2025-2026</t>
  </si>
  <si>
    <t>Letter dated 18 March 2025</t>
  </si>
  <si>
    <t>DJR03190</t>
  </si>
  <si>
    <t>(IQN ) Research Hub</t>
  </si>
  <si>
    <t>Smith, Prof Jason</t>
  </si>
  <si>
    <t>HNR03880</t>
  </si>
  <si>
    <t>Multimodal assessment</t>
  </si>
  <si>
    <t>Mansfield, Dr Roshni</t>
  </si>
  <si>
    <t>GN3097</t>
  </si>
  <si>
    <t>HNR03900</t>
  </si>
  <si>
    <t>SNEAS_2</t>
  </si>
  <si>
    <t>WT8453517</t>
  </si>
  <si>
    <t>Sir Jules Thorn Charitable Trust</t>
  </si>
  <si>
    <t>1423</t>
  </si>
  <si>
    <t>HER01480</t>
  </si>
  <si>
    <t>Fetal growth restriction</t>
  </si>
  <si>
    <t>Collins, Prof Sally</t>
  </si>
  <si>
    <t>21TRA</t>
  </si>
  <si>
    <t>210165613</t>
  </si>
  <si>
    <t>210165614</t>
  </si>
  <si>
    <t>Innovation Award</t>
  </si>
  <si>
    <t>Rao, Mr Srinivasa</t>
  </si>
  <si>
    <t>RIA22-ST2-004#61820</t>
  </si>
  <si>
    <t>210165603</t>
  </si>
  <si>
    <t>HNR03150</t>
  </si>
  <si>
    <t>Yujie Ni Fellowship</t>
  </si>
  <si>
    <t>Ni, Ms Yujie</t>
  </si>
  <si>
    <t>NIHR303390</t>
  </si>
  <si>
    <t>Public Health Wales</t>
  </si>
  <si>
    <t>62999</t>
  </si>
  <si>
    <t>210165591</t>
  </si>
  <si>
    <t>BZR07050</t>
  </si>
  <si>
    <t>Digital Exclusion</t>
  </si>
  <si>
    <t>Papoutsi, Dr Chrysanthi</t>
  </si>
  <si>
    <t>Q2024081(NIHR169564)</t>
  </si>
  <si>
    <t>DPA - HDRUK</t>
  </si>
  <si>
    <t>HDRUK2024.0225</t>
  </si>
  <si>
    <t>HNR03920</t>
  </si>
  <si>
    <t>RRDN 25/26_Beckley</t>
  </si>
  <si>
    <t>HJR03260</t>
  </si>
  <si>
    <t>Woodcock PROSTCAN</t>
  </si>
  <si>
    <t>Woodcock, Dr Dan</t>
  </si>
  <si>
    <t>MA-TIA23-002</t>
  </si>
  <si>
    <t>Washington, Prof Richard</t>
  </si>
  <si>
    <t>Chartered Society of Physiotherapy Charitable Trust</t>
  </si>
  <si>
    <t>62543</t>
  </si>
  <si>
    <t>HQR03580</t>
  </si>
  <si>
    <t>Cognitive Maps.</t>
  </si>
  <si>
    <t>Nour, Dr Matthew</t>
  </si>
  <si>
    <t>MRF-RGM-MH-24-126</t>
  </si>
  <si>
    <t>BZR06610</t>
  </si>
  <si>
    <t>conditions women GPs thrive</t>
  </si>
  <si>
    <t>NIHR161818 # 617102</t>
  </si>
  <si>
    <t>Midlands Partnership NHS Foundation Trust</t>
  </si>
  <si>
    <t>83242</t>
  </si>
  <si>
    <t>BZR07160</t>
  </si>
  <si>
    <t>Social Determinants</t>
  </si>
  <si>
    <t>NIHR207643 PO-SS218622</t>
  </si>
  <si>
    <t>210165698</t>
  </si>
  <si>
    <t>EBR00330</t>
  </si>
  <si>
    <t>HANDMADE</t>
  </si>
  <si>
    <t>Malafouris, Prof Lambros</t>
  </si>
  <si>
    <t>771997</t>
  </si>
  <si>
    <t>210166229</t>
  </si>
  <si>
    <t>HJR02890</t>
  </si>
  <si>
    <t>Porcine liver ischaemia</t>
  </si>
  <si>
    <t>Sadik, Mr Hatem</t>
  </si>
  <si>
    <t>8458</t>
  </si>
  <si>
    <t>210165707</t>
  </si>
  <si>
    <t>A5R00040</t>
  </si>
  <si>
    <t>TopNanoBiosen</t>
  </si>
  <si>
    <t>101030683</t>
  </si>
  <si>
    <t>CFR01582</t>
  </si>
  <si>
    <t>Dermatology RDN</t>
  </si>
  <si>
    <t>HBR05302</t>
  </si>
  <si>
    <t>RDN Funding 2025/26</t>
  </si>
  <si>
    <t>210165709</t>
  </si>
  <si>
    <t>DKR01430</t>
  </si>
  <si>
    <t>Ryburn Lord IUK 2022</t>
  </si>
  <si>
    <t>Gregg, Prof John</t>
  </si>
  <si>
    <t>d- James</t>
  </si>
  <si>
    <t>10045465</t>
  </si>
  <si>
    <t>210165708</t>
  </si>
  <si>
    <t>HQR03220</t>
  </si>
  <si>
    <t>ATTEND</t>
  </si>
  <si>
    <t>Kuyken, Prof Willem</t>
  </si>
  <si>
    <t>HSR02360</t>
  </si>
  <si>
    <t>ORDER study</t>
  </si>
  <si>
    <t>Kotronias, Dr Rafail</t>
  </si>
  <si>
    <t>8482</t>
  </si>
  <si>
    <t>210165715</t>
  </si>
  <si>
    <t>DUR01380</t>
  </si>
  <si>
    <t>Enterprise Fellowship</t>
  </si>
  <si>
    <t>Doherty, Mr. Thomas</t>
  </si>
  <si>
    <t>EF-2324-18-186</t>
  </si>
  <si>
    <t>HJR03470</t>
  </si>
  <si>
    <t>Bricogne, Mr Christopher</t>
  </si>
  <si>
    <t>Iuvantium Limited</t>
  </si>
  <si>
    <t>121659</t>
  </si>
  <si>
    <t>CWR00230</t>
  </si>
  <si>
    <t>EBV tumour challenge</t>
  </si>
  <si>
    <t>Leung, Dr Sze</t>
  </si>
  <si>
    <t>HCR02250</t>
  </si>
  <si>
    <t>Anita-VaxHub</t>
  </si>
  <si>
    <t>Milicic, Prof Anita</t>
  </si>
  <si>
    <t>82914</t>
  </si>
  <si>
    <t>DFR10800</t>
  </si>
  <si>
    <t>Toyota Project</t>
  </si>
  <si>
    <t>Bibi, Dr Adel</t>
  </si>
  <si>
    <t>H6R00730</t>
  </si>
  <si>
    <t>ASCEND PLUS</t>
  </si>
  <si>
    <t>Preiss, Dr David</t>
  </si>
  <si>
    <t>BKV #8001634055</t>
  </si>
  <si>
    <t>210165740</t>
  </si>
  <si>
    <t>7178</t>
  </si>
  <si>
    <t>E P A Cephalosporin Fund</t>
  </si>
  <si>
    <t>7230</t>
  </si>
  <si>
    <t>Medicines Discovery Catapult</t>
  </si>
  <si>
    <t>82325</t>
  </si>
  <si>
    <t>210165781</t>
  </si>
  <si>
    <t>DMR02360</t>
  </si>
  <si>
    <t>Targeting Antibiotics</t>
  </si>
  <si>
    <t>210165813</t>
  </si>
  <si>
    <t>BWR01260</t>
  </si>
  <si>
    <t>Serotonin and BEYOND</t>
  </si>
  <si>
    <t>Sharp, Prof Trevor</t>
  </si>
  <si>
    <t>953327</t>
  </si>
  <si>
    <t>PSR00120</t>
  </si>
  <si>
    <t>GloPID-R SEC III</t>
  </si>
  <si>
    <t>10061268</t>
  </si>
  <si>
    <t>108684</t>
  </si>
  <si>
    <t>210165819</t>
  </si>
  <si>
    <t>CZR01460</t>
  </si>
  <si>
    <t>AISI direct award</t>
  </si>
  <si>
    <t>Mosleh, Dr Mohsen</t>
  </si>
  <si>
    <t>G2-SCH-2024-011-16208 # 418000004429</t>
  </si>
  <si>
    <t>210165847</t>
  </si>
  <si>
    <t>B9R06430</t>
  </si>
  <si>
    <t>VN-AnLP-SEA Bioethics.</t>
  </si>
  <si>
    <t>HQR03290</t>
  </si>
  <si>
    <t>VH MRF Catalyst Fellowship</t>
  </si>
  <si>
    <t>Hinze, Miss Verena</t>
  </si>
  <si>
    <t>MRF-FEL-CAMPCF-23-105</t>
  </si>
  <si>
    <t>B2R00980</t>
  </si>
  <si>
    <t>neoGASTRIC</t>
  </si>
  <si>
    <t>PA0311 #WP/4828046</t>
  </si>
  <si>
    <t>B2R01110</t>
  </si>
  <si>
    <t>NeWTS</t>
  </si>
  <si>
    <t>AO95011.</t>
  </si>
  <si>
    <t>210165869</t>
  </si>
  <si>
    <t>B9R06420</t>
  </si>
  <si>
    <t>VN-AnLP-SEA Bioethics</t>
  </si>
  <si>
    <t>210165885</t>
  </si>
  <si>
    <t>HER01940</t>
  </si>
  <si>
    <t>NIHR PRU in Repro Health</t>
  </si>
  <si>
    <t>6829655</t>
  </si>
  <si>
    <t>NSCG2A5/13698613#9918456</t>
  </si>
  <si>
    <t>HER01910</t>
  </si>
  <si>
    <t>H Townley - Williams Fund</t>
  </si>
  <si>
    <t>Townley, Dr Helen</t>
  </si>
  <si>
    <t>11441</t>
  </si>
  <si>
    <t>ANR01480</t>
  </si>
  <si>
    <t>Hypoxia/APOBEC/Breast Ca</t>
  </si>
  <si>
    <t>Hammond, Prof Ester</t>
  </si>
  <si>
    <t>2022FebPR1492</t>
  </si>
  <si>
    <t>210165889</t>
  </si>
  <si>
    <t>DGR00940</t>
  </si>
  <si>
    <t>RIFT-O-MAT</t>
  </si>
  <si>
    <t>Katz, Prof Richard</t>
  </si>
  <si>
    <t>772255</t>
  </si>
  <si>
    <t>H6R00910</t>
  </si>
  <si>
    <t>AMALFI</t>
  </si>
  <si>
    <t>CS/F/23/190062</t>
  </si>
  <si>
    <t>210165919</t>
  </si>
  <si>
    <t>210165941</t>
  </si>
  <si>
    <t>HJR03420</t>
  </si>
  <si>
    <t>Ex-vivo liver slice perfusion</t>
  </si>
  <si>
    <t>Lakha, Adil</t>
  </si>
  <si>
    <t>8480</t>
  </si>
  <si>
    <t>Snelling, Dr Sarah</t>
  </si>
  <si>
    <t>210165939</t>
  </si>
  <si>
    <t>HJR03410</t>
  </si>
  <si>
    <t>Obesity kidney stones</t>
  </si>
  <si>
    <t>Lovegrove, Dr Catherine</t>
  </si>
  <si>
    <t>8481</t>
  </si>
  <si>
    <t>Raman, Dr Betty</t>
  </si>
  <si>
    <t>210165930</t>
  </si>
  <si>
    <t>DFR09030</t>
  </si>
  <si>
    <t>Bioguard</t>
  </si>
  <si>
    <t>Bergmann, Prof Jeroen</t>
  </si>
  <si>
    <t>UKRI/12/1</t>
  </si>
  <si>
    <t>HSR01860</t>
  </si>
  <si>
    <t>BHF Project Grant_</t>
  </si>
  <si>
    <t>Choudhury, Prof Robin</t>
  </si>
  <si>
    <t>PG/23/11384</t>
  </si>
  <si>
    <t>H6R00250</t>
  </si>
  <si>
    <t>LENS Trial</t>
  </si>
  <si>
    <t>14/49/84</t>
  </si>
  <si>
    <t>DFR10910</t>
  </si>
  <si>
    <t>SENSE</t>
  </si>
  <si>
    <t>ES/Z504671/1#0000059311</t>
  </si>
  <si>
    <t>CSR00670</t>
  </si>
  <si>
    <t>Cognition-NIH Michigan Lead Y3</t>
  </si>
  <si>
    <t>Dowd, Prof Jennifer</t>
  </si>
  <si>
    <t>1R01AG075719-01</t>
  </si>
  <si>
    <t>13005</t>
  </si>
  <si>
    <t>Burrows, Prof Philip</t>
  </si>
  <si>
    <t>Efxentis Ltd</t>
  </si>
  <si>
    <t>123397</t>
  </si>
  <si>
    <t>DFR11220</t>
  </si>
  <si>
    <t>Skin Cancer Sensor Project</t>
  </si>
  <si>
    <t>Chana, Prof Kamaljit</t>
  </si>
  <si>
    <t>Sexual violence research initiative (SVRI)</t>
  </si>
  <si>
    <t>CVR01340</t>
  </si>
  <si>
    <t>United Kingdom National Nuclear Laboratory Limited</t>
  </si>
  <si>
    <t>Naver France SAS</t>
  </si>
  <si>
    <t>77788</t>
  </si>
  <si>
    <t>DFR10600</t>
  </si>
  <si>
    <t>3D-aware</t>
  </si>
  <si>
    <t>Laina, Ms Iro</t>
  </si>
  <si>
    <t>Naver Agreement n° CD20240001</t>
  </si>
  <si>
    <t>210166049</t>
  </si>
  <si>
    <t>210166072</t>
  </si>
  <si>
    <t>ModernaTX INC</t>
  </si>
  <si>
    <t>100215</t>
  </si>
  <si>
    <t>210166041</t>
  </si>
  <si>
    <t>BZR06050</t>
  </si>
  <si>
    <t>POCT (PAS-RSV)</t>
  </si>
  <si>
    <t>77263</t>
  </si>
  <si>
    <t>210166057</t>
  </si>
  <si>
    <t>210166040</t>
  </si>
  <si>
    <t>210166050</t>
  </si>
  <si>
    <t>HSR01520</t>
  </si>
  <si>
    <t>Bristol Myers Squib</t>
  </si>
  <si>
    <t>PO 82173118</t>
  </si>
  <si>
    <t>210166042</t>
  </si>
  <si>
    <t>Scerif, Prof Gaia</t>
  </si>
  <si>
    <t>AMR00450</t>
  </si>
  <si>
    <t>Reinert: NeST Programme Grant</t>
  </si>
  <si>
    <t>CRR00510</t>
  </si>
  <si>
    <t>Big Data Partnership agreement</t>
  </si>
  <si>
    <t>Rittscher, Prof Jens</t>
  </si>
  <si>
    <t>RDC2020-104</t>
  </si>
  <si>
    <t>University of New South Wales</t>
  </si>
  <si>
    <t>10187</t>
  </si>
  <si>
    <t>HQR03430</t>
  </si>
  <si>
    <t>COSMIC.</t>
  </si>
  <si>
    <t>RG220087-C</t>
  </si>
  <si>
    <t>210166082</t>
  </si>
  <si>
    <t>CMR00180</t>
  </si>
  <si>
    <t>ONO</t>
  </si>
  <si>
    <t>AVR03410</t>
  </si>
  <si>
    <t>DPaterson_Leducq</t>
  </si>
  <si>
    <t>23CVD04</t>
  </si>
  <si>
    <t>HSR01840</t>
  </si>
  <si>
    <t>BHF Project Grant</t>
  </si>
  <si>
    <t>PG/23/11327</t>
  </si>
  <si>
    <t>Norfolk &amp; Norwich University Hospitals NHS Foundation Trust</t>
  </si>
  <si>
    <t>6221</t>
  </si>
  <si>
    <t>HJR02240</t>
  </si>
  <si>
    <t>MelMarT-II</t>
  </si>
  <si>
    <t>Douek, Prof Michael</t>
  </si>
  <si>
    <t>NIHR130886 257226 # RM1CAS16381</t>
  </si>
  <si>
    <t>DMR02510</t>
  </si>
  <si>
    <t>PHOTOCATALYSTS</t>
  </si>
  <si>
    <t>Fritzsche, Prof Marco</t>
  </si>
  <si>
    <t>210166166</t>
  </si>
  <si>
    <t>BLR03600</t>
  </si>
  <si>
    <t>SEQC</t>
  </si>
  <si>
    <t>Kissinger, Prof Alexander</t>
  </si>
  <si>
    <t>EP/Y004736/1</t>
  </si>
  <si>
    <t>HNR03870</t>
  </si>
  <si>
    <t>Efficacy V114 in EHPC with ser</t>
  </si>
  <si>
    <t>MISP Reference # 101865</t>
  </si>
  <si>
    <t>11077</t>
  </si>
  <si>
    <t>210166189</t>
  </si>
  <si>
    <t>AJR01061</t>
  </si>
  <si>
    <t>Martin Delaney CARE3 Margoli 2</t>
  </si>
  <si>
    <t>5UM1AI164567-03</t>
  </si>
  <si>
    <t>Tan Tock Seng Hospital</t>
  </si>
  <si>
    <t>113001</t>
  </si>
  <si>
    <t>210166190</t>
  </si>
  <si>
    <t>B9R06170</t>
  </si>
  <si>
    <t>Viet-TanLV-PREPARE</t>
  </si>
  <si>
    <t>Le Van, Dr. Tan</t>
  </si>
  <si>
    <t>2023_2604_A1_O # PREPARE_RESPIRO_008</t>
  </si>
  <si>
    <t>210166186</t>
  </si>
  <si>
    <t>University of Arizona</t>
  </si>
  <si>
    <t>61538</t>
  </si>
  <si>
    <t>CBR01680</t>
  </si>
  <si>
    <t>Capsella epigenomic change</t>
  </si>
  <si>
    <t>786865</t>
  </si>
  <si>
    <t>210166211</t>
  </si>
  <si>
    <t>B9R03441</t>
  </si>
  <si>
    <t>Thai - Dondorp ICU THB</t>
  </si>
  <si>
    <t>215522/Z/19/A</t>
  </si>
  <si>
    <t>Weisheimer, Dr Antje</t>
  </si>
  <si>
    <t>210166257</t>
  </si>
  <si>
    <t>bacterial pathogens</t>
  </si>
  <si>
    <t>1908638 # UOB461969</t>
  </si>
  <si>
    <t>210166706</t>
  </si>
  <si>
    <t>AER01170</t>
  </si>
  <si>
    <t>Oceant NETs (2)</t>
  </si>
  <si>
    <t>869357</t>
  </si>
  <si>
    <t>BZR03010</t>
  </si>
  <si>
    <t>ARC</t>
  </si>
  <si>
    <t>ARC-ARDT32 # ASE154547</t>
  </si>
  <si>
    <t>210166704</t>
  </si>
  <si>
    <t>DFR10900</t>
  </si>
  <si>
    <t>Sparrow, Prof Sarah</t>
  </si>
  <si>
    <t>ACR01830</t>
  </si>
  <si>
    <t>SMART-HS</t>
  </si>
  <si>
    <t>Slater, Prof Louise</t>
  </si>
  <si>
    <t>UKRI311</t>
  </si>
  <si>
    <t>Northern Care Alliance NHS Foundation Trust</t>
  </si>
  <si>
    <t>BZR06910</t>
  </si>
  <si>
    <t>Great Western Hospitals NHS Foundation Trust</t>
  </si>
  <si>
    <t>3944</t>
  </si>
  <si>
    <t>BZR07100</t>
  </si>
  <si>
    <t>MNDisease: what is missing?</t>
  </si>
  <si>
    <t>Hinton, Ms Lisa</t>
  </si>
  <si>
    <t>D-04</t>
  </si>
  <si>
    <t>Surprise Signals</t>
  </si>
  <si>
    <t>226785/Z/22/Z</t>
  </si>
  <si>
    <t>210166705</t>
  </si>
  <si>
    <t>DUR01270</t>
  </si>
  <si>
    <t>Daley - EPSRC Oct23</t>
  </si>
  <si>
    <t>Daley, Prof Andrew</t>
  </si>
  <si>
    <t>EP/Y005058/2</t>
  </si>
  <si>
    <t>Basic Income for Care Leavers</t>
  </si>
  <si>
    <t>523299</t>
  </si>
  <si>
    <t>Integrating metaviromics</t>
  </si>
  <si>
    <t>Knowles, Prof Sarah</t>
  </si>
  <si>
    <t>1575346</t>
  </si>
  <si>
    <t>Tidalsense Limited</t>
  </si>
  <si>
    <t>BZR07110</t>
  </si>
  <si>
    <t>BZR07000</t>
  </si>
  <si>
    <t>HJR03220</t>
  </si>
  <si>
    <t>Transcription in CRPC</t>
  </si>
  <si>
    <t>RIA23-ST2-007#63977</t>
  </si>
  <si>
    <t>SCULI</t>
  </si>
  <si>
    <t>R104190-101 86440</t>
  </si>
  <si>
    <t>210166289</t>
  </si>
  <si>
    <t>SGP</t>
  </si>
  <si>
    <t>Chaisty, Prof Paul</t>
  </si>
  <si>
    <t>2928618 # UOB551936</t>
  </si>
  <si>
    <t>SMART-DBS</t>
  </si>
  <si>
    <t>NIHR205474</t>
  </si>
  <si>
    <t>210166264</t>
  </si>
  <si>
    <t>VIPER</t>
  </si>
  <si>
    <t>Palin, Prof Richard</t>
  </si>
  <si>
    <t>11769710</t>
  </si>
  <si>
    <t>neuromorphic computing</t>
  </si>
  <si>
    <t>EP/W022931/1 - 121607R</t>
  </si>
  <si>
    <t>ONR Sirignano</t>
  </si>
  <si>
    <t>Sirignano, Prof Justin</t>
  </si>
  <si>
    <t>204449OU</t>
  </si>
  <si>
    <t>HBR05480</t>
  </si>
  <si>
    <t>Angrist, Dr Noam</t>
  </si>
  <si>
    <t>ETR00030</t>
  </si>
  <si>
    <t>Milking it UCL</t>
  </si>
  <si>
    <t>History of Science Museum</t>
  </si>
  <si>
    <t>Niala, Dr Josephine</t>
  </si>
  <si>
    <t>AH/Z505857/1 # 7822111</t>
  </si>
  <si>
    <t>Theology and Religion Faculty</t>
  </si>
  <si>
    <t>NHSBT funds 2021</t>
  </si>
  <si>
    <t>Estcourt, Lise</t>
  </si>
  <si>
    <t>PG_Bristol</t>
  </si>
  <si>
    <t>Ref R102215-101 (EP/V026690/1)</t>
  </si>
  <si>
    <t>Digital Good Network</t>
  </si>
  <si>
    <t>r/174726</t>
  </si>
  <si>
    <t>WesCon</t>
  </si>
  <si>
    <t>RG.EVEA.128382</t>
  </si>
  <si>
    <t>210166780</t>
  </si>
  <si>
    <t>DJR02210</t>
  </si>
  <si>
    <t>PHOENICS</t>
  </si>
  <si>
    <t>101017237</t>
  </si>
  <si>
    <t>CVR01230</t>
  </si>
  <si>
    <t>L Cluver - MRF</t>
  </si>
  <si>
    <t>MRF-CPP-R1-24-105</t>
  </si>
  <si>
    <t>Karpe, Prof Fredrik</t>
  </si>
  <si>
    <t>NOK</t>
  </si>
  <si>
    <t>HSR01550</t>
  </si>
  <si>
    <t>Charis BHF ChairV  B</t>
  </si>
  <si>
    <t>CH/F/21/90009</t>
  </si>
  <si>
    <t>Diabetes Care Trust (ABCD) Limited</t>
  </si>
  <si>
    <t>83120</t>
  </si>
  <si>
    <t>210166757</t>
  </si>
  <si>
    <t>H7R01090</t>
  </si>
  <si>
    <t>REA_DCT_Apr-22</t>
  </si>
  <si>
    <t>Rea, Dr Rustam</t>
  </si>
  <si>
    <t>210166735</t>
  </si>
  <si>
    <t>AZR01970</t>
  </si>
  <si>
    <t>CB - RACE2</t>
  </si>
  <si>
    <t>NW/22072  Glasgow: 303229 #20527757</t>
  </si>
  <si>
    <t>B9R05950</t>
  </si>
  <si>
    <t>Mpox Transmission</t>
  </si>
  <si>
    <t>MC_PC_24001</t>
  </si>
  <si>
    <t>HMR06450</t>
  </si>
  <si>
    <t>MRC - MURIDAE (lead Cardiff)</t>
  </si>
  <si>
    <t>Lerch, Prof Jason</t>
  </si>
  <si>
    <t>COLL-354226477/521401</t>
  </si>
  <si>
    <t>72713</t>
  </si>
  <si>
    <t>BRUK (full) - Cader 08.23</t>
  </si>
  <si>
    <t>PG23-100009</t>
  </si>
  <si>
    <t>210166794</t>
  </si>
  <si>
    <t>HNR03950</t>
  </si>
  <si>
    <t>O'Connor, Dr Daniel</t>
  </si>
  <si>
    <t>Bone Cancer Research Trust</t>
  </si>
  <si>
    <t>32758</t>
  </si>
  <si>
    <t>HMR06290</t>
  </si>
  <si>
    <t>Turnquist, Miss Casmir</t>
  </si>
  <si>
    <t>A3R00220</t>
  </si>
  <si>
    <t>NAT</t>
  </si>
  <si>
    <t>MR/Y008405/1</t>
  </si>
  <si>
    <t>HMR05420</t>
  </si>
  <si>
    <t>Vera Down 03.23 - Bo Sun</t>
  </si>
  <si>
    <t>Sun, Dr Bo</t>
  </si>
  <si>
    <t>Caristo Diagnostics Ltd.</t>
  </si>
  <si>
    <t>80066</t>
  </si>
  <si>
    <t>HSR01530</t>
  </si>
  <si>
    <t>Charis_NHS AI (Caristo lead)</t>
  </si>
  <si>
    <t>BHF - Cader (lead Cardiff)</t>
  </si>
  <si>
    <t>523277</t>
  </si>
  <si>
    <t>210166821</t>
  </si>
  <si>
    <t>The University of Alabama at Birmingham</t>
  </si>
  <si>
    <t>106359</t>
  </si>
  <si>
    <t>210166793</t>
  </si>
  <si>
    <t>PSR00180</t>
  </si>
  <si>
    <t>N Provine - NIH</t>
  </si>
  <si>
    <t>Provine, Dr Nicholas</t>
  </si>
  <si>
    <t>Subaward 000520244-SP008-SC023</t>
  </si>
  <si>
    <t>University of Minnesota</t>
  </si>
  <si>
    <t>60516</t>
  </si>
  <si>
    <t>HNR02940</t>
  </si>
  <si>
    <t>Backtracking Leukemia</t>
  </si>
  <si>
    <t>N008971302</t>
  </si>
  <si>
    <t>Mead, Prof Adam</t>
  </si>
  <si>
    <t>210166868</t>
  </si>
  <si>
    <t>HNR02660</t>
  </si>
  <si>
    <t>RHH Coronovac</t>
  </si>
  <si>
    <t>ESR-22-21713  D8111C00022 # 7100206506</t>
  </si>
  <si>
    <t>210166835</t>
  </si>
  <si>
    <t>DFR11040</t>
  </si>
  <si>
    <t>NWTF2 - MSBS</t>
  </si>
  <si>
    <t>Weatherall Institute of Molecu</t>
  </si>
  <si>
    <t>Higgs, Prof Douglas</t>
  </si>
  <si>
    <t>Andrew, Dr Alison</t>
  </si>
  <si>
    <t>Australian Defence Force Malaria and Infectious Disease Institute</t>
  </si>
  <si>
    <t>111039</t>
  </si>
  <si>
    <t>210166840</t>
  </si>
  <si>
    <t>B9R06010</t>
  </si>
  <si>
    <t>Dengue infrared feasibility st</t>
  </si>
  <si>
    <t>DF2024</t>
  </si>
  <si>
    <t>H4R02730</t>
  </si>
  <si>
    <t>NIHR BTRU Camb-Oxf 2021</t>
  </si>
  <si>
    <t>Roberts, Prof. David</t>
  </si>
  <si>
    <t>NIHR203337 # G112521/RHAG/379 BTRU</t>
  </si>
  <si>
    <t>HER01850</t>
  </si>
  <si>
    <t>Prestige-PTB - PID 18024</t>
  </si>
  <si>
    <t>PID 18024</t>
  </si>
  <si>
    <t>BXR01091</t>
  </si>
  <si>
    <t>AMP-AD Yr2</t>
  </si>
  <si>
    <t>Van Duijn, Prof Cornelia</t>
  </si>
  <si>
    <t>303001099</t>
  </si>
  <si>
    <t>210166841</t>
  </si>
  <si>
    <t>HMR02100</t>
  </si>
  <si>
    <t>Slow waves for anaesthesia</t>
  </si>
  <si>
    <t>Warnaby, Dr Catherine</t>
  </si>
  <si>
    <t>MR/R006423/1</t>
  </si>
  <si>
    <t>A5R00340</t>
  </si>
  <si>
    <t>Quantum Biomedical Sensing</t>
  </si>
  <si>
    <t>EP/Z533191/1</t>
  </si>
  <si>
    <t>Additional Ventures</t>
  </si>
  <si>
    <t>86193</t>
  </si>
  <si>
    <t>210166866</t>
  </si>
  <si>
    <t>AVR02930</t>
  </si>
  <si>
    <t>DS_AddVent_SV CHD</t>
  </si>
  <si>
    <t>Sparrow, Prof Duncan</t>
  </si>
  <si>
    <t>Automated invoices 10% for 3 years now so while it's declining, invoicing is as a whole.</t>
  </si>
  <si>
    <t>New customer templates to include transaction listing - will open up opportunity</t>
  </si>
  <si>
    <t>Worked hard on EngSci projects to get more Automated and it paid off</t>
  </si>
  <si>
    <t>DFR10610</t>
  </si>
  <si>
    <t>Parker-Hannifin Corporation</t>
  </si>
  <si>
    <t>ACR01720</t>
  </si>
  <si>
    <t>EPR02280</t>
  </si>
  <si>
    <t>HJR03480</t>
  </si>
  <si>
    <t>Natural State Ltd</t>
  </si>
  <si>
    <t>Cardiff Metropolitan University</t>
  </si>
  <si>
    <t>DFR09871</t>
  </si>
  <si>
    <t>DFR10940</t>
  </si>
  <si>
    <t>Sheffield Health and Social Care NHS Foundation Trust</t>
  </si>
  <si>
    <t>DFR11070</t>
  </si>
  <si>
    <t>Greenage Technologies Power Systems Ltd</t>
  </si>
  <si>
    <t>AZR03110</t>
  </si>
  <si>
    <t>MiroBio Ltd</t>
  </si>
  <si>
    <t>DFR10980</t>
  </si>
  <si>
    <t>H4R03240</t>
  </si>
  <si>
    <t>Yellowstone Biosciences Limited</t>
  </si>
  <si>
    <t>HFR06480</t>
  </si>
  <si>
    <t>K36 Therapeutics, Inc.</t>
  </si>
  <si>
    <t>A5R00330</t>
  </si>
  <si>
    <t>BZR06670</t>
  </si>
  <si>
    <t>DJR01961</t>
  </si>
  <si>
    <t>DUR01430</t>
  </si>
  <si>
    <t>University of Worcester</t>
  </si>
  <si>
    <t>Shimane University</t>
  </si>
  <si>
    <t>Government of Japan</t>
  </si>
  <si>
    <t>BLR03960</t>
  </si>
  <si>
    <t>DUR01500</t>
  </si>
  <si>
    <t>BZR06480</t>
  </si>
  <si>
    <t>BZR07180</t>
  </si>
  <si>
    <t>HBR04970</t>
  </si>
  <si>
    <t>M3R00870</t>
  </si>
  <si>
    <t>University of East Anglia</t>
  </si>
  <si>
    <t>Freie Universitat Berlin</t>
  </si>
  <si>
    <t>Volkswagen-Stiftung</t>
  </si>
  <si>
    <t>g-  16/07/25 email from Graeme - We would pay £4895 in first 2 weeks of August then £10k per month Sept-Dec. Could that work to get this finished off.  17/07/25 email to Graeme -  Thanks for your email, yes that will work and agree to this payment plan.  27/08/25 email to Graeme - Can you let me know if the initial payment of £4,895.00 has been made?  24/09/25 email to Graeme Malcolm - Have you and update on when we will receive the expected payments.  29/10/25 email from Jimmy (dept) to James B - Would it be worth my PI who worked with them getting in touch?  I will reach out to him now.  01/12/2025 email from James B to Heidi (dept) -  For BWR00971, we haven’t yet created a specific provision for this debt. I would like to set up a departmental provision for this, £36,674.68 as calculated below, charged to BW0000, when we compile our Q2 bad debt provision. Would this be acceptable to you?    01/12/2025 email from Heidi to James -  Many thanks for both of your replies, much appreciated. The dept is happy to accept your suggestions re both debts. Please let us know if you need us to do anything else, pending any provision we add to our Q2 figures.   02/12/2025 email from James to Heidi -  Many thanks for getting back to me Heidi. We’ll create the agreed provisions during our usual quarterly BDP process, in early Feb 2026 (for the Jan-26 books). No further action required from you on this point.  21/01/2026 email to Graeme Malcolm - We are yet to receive any payments per your email can you let me know when payment will begin.</t>
  </si>
  <si>
    <t>d- 03/10/25 email from Laura to grants post award - With regards to my email below, specifically the following, I don’t seem to have received a repose: With regards to DJR01070 EP/R010145/1 Please find attached the FES which was submitted.  You will see that it reports a balance of £4,385.  Which matches the credit we have on file.  I don’t therefore see that there is any additional work required here.  Only for you to take the credit/offset against future remit. As I understand it we still have the income.  Can you please take a look into this and take the credit/offset against future remit?  07/10/25 email from Laura - I chased DJR01070 today.  17/11/2025 email from Maurice Guiry to Laura - Thank you for your email correspondence dated 03/10/2025 (copy appended below).   The purpose of this email is to notify you that the UKRI Grants Post Award team has now generated a Supplementary Expenditure Statement (SES) deliverable for Grant reference number EP/R010145/1.  The SES is scheduled to be issued overnight and should appear in your Je-S portal by tomorrow morning.  19/11/2025 email from Laura - Please see the email below.  Basically no action at all for us.  Just a mechanism for the debt to be settled.  19/11/2025 email from Laura - Thank you for this information Maurice.  18/12/2025 email from Maurice to Laura - This email is sent to advise you that grant reference EP/R010145/1 has now been re-reconciled, and a final balance payment of [-£4385.00] will be recovered from your organisation in the next pay run.</t>
  </si>
  <si>
    <t>g-  31/07/25 email from Barbara Kitchener to Paul Hogben - In Zoe’s absence, I wonder whether you could liaise with Wayne (cc’d) in Research Accounts about progress with Oxford’s signature of this accession agreement as there is a pressing contract end date, and analysis to complete, of 30 September 2025 (background detailed below).  01/08/25 email from Paul to various -  Can you forward me a copy of the draft agreement please. Can you also give me a little more background (apologies, Im not familiar with this grant).  Assuming this relates to Oxford grant code HJR00080 (Barabra – please confirm) we don’t currently seem to have an active agreement.  Looking at our files the last VTC we had was until 31 October 2023.    01/08/25 email from Bill Toff to Paul - Attached is the email that was circulated some weeks ago, which includes the draft agreement (Variation 03) as one of the attachments. Are you free to speak or meet in Teams briefly and I can fill you in on the background?  16/10/25 email to Paul Hogben - With reference to the emails below regarding project HJR00080 can you let me know if there is any update?  06/11/25 email from Paul Hogben - Apologies for the delayed reply, I was on leave and struggling to get through the backlog or e mails. I've cc'd John Gilbert as NDS are the lead department, but as far as Im aware a contract amendment to reduce Oxfords budget was signed of by Research Servies and sent back to Leicester.  23/01/2026 email to Paul &amp; John - Thanks for your email, can you let me know if the contract amendments have been resolved.</t>
  </si>
  <si>
    <t>g-  21/02/25 email from Chris - Aiming for next tranche by mid March which should be get us below 20k, and close it altogether by end of April (funding deadline for the current raise).  02/05/25 email to Chris - Thanks for your email, can you let me know when we can expect the next payment.  20/05/25 further chase to Chris.  29/05/25 email from Chris Brandon - Nice to hear from you and sorry for the radio silence. Been a challenging period in climate-tech to put it mildly.  As such we have had to seek alternative sources of funding than traditional VC crowd – we have a few advanced routes to completing our funding which has taken much longer than anticipated, and are aiming to wrap it up in mid-July. Oxford not forgotten, nor our outstanding invoices – working very hard to get the funding across the line and close this up.  22/07/25 email to Chris -  Thanks for your email, how is your funding process getting on is there any update.  08/08/25 chase to Chris.  22/10/25 email to Christopher Brandon - Can you let me know when we can expect the final payment of £36,000.00.  19/01/2026 email to Chris - We still have the outstanding balance of £36,000.00 to be paid against the invoice can you let me know when this will be paid?  19/02/2026 final demand letter sent.  26/02/2026 email from Chris Brandon - Sorry for the late notice, we have been battling for several months to get paid by the Dutch government for an 8.5M EUR contract we have secured. The second tranche was due in December and is now due next week – we should be able to start clearing this during the month of March. Attaching the contract for full transparency.</t>
  </si>
  <si>
    <t>d- Payment expected end of January 2026</t>
  </si>
  <si>
    <t>b- 03/10/25 email from Maurice Guiry (post award) - Thank you for your email concerning Grant reference number ES/M010082/2 and dated 18/08/2025. I am sorry for the delay in acknowledging it.  With regard to your question about why the grant only received funds in the amount of £2,002,290.38 rather than funds in the amount of £2,039,928.17 as you would have expected. While reviewing the grant’s reconciliation history I encountered an issue that meant I have had to escalate your query to my line manager. I will contact you again as soon as I receive any further information on the matter.  06/11/2026 email from Maurice Guiry -  In summary, expenditure reported of £2,039,928.17 only received the payment amount of £2,002,290.38” due to the Exceptions Other Costs heading being overspent, whilst this fund heading should have only been paid up to £167,275.22. However, due to an exceptional arrangement with ESRC a further £84,372.69 was paid as a manual payment to the RO to allow some of the funds unspent from Exceptions equipment to pay against other costs incurred. So, in total the correct payment figure against this grant =  SES reconciliation Q3 22/23 £1,917917.69. Plus, the £84,372.69 paid as manual payment Total paid = £2,002,290.38.  23/02/2026 email to Daniel -  Please see the email below regarding project EPR01230 and invoices 210111282 &amp; 210123182, can you look into this with the department and let me know the outcome.</t>
  </si>
  <si>
    <t>g- 10/02/2026 email from Anders Karlen - We are writing to inform you that we have received €123 977,43 from the appointed liquidator of JUVABIS AG to be distributed to ENABLE beneficiaries that have suffered a financial loss deriving from the misuse of pre-financing by JUVABIS AG. It represents approximately 22% of the losses. In order to reduce the administrative burden of executing the payments, the distribution cut-off will be 500 EUR, representing nineteen of thirty-one partners with a financial loss. Please contact us if you have any questions related to this final payment. Thank you for your cooperation. We will contact you to check the financial details of your organization shortly.    10/02/2026 email from Tequila to the dept plus - Please see the email below and the attached final payment for UOXF following the liquidators’ distribution. Our share of the payment is €16,404.94.</t>
  </si>
  <si>
    <t>b- 04/02/2026 comment from Ciaran - WT Comments: This grant ended on 25/12/2021, and the FER was submitted on 08/03/2022, according to our records. The final payment of £480,101.03 was issued to your organisation on 21/06/2022.  04/02/2026 email to Ciaran - Re project ALR00850 – 210121303 balance of £15,068.12, I had a look at the remit received Wellcome paid the amount of £480,101.03 but only the amount of £464,816.13 was applied to the invoices – difference of £15,284.90, the reason for this is re project CQR01880 they paid £7,786.15 but only £6,931.17 was applied re invoice 210119027 leaving a balance of £854.78, re project CFR00580 they were taking back the amount of £17,494.60 but only the amount of £1,355.12 was available re credit 210117993 difference of £16,138.48.</t>
  </si>
  <si>
    <t>g-  22/07/25 email from Melissa (dept)  to Nigel Byng - Please can I follow-up on the below? It appears this invoice is still outstanding.  22/07/25 email from Nigel - It probably is and I have to admit I have been out of the loop on the detail since Feb. I’m just back from leave so will loot at it this week 😊    17/09/25 list of outstanding invoices sent to various at OUP.  29/10/25 email to Nigel Byng - Can you help would you be able to let me know who can advise on the payment status of the attached invoice.  29/10/25 email from Nigel - I didn’t recognise it on first sight (I see so many) but it has come back to me now – see attached. Richard – can you have a discussion with Dylan from RDM for us please to try and bottom out the status of this invoice ? Its starting to suck up quite a lot of time for various individuals in the OU and the Trust, but there is little we can do about it.  17/12/2025 email from Dylan (dept) to James -  I will follow up again with OUH about this one but I haven't received a response from my last two chasers.  I also cannot see that Richard followed up with us about this one as per Nigel's reply in the notes below for 29/10/2025.  17/12/2025 email from James B to Dylan -  Do you know who this Richard is? Can you contact them directly?  17/12/2025 email from Dylan to James - Yes, I have been emailing both Richard and Nigel about this. Hopefully I hear back this time.  21/01/2026 email from Dylan (dept) to Joel Atkin -   I continue to chase this up with Richard but have not received a reply yet. Nigel from OUH is replying to my emails asking Richard to respond to me but still nothing. Is there any advice on how I should proceed going forward as I am not sure I'm making much progress here.</t>
  </si>
  <si>
    <t>g-   25/11/2025 email from Mae to Ruoting - Many thanks for the update — that is excellent news. We greatly appreciate you and your colleagues' efforts, and it is reassuring that future transactions should move more smoothly once this year’s process is completed. With the infrastructure invoice now progressing through your internal system, I would also like to kindly follow up on the two invoices under the separate Visiting Scholar Support Agreement. As these fall outside the infrastructure contract and are processed through different financial streams on our side, it would be very helpful if they could also be settled through your finance office. Clearing these will allow us to move ahead with preparing the next round of scholar visits and project proposals.  15/01/2026 email from Mae (dept) -  FYI – I tried to get David to prompt Sichuan University before the holidays. I hadn’t heard back and in the new year, I nudged to make sure he had sent something. Please see next email for the response (08/01/2026 email from David Kerr - This was their immediate response to my wechat message. In san Francisco for a week at conference etc).</t>
  </si>
  <si>
    <t>e- 29/07/25 email from Laura - 29/07 SeS currently back with Jenny.  Due 08/08.   07/10/25 email from Laura - With regards to the other two the SESs have been done.  So would expect the Councils to offset these credits in future remits shortly.  16/12/2025 email from the post award team to Laura - This email is sent to advise you that the re-reconciliation of grant reference ES/R004285/1 has now been completed by using expenditure details taken from the Supplementary Expenditure Statement (SES) submitted on 30/10/2025. The final balance payment of [-£205.50] will be recovered from your organisation in the next pay run.</t>
  </si>
  <si>
    <t>b-  25/09/25 email from Tehseen to finance - Apologies for the delay in this. I can confirm that the dissemination costs are now fully spent as per the FSTOX and that there are no more costs for this one.  12/11/2025 email from Tehseen -  This relates to the balance for invoices 210118336 and 210132127. Small balance remains which I will query with the dept as to fi they will put more costs on or if we need to return some of the funds.  16/12/2025 email to Tehseen - I believe this should be paid.     09/02/2026 chase to Nets finance.  09/02/2026 email from Sandra Light - We are looking into these, I have just looked at 16/84/01, and I can see this one is now fully paid, with the last payment being made on the 31/10/25.  09/02/2026 email to Ellie - Please see the email below regarding invoice 210132127 on the above project, the last payment of £21,600.00 see attached was applied to the following it seems no further payment will be made, can you look into this and let me know the outcome.  04/03/2026 email from Ellie to Sarah Light -  I can see that the final payment was sent based on an estimated dissemination figure of £21,600. However, we were actually given approval to spend up to £27,000 in dissemination costs based on the attached email from Roderick on 17th December 2021  in response to Simon's email making the request.  Therefore, there is not actually an underspend of £4,764.64 as detailed on the FSTOX and we believe a further payment of £4,371.02 would be due. Are we able to provide an FSTOX confirming final costs as I can't see that we were ever asked to complete a post-dissemination FSTOX?</t>
  </si>
  <si>
    <t>e-   02/07/25 email from Bharkavi to ap - Please can we get these invoices paid as a matter of urgency? POs also attached.  04/08/25 email to various - Can you let me know the payment status of invoice 210134662 copy attached, also regarding invoice 210133121 - £21,429.68 we received the attached payment of £19,066.68 which our Cashers department could not identify, they applied the payment to invoice 210133121 as they did not know what the payment was for but we are left with a balance against the invoice of £2,363.00, also attached is invoice 210138299 can you let me know the payment status of this.   04/08/25 email from Bkarkavi Srikuma to Dawn &amp; Susan -  Please can you get back to Wayne regarding this?  22/10/25 email to various -  Can I have an update on the payment status of the attached invoices.  22/10/25 email from Dawn Clarke -  Please can I have the order number for the below invoice.   22/10/25 email from Bharkavi to Dawn - Please see attached.     22/10/25 email from Dawn - Thanks I still can’t see the purchase order numbers on any of this documentation?  16/12/2025 email to various - Can I have an update on when the attached invoices will be paid, , also regarding invoice 210133121 - £21,429.68 we received the attached payment of £19,066.68 which our Cashers department could not identify, they applied the payment to invoice 210133121 as they did not know what the payment was for but we are left with a balance against the invoice of £2,363.00.  23/01/2026 further chase to various.     04/02/2026 new PO received and invoice reissued.  payment 10/03/2026</t>
  </si>
  <si>
    <t>d-   02/07/25 email from Bharkavi to ap - Please can we get these invoices paid as a matter of urgency? POs also attached.  04/08/25 email to various - Can you let me know the payment status of invoice 210134662 copy attached, also regarding invoice 210133121 - £21,429.68 we received the attached payment of £19,066.68 which our Cashers department could not identify, they applied the payment to invoice 210133121 as they did not know what the payment was for but we are left with a balance against the invoice of £2,363.00, also attached is invoice 210138299 can you let me know the payment status of this.   04/08/25 email from Bkarkavi Srikuma to Dawn &amp; Susan -  Please can you get back to Wayne regarding this?  22/10/25 email to various -  Can I have an update on the payment status of the attached invoices.  22/10/25 email from Dawn Clarke -  Please can I have the order number for the below invoice.   22/10/25 email from Bharkavi to Dawn - Please see attached.     22/10/25 email from Dawn - Thanks I still can’t see the purchase order numbers on any of this documentation?  16/12/2025 email to various - Can I have an update on when the attached invoices will be paid, , also regarding invoice 210133121 - £21,429.68 we received the attached payment of £19,066.68 which our Cashers department could not identify, they applied the payment to invoice 210133121 as they did not know what the payment was for but we are left with a balance against the invoice of £2,363.00.  23/01/2026 further chase to various.  02/02/2026 New PO received invoice resubmitted.</t>
  </si>
  <si>
    <t>g- 02/09/24 copy emails forwarded to Duncan.  23/10/24 email from Kathleen Parsons to James -  Just to confirm we are following up with a letter with regards to this debt and writing from the department to see what we can recover.  Legal have advised a strongly worded letter and we will see what response we get.  21/01/25 email to Duncan Passey -  Re the above project did a legal letter get sent to the funder re the outstanding debt?  22/01/25 email from Duncan -  Let me check with both our Head of Admin and Research Facilitation team and I’ll get back once I have an answer.  03/03/25 email to Duncan -  Thanks for your email, can you let me know if there is any update?  10/03/25 email from Duncan - Adding in our joint Head of Admin, Joanna Barlow, who was looking into this and can provide an update. (Jo – this was the Pixstory grant debt).  28/05/25 email to Jo Barlow - Re the Pixstory grant is there any update on the situation.  08/08/25 email to Jo Barlow - Can you let me know if there is any update with the above project.  21/08/25 email from James B to Duncan - We’ve been waiting for her to respond for a while, so I thought I’d give you a nudge to see what was going on! Thanks for getting back to me so quickly. When is Jo back? We would greatly appreciate it if you would ask her to get in touch with us, many thanks!   21/08/25 email from Duncan - Back on 1 September – added to my handover list for her return!  22/10/25 email to Duncan - Is there any update from Jo re the above project?  22/10/25 email from Duncan - Sorry no, she does have on her to do list but hasn’t got round to it yet.</t>
  </si>
  <si>
    <t>b-  10/10/25 email from Matthew to Lucy Hill - I just wanted to follow up on Laura’s email (copied below) regarding the outstanding payment of £7,118.81 on this award. Have you had a chance to review this?  Email from Matthew -   14/11/2025 - Follow up email sent to Lucy regarding the £7k payment.  Email from Matthew -  12/12/25 -  Follow up email sent to Lucy regarding the £7k payment.  13/01/2026 email from Matthew - 07/01/26 - Follow up email sent.     13/02/26 - Follow up email sent.  19/02/2026 email from Lucy Hill to Laura - thank you for sending this over, apologies again for the delay, I’ve been looking at the award and I still can’t see any documentation that confirms the increase in 7k, from the £676035.9 that has been paid out on the award.  19/02/2026 email from Matthew to Lucy Hill -  Please could you provide your detailed budget breakdown at your earliest convenience? Once received, we will reconcile this against our own breakdown (see below) and identify any variances. For our understanding, could you please clarify whether the “amount offered” refers to the total budget you have recorded as awarded to us for this project? We just want to ensure we are aligned, as the total awarded budget and the income actually received can represent two different sums.</t>
  </si>
  <si>
    <t>g-  15/07/25 email to Aleksander &amp; finance - I’m being chased by our head of finance for an update on when next payments will be made have you an update.  23/07/25 email from Aleksander - As part of our regular updates, we wish to inform you that, due to the seasonal vacation period, finalizing the paperwork for the fundraising round has encountered a brief delay. This is purely procedural in nature and does not reflect any change in the intentions of the involved parties or in the agreed terms. All substantive matters have been successfully concluded, and our legal teams are diligently working to complete the formal documentation. Given the international nature of the parties involved, slight scheduling constraints may arise over the coming summer weeks. We sincerely appreciate your continued patience and understanding and remain committed to keeping you informed as we progress toward closure.  16/10/25 email to Alexsander - Thanks for your email below, can you let me know if there is any update?  19/10/25 email from Aleksander - Thank you for checking in. I was hoping to surprise you with some good news, but you beat me to it :)  We're just about to wrap up our fundraising round, and we expect the first tranche to land in early November. Immediately afterward, we’ll begin normalizing our payment discipline. We're fully committed to getting things back on track as soon as possible. Thanks again for your patience and continued support.  01/12/2025 email to Aleksander -  Thanks for your email, can you let me know if there is any update regarding your fundraising.   payment of £10,000.00 on 30/12/2025 &amp; 20/01/2026 &amp; 10/02/2026</t>
  </si>
  <si>
    <t>g-  22/09/25 email to Donna - Please see the email below regarding project BZR00030 (210138907), can you respond to Sarah regarding the FSTOX copying me into the response.  Email from Donna - 7/10/25 Anna (dept)  is oging to work ont he FSTOX.  05/11/25 email from Donna to Sarah Light -  I have reached out to the department about the FSTOX for BZR00030. Have you had any response from the post-award@phc.ox.ac.uk mail box? If you can let me know what the comment/queries are, I shall try to assist in reaching a resolution.10-12-25 emaile department to chase answer to funder queries. email from Donna - 14 1 26 chsed department and gave thema  deadline friday 16 1 26.  21/01/2026 email from Felicity (dept) to James B - Attaching an email that Anna Karlinska sent regarding this a couple of weeks ago. By copy of this email I will ask her to advise if any further update yet (06/01/2026 email from Anna (dept) to various - Just to send an update on BZR00030 (BARACK-D ) – I am liaising with the PI regarding final publication/ dissemination costs as those could have been incurred 24 months after the end date (and I believe there might have been discussions about longer period than 2 years). I will reply to NIHR either this or next week).</t>
  </si>
  <si>
    <t>d-  03/02/2026 email to Jonasus - Please see the email below regarding invoice 210139475 – DFR05600, can you look into this and submit the requested on the portal letting me know once done.  09/02/2026 email from Jonasus to the dept - Please may I ask if you can forward the attachment/thesis to us? This email address was not included in the earlier emails of this trail.  09/02/2026 email from Katie (dept) to Jonasus -I have shared the thesis with you, you should receive a OneDrive link. I will forward the other email to you (29/01/2026 email  from Katie to Yelania &amp; Gian Lorenzo -  My emails were bouncing back yesterday due to the file size of the thesis. I shared the final progress report and the students thesis with your colleague Magda Krajcovicova in November. Please see the email attached. I will send the link to Francesco's thesis to you in a separate email. Please let me know if you have any issues accessing the thesis.  10/02/2026 email from Jonasus to Katie - I assume the submission is fine and no action is needed required from my end? Please note I have tried to amend the existing invoice on the ESA portal, but it says awaiting for approval (also doesn't let me edit or attach documents).  10/02/2026 email from Katie (dept) to Jonasus - ESA did not respond to my emails, I will follow up with them.</t>
  </si>
  <si>
    <t>d-  16/12/2025 email to Mrs Zhuang -  Can you let me know if there is any update on the processing of payment the outstanding invoice.  19/12/2025 email from Mrs Zhuang -  We received a reminder from the Beijing Tax Service Bureau when following up on the filing progress, informing us that this filing does not meet the relevant conditions for designated withholding after review. I have consulted the tax bureau about the relevant matters and prepared some supplementary materials as required to resubmit to the tax bureau.  23/02/2026 email to Mrs Zhuang - Thanks for your email, can you let me know if there is any update?  26/02/2026 email from Mrs Zhuang -  Please accept my apologies for the delayed response. I was on leave for the Chinese New Year holiday and am only replying to your email today. I wish to update you on the progress: the contract filing has been approved. I will now proceed with the Tax Filing for External Payments as the next step.</t>
  </si>
  <si>
    <t>g-  16/10/25 email to Jo Hovard - Thanks for your email to James regarding project HBR04210, do you know if there has been any further progress.  17/10/25 email from Jo -  Sorry I have chased the PI on this again.  16/10/25 email from Jo Hovard - Please see below from the PI  (16/10/25 email from Tim Hinks - It’s still in legal wranglings. They are not going to release the data without charging us 233k. I guess that’s up for negotiation, but they probably won’t give us the last payment or two. It’s with Gavin Brown).  24/12/2025 email from Jo (dept) to James B - You emailed again about the debt on HBR04210, the PI is still in discussion with the Funder and has asked for data as per the email below (11/12/2025 email from Tim Hinks to Robert Durichen - Thank you for your time today and what was a productive meeting.  As requested, this is the summary of what we need from Arcturis, please. Robert, if we have further technical details, you and I could correspond without the rest of the cc’d parties. I would likely bring in Kate Elliott for clarifications. We request receipt of the raw data (fastq files) for all sequencing performed on the MORSE cohort to date.  Accompanying this data would need to be mappings of Novogene IDs to MORSE IDs).  02/02/2026 email from Jo (dept) to James B - For HBR04210 a meeting was held with Gavin Brown and Legal Services to discuss next steps and Gavin and Legal Services are going to go back to Arcturis to discuss some data.  I explained the position of the department and how much costs have already been incurred and the current shortfall on the account if the invoices are not paid.  We will need to wait for Gavin and Legal Services to go back to Arcturis.</t>
  </si>
  <si>
    <t>210171791</t>
  </si>
  <si>
    <t>d- 04/02/2026 comment from Ciaran - FER Now Due, RA advisor to be working on.</t>
  </si>
  <si>
    <t>b- 04/02/2026 comment from Ciaran - Gabrielle to confirm if FER has been submitted.  13/02/2026 email from Gabrielle -  13.02.2026 - FER ready to be submitted, waiting for one final comment from dept to explain overspend on one category.</t>
  </si>
  <si>
    <t>g- 06/01/25 email from Emma (dept) -  Hopefully, we can get a further update soon from Karina.  24/02/25 email to Karina Fedasz - Thanks for your email, can you let me know when you will be able to make payment for the outstanding invoice.  02/05/25 further chase to Karina.  06/05/25 email from Pippa Hitchcock to James B &amp; Wayne - Has there been any further communication on this? I’m happy to contact Karina to check what’s happening if you’ve heard nothing more? Id really like to get this sorted out asap.  06/05/25 Pippa to chase the sponsor.  28/07/25 email to Pippa (dept) - Have you had any luck with Blue Water Vaccines Inc?  27/08/25 chase to Pippa.  23/09/25 email from Donna - Have we had any movement on this final unpaid invoice? Do you need me to do anything?  24/09/25 email to Donna - See the attached emails awaiting a response from Pippa who was contacting the funder.  24/09/25 email from Donna - Thank you. I will reach out to Pippa now.  29/09/25 email from Izzy (dept) -  The blue water vaccines – Pippa Hitchcock will contact PI Sunetra Gupta and if she can’t get them to pay it soon, we will cancel the invoice.  29/10/25 email to Izzy (dept) - Thanks for your email, re Blue Water did Pippa or the PI have any luck?</t>
  </si>
  <si>
    <t>g-  02/05/25 email to the dept -  Re the email below from Kyle regarding project HNR02531 is there any update on this.  06/05/25 email from Gabi (dept) to Rinn -  Do you have any update on the sample shipping, please?  29/05/25 email from Gabi (dept) to Rinn - Can you possibly update on the sample shipping, please? Adding Euken and Duyen into the email chain who will be your grants contact going forward.  22/07/25 email to the various in the dept -  Can you let me know if there is any update on the samples so we can get the two outstanding invoice paid.  22/08/25 email from Euken (dept) to James - Not that I’m aware of. The most recent update I have on why our invoice is in dispute is that it relates to the scope of work. Oxford was responsible for ensuring the shipment of samples, but since the samples have not been shipped, the US lead is withholding payment, stating that we have not delivered on the agreed scope. This issue dates back to May 2025, and Gem was leading the discussions with the PI and the Department. She may be able to provide a further update once she returns from leave next week.  26/08/25 email from Gem Brown to James B - I’m afraid I don’t have any more information that Euken.  Attached is the last correspondence I have on this. Parv is currently on leave, so we won’t be able to get anything further until she is back, but I’ll make a note to follow up with her.  20/01/2026 email from Sam Branch to Lucia &amp; Sophie - Euken has asked that I forward the email to you. Can you please update comments and reply to Research Accounts and the Divisional Finance team.</t>
  </si>
  <si>
    <t>b- 24/10/25 dept to remove costs by mid November due to staff shortage.</t>
  </si>
  <si>
    <t>210143669</t>
  </si>
  <si>
    <t>H9R00230</t>
  </si>
  <si>
    <t>ReSOLUTE</t>
  </si>
  <si>
    <t>Structural Genomics Consortium</t>
  </si>
  <si>
    <t>Sauer, Dr David</t>
  </si>
  <si>
    <t>b- 15/12/2025 - Tequila to reconcile checking linked project.</t>
  </si>
  <si>
    <t>777372</t>
  </si>
  <si>
    <t>d-  29/07/25 email to Danielle &amp; Ciaran - Thanks for your email, checking the payments we received £264,891.93 of this £32,552.93 was applied to invoice 210137184 with the balance of £232,339.00 being applied to invoice 210142763, so I guess the outstanding balance against invoice 210142763 should be credited? Re invoice 210143820 we received the amount of £200,129.00 leaving a balance of £22,236.00 is this going to be paid?  11/08/25 email from Dori (dept) to Ciaran &amp; Wayne - Regarding 210143820 (invoice 7), £22,236.00 should be paid after the Final report is sent to Hanako. They confirmed that thay already have the narrative report and I’m waiting for @David Kidd to confirm if the financial report was sent too.  12/08/25 email from Dori (dept) to Jennifer Goh -  I believe you have received the final study narrative report and financial report. I was wondering if the payment of £22,236 has been approved. Please find the following attachments for your info: Finance report, Invoice, Hanako amendment.  27/10/25 email to Dori (dept) - Can I check did you get any response from Jennifer regarding your email below.  30/10/25 email from Dori (dept) to Jennifer Goh -  This is a kind reminder that we are still waiting for your answer; please see my email below in August 2025. Please see the invoice 210143820 here attached which shows 2 descriptions: Final study Narrative Report: £22,236 – still pending - Four Year Study Narrative: £200,129 - paid -  I know the project has been extended until 31 June 2026.</t>
  </si>
  <si>
    <t>g-  11/12/24 email from George Kearse to Oscar - I’m afraid the previous invoices are still in contention and I still don’t yet have an update, so I don’t recommend that any further invoices be raised for now at least.  08/01/25 email from Oscar to Page (dept) - HER01530 ended 02-Dec-2024, has there been any update on the disputed invoices?   08/01/25 email from Page to Oscar - Not yet, the last communication I had with the funder was just before Christmas so I’m guessing they’re catching up on things after the holidays.  13/02/25 email from Oscar - 07/02/25 Dept confirmed discussions still in progress with funder regarding disputed invoices.  Email from Oscar - 06/03/25 Dept still chasing funder.    17/06/25 email from Oscar -  Chased dept.  16/07/25 email from Oscar -  Dept waiting for finance manager Tony Nobes to return from long term leave before this can be resolved.  17/06/25 email from Page (dept) to Oscar - Unfortunately not. I have passed this over to our finance manager Tony (cc’d) to determine how the department will proceed with the debt, but he is currently on long-term leave. @Sarah I’m looping you into this &amp; can provide the background separately, but I appreciate you may not be able to advise until Tony and/or Lesa return.  20/08/25 email from Oscar - Chased dept now that Tony has returned from leave.  11/09/25 email from Oscar - Escalating within dept, sent chaser.  Email from Oscar -  Sent chaser to dept 08/10/25.  Email from Oscar -  12/11/25 Sent chaser to dept.  07/01/2026 email from Oscar -  Junaid chasing dept for resolution.</t>
  </si>
  <si>
    <t>b-  15/02/2026 email from Ami to Dylan &amp; Lucy - Thank you for you the below. I have replied in red for ease.  25/02/2026 email from Dylan (dept) to Ami - Apologies for the delay. I have removed the £50 travel cost as discussed.  I have contacted the OUH team about your salary queries too and will update you as soon as I have heard back.  Lucy - sorry but I think we need to re-run this invoice please and if possible make it clearer that the conferences and travel expenditure are grouped together, so not £500 on the invoice but £661.93 now that I have removed £50. I think we also need to try and make the Other Costs clearer because the OUH costs should all be Non-Oxford Other and I think they are being grouped into the normal Other Costs on the first page of the invoice. I am happy to try and split this out on a new draft if that is easier?</t>
  </si>
  <si>
    <t>d-  02/04/25 email from Sandra Pettersson -  Thanks for your email and respond and yes, I confirm the final invoice and the final amount to be paid is £5,000.00. @POLFIN, POLFIN – please find attached credit , @Duguay, Carley – please procced with internal process after POLFIN has booked the credits.  08/04/25 email from Sandra -  Is seams we need a root invoice ? do you have that ?    09/04/25 email to Sandra - invoice attached.  06/06/25 email to Sandra Pettersson -  Can you let me know if there is any update regarding the attached invoice.  09/06/25 email from Sandra -  Have you sent in the new and correct invoice to d Invoice to:invoice.PolestarPerformanceAB.SE63@ap.volvocars.biz ?  @PPABap – could you please support and see if attached invoice has been paid ? and let us know when ?  08/08/25 email to various - Can you let me know if the attached invoice has been approved for payment.  24/10/25 statemment of account forwarded as requested.   24/10/25 email from Elisa Litjens (ap support) - Thank you for your email with the statement of account.  We appreciate your input and will forward and validate your feedback with our client. If further clarification is needed, we will contact you.  09/02/2026 chase to Eliza.  09/02/2026 chase to the finance team.  09/02/2026 email from Mark Mihaila -  I have made a request to the payment team to provide more details on why this invoice is not yet paid.</t>
  </si>
  <si>
    <t>d-  13/08/25 email from Tehseen - Will check status of FSTOX with Laura as there is a signed one already. 20/08/25 email from Tehseen - Apologies for the delay in this, I have a had a look and I can see that the FTSOX was sent. Kay did have confirm receipt but had some queries regarding so I am guessing there still some queries outstanding. Have emailed Kay and CC'd you in, will follow up with the department once I get confirmation of what the queries outstanding are.      20/08/25 email from Tehseen to academy awards - For project reference NIHR300224 I wanted to check if you have any outstanding queries regarding the FSTOX? I believe the FSTOX was submitted to yourselves in April 2024 so I wanted to check whether there were any queries regarding it due to the final invoice for this award still being  outstanding.  10/09/25 email from Tehseen - Emailed NIHR on 20/08/2025 asking what outstanding queries there are for the FSTOX, no reply yet.  10/10/25 email to Tehseen to academy awards - I just wanted to check if there was any update on this and whether there were any outstanding queries?  12/11/2025 email from Tehseen -  Doesn't seem like there is any action from RA required, FSTOX was submitted and no known queries from the funder. Emailed the funder 20/08/2025 and 10/10/2025, no response. I believ they should pay the invoice.  09/02/2026 chase to academy awards.</t>
  </si>
  <si>
    <t>g- 21/05/25 email from Sally Vine to James B - By way of update, we have recently exchanged legal letters with the funder.  Our current offer is to terminate the agreement on payment of a sum that covers the direct costs and provides some overheads but does leave the department with a significant shortfall against the budgeted overheads.  21/05/25 email from James to Sally - do you think this will be resolved ahead of year-end?  21/05/25 email from Sally to James - We have asked for a response by 2 June but I should think this has some way to go. I will keep you posted.  16/07/25 still under investigation.</t>
  </si>
  <si>
    <t>b- 24/10/24 email from Sara to Anna - yes – if you could raise credits notes associated with the invoices where the incorrect claims were made and new invoices that would be fine.   04/11/24 email from Anna to Sara -  Thank you! I'm just looking over all the corrections and will send you the credit notes alongside the revised invoices by the end of today!  11/11/24 email from Anna - Need to correct multiple invoices as incorrectly categorised and send back to Funder for review.  18/12/24 email from Anna - with Funder in the process of being resolved.   08/01/25 email from Anna -  query with funder waiting to be resolved.  13/02/25 email from Anna - waiting for Funder to respond to a query.  03/03/25 email to Anna -  Can you let me know if there is any update regarding invoice 210147510 – BWR01310 on the attached.  06/03/25 email from Anna -  There has been a lot of back and forth regarding this project as the invoices had been incorrectly coded.  We are now in the process of trying to find the best way to rectify this with the Funder.  13/03/25 email from Anna - Working on with Funder.  09/06/25 Anna is still working on this.  08/07/25 email from Anna - AC working on.  21/08/25 email from Anna - working with Lewis on, will update soon, complex.  27/10/25 email to Anna -  Re invoice 210147510 on the attached, is there any update on the status of the invoice.  27/10/25 email from Anna - I'm afraid not yet, I have asked a few people and they are unsure how to tackle this so me and James will be prioritising this ticket in the next 2 weeks.  13/11/2025 email from Anna - working with James to resolve by next week.</t>
  </si>
  <si>
    <t>d- 04/02/2026 comment from Ciaran - On OSR Queries for this QTR, currently looking into</t>
  </si>
  <si>
    <t>d- 27/02/2026 email from Oscar - FER was submitted 15/01/2026</t>
  </si>
  <si>
    <t>b- 04/02/2026 comment from Ciaran - Ellie to confirm if FER has been submitted.  11/02/2026 email from Ellie - Asked dept Please can you provide an update on this as soon as possible? We do really need to draft the figures and leave ourselves time to work on the report. Final invoice still to be raised.</t>
  </si>
  <si>
    <t>d-  24/09/25 email from Justin (dept) to James B -  I spoke with Lewis (now left the University) and thought this case had been closed,  could you follow up with the Research Accounts grants team ? The final expenditure statement should have been submitted.   25/09/25 email from James B to Ops - @UAS Research Accounts Operations do we have any update on when the outstanding debt on HQR01630 will be paid by the funder? Apparently there should be no further queries on this and we are just waiting for payment, is this as we understand it?  30/09/25 email from James to Justin (dept) - Just picking this up as Lewis has left but FYI the Research Accounts contact for HQ will be Gareth Hemmings from tomorrow. As per a previous email (excerpt below), it appears that the final statement has been approved and the penultimate and final payments will be released once the project results are published. Could you confirm if there is a timescale for when this is expected to happen?  01/10/25 email from Justin to James - The NIHR asked for some final formatting changes to the report.  I will let you know as soon as it is submitted.  01/10/25 email from Justin (dept) to James - Further to below,  the PI just checked with NIHR – all our tasks are complete. The main report was uploaded in July and accepted. Will be published in a week or so.  09/02/2026 chase to academy awards.</t>
  </si>
  <si>
    <t>d-  21/01/2026 email to Rebecca (dept) - I think we should push back on this, the outstanding invoice has been outstanding for quiet a while and we were informed this had not been paid because of a PO number issue, two subsequent on the project were paid so there is no reason why this should not be paid, I’m guessing the agreement does not impose a timing deadline.  21/01/2026 email from Deirdre (dept) - I absolutely agree with you. I think that this is down to their mix up with PO numbers. We may have been slightly late with invoicing at the time but this was not raised as an issue when the invoice was submitted. I have attached the subaward agreement relating to this period. Please can the matter be pursued. If you need any further information, do let me know. Also, Gavin Brown is our contracts lead in RS and is familiar with these awards.  21/01/2026 email to Sameer Steth - Thanks for your email, with regards to invoice 210149380 the outstanding invoice has been outstanding for quite a while and we were informed this had not been paid because of a PO number issue, attached is the subaward agreement relating to this period, this was not raised as an issue when the invoice was submitted, two subsequent invoices on the project were paid copies of these are attached, can this be looked into again?  21/01/2026 email from Sameer -  Looping in our research administration team.</t>
  </si>
  <si>
    <t>h-   02/06/25 email to Lewis -  Thanks for your email re project HFR05680 and the 2 outstanding invoices, please see also the attached email regarding invoice 210150233 which may also relate to invoice 210155374, can you look into this and respond to Steven copying me into the response.  04/06/25 email from Anna to Ailsa - Please can you let me know what the PO number is to add to this invoice?  09/06/25 email from Anna to the dept - Please could you obtain a PO number from the Funder to add onto the invoice, I have tried to email but haven't heard anything back.  08/07/25 email from Anna - Chased dept for PO number.  21/08/25 email from Anna - chased dept.  13/11/2025 email from Anna -   WCK-RGNQJ-877 - chased funder for PO,  11/02/2026 email from Anna -  AC working on.</t>
  </si>
  <si>
    <t>a- 29/04/25 email from James to Ops - I’m copying the ops team to see what further invoicing is required on HFR03920.  21/05/25 email from Sonja (dept) to James - I can confirm that your action in regards to HFR03920 is correct, the final output will be a website in summer 2025 which should enable the invoice to be paid.  04/09/25 email from Sonja (dept) - HFR0392 - The PI confirmed that the final report (website) has been completed in February 2025, the final invoice can be raised.  05/09/25 chase to the grants team.    27/10/25 chase to various.  30/10/25 email from Ellen (grants) -  Thank you for your email. Please see below the status of each of the invoices: 210163457 = This invoice is currently on hold pending the publication of the Main Public Output.  09/02/2026 chase to the grants team.</t>
  </si>
  <si>
    <t>b- Now with Matthew 13/02/2026 - MB to reivew with JS</t>
  </si>
  <si>
    <t>b- 22/01/2026 email to Tequila - When you have chance can you let me know if you have anything on the above project we have an old 2024 invoice outstanding.</t>
  </si>
  <si>
    <t>g- Sponosr gone in Administration (Sarah O'Tooke) -  22/11/24 details forwarded to Jamie &amp; Kathryn Scott (dept).  25/11/24 email to Larysa re email from Mark -  Please find attached the Research invoices, re invoice 210150669 it's only £1,000.00 outstanding related to the VAT.  26/11/24 email from Larysa to the Administrator - Please find the proof of debt form attached from University of Oxford together with outstanding invoices. Please note invoice 210150669 has only £1,000.00 outstanding related to the VAT. Can you please confirm when the invoices will be settled?  21/01/2026 email to to the administrator - With reference to the below email and the attached, can you let me know if there is any update regarding settlement of the outstanding invoices.  22/01/2026 email from Ann (admin team) -   Thank you for your email. Please refer to our latest progress report available on our website at https://www.pwc.co.uk/services/business-restructuring/administrations/reaction-engines-limited.html. You will find the password in our initial letter to you, copy attached (notice of administration extension to 30 October 2026)   “To all known creditors Please note that it is the Joint Administrators intention to seek an extension to the administration appointment for a 12 month period to 30 October 2026 for the following reasons: The initial administration period of 12 months was insufficient for the Joint Admini…”</t>
  </si>
  <si>
    <t>210174064</t>
  </si>
  <si>
    <t>DCR01210</t>
  </si>
  <si>
    <t>XAIDA</t>
  </si>
  <si>
    <t>101003469</t>
  </si>
  <si>
    <t>b- 27/01/2026 email from Euken (dept) to Donna - Apologies for the delay. @David Kidd is working on the financial reports, that should be submitted on the CEPI portal ASAP. David, has this been done?  Once the reports have been audited, CEPI should proceed with payment in line with their standard way of operating.  28/01/2026 email from Donna to Euken -  Thank you for letting me know.  When the financial reports are finalised, please forward them to me so they can be approved. When you say they are to be audited, does that mean the Assurance team is involved? If I can be kept in the loop, for good or ill, that would be brilliant. (with Ellie)</t>
  </si>
  <si>
    <t>d- 02/09/25 email from Glen - Just to flag that we’ll be transferring payment in respect of invoice number 210139690 (£39,650.78) in the next day or two. I’ll forward the bank transfer slip as soon as I have it.  27/10/25 email to Glen - Can you let me know when the next payment will be made.  16/12/2025 email to Glen - I there and update on when we will receive the next payment of the outstanding invoices.  23/01/2026 email to Glen - can you let me know when the next payment will be made.  27/01/2026 email from Glen - Thanks for your message - it should be me apologising, not only for the delayed payment but also for not being in touch before now. Over the past -6 we’ve had a series of missed payments against the largest individual grant SEARRP holds, which has seriously impacted cashflow. I’ve been assured by the organisation involved that the account will be brought into order within the next two weeks - and as soon as it is the outstanding Oxford invoices will be settled directly. Again, sorry for this Wayne - I’ll let you know as soon as we’ve made payment.  25/02/2026 email from Glen Reynolds -  We’ve finally received the long delayed grant payment that I mentioned in my previous email. Please find attached a payment advice for GBP45,905.91 in respect of invoices 210146519 and 210143019. We’re working through a long backlog of outstanding payments, but expect to be able to settle final outstanding invoice before the end of March. As always, thanks for your patience - which has been greatly appreciated.</t>
  </si>
  <si>
    <t>d- 23/05/25 email to various - Can you let me know if the two attached invoices have been approved for payment.  27/05/25 email from Lindsey Douglas - The attached invoices relate to collaborate payments.  The notes advise we expect the funds to be released after 30/06/2025.  08/08/25 email to Lindsey (ap) -  Thanks for your email, can you let me know if there is any update regarding payment of the attached invoices.  12/08/25 email from Lindsey Douglas to nrasoff -  We have received the email below from the vendor requesting a payment date for the attached which are currently awaiting approval. Can you liaise with the vendor and advise.  06/10/25 chase to ap.  08/10/25 email from Lindsey Douglas to research - We have received the email below from the vendor requesting a payment date for the attached which are currently awaiting approval. Can you liaise with the vendor and advise.  NB invoice 210164741 will need to be sent for scannig and uploading into our system.  Please be aware this can take up to 48 hours.  02/12/2025 chase to various.  09/12/2025 email from Lindsey Douglas to nrasoff - We have received the email below from the vendor requesting a payment date for the attached which is currently awaiting approval. Can you liaise with the vendor and advise.  09/12/2025 email from Clare Lock -  We are awaiting funds from the project funder (UKRI) to pay invoice 210164741.  09/02/2026 chase to finance - Can you let me know if the funds have been received for payment of the attached invoice.  09/02/2026 email from David Hall -  Please see email from Donna below ( Yes it is – payment will be released once UKRI have signed off audit on project, Hoping this will be within the next 4 weeks).</t>
  </si>
  <si>
    <t>b- 03/12/2025 email from Josephine Hayes to Gareth - I am pleased to tell you that I have now released Invoice 210143204, together with Credit Note 210164194, for payment.   (Total sum payable = £73,747.58). Your remaining outstanding invoices are still on hold until we have signed a new agreement which covers the time period when the work was carried out.  The new agreement is currently under negotiation.  10/12/2025 email from Gareth to the dept - We have received the above confirmation from the funder for H7R01200 that the remaining outstanding invoices are on hold pending a signed agreement, is and RPF2 extension expected to be submitted to RA, and is there a timeframe for the submission?  07/01/2026 email from Gareth to the dept - Could I please chase up my previous email if an RPF2 extension is expected for project H7R01200, as several invoices are on hold pending the agreement as confirmed by the funder.  08/01/2026 email from Sinead (dept) to Gareth -  We are still waiting for the contracting to be completed for this extension.  23/02/2026 email from Gareth to the dept - Could I please chase up my previous email if an RPF2 extension is expected for project H7R01200, as several invoices are on hold pending the agreement as confirmed by the funder.   23/02/2026 email from Sinead to Gareth - We received an update from the Research Services contracts team to say that the agreement was ready for signing so hopefully it won’t be too much longer.</t>
  </si>
  <si>
    <t>a- 28/01/25 chase to various.  28/01/25 email from Kelsie Timbie - The PI has requested an NCE through Jan 31 2025 in order to finish the project and we have not received either the final report or the fully executed amendment. We will be happy to release the final payment when the final report has been submitted and approved. I am cc’ing Emily Whipple as she will be the new project manager moving forward!  06/06/25 email to Emily Whipple -  With reference to the email below from Kelsie, can you let me know if the final report has been received?  06/06/25 email from Emily -  Thank you for reaching out, and nice to meet you. I’ve copied Joe Kilroy, who will be able to answer this question for us.  06/06/25 email from Joe Kilroy - We have not received a final report. Per the agreement (attached), FUSF will not release payment until a final report has been received and approved by our team.  08/08/25 email to Joe -  Thanks for your email, can I check have you received the final report?  08/08/25 email from Joe Kilroy - The status of this project is the same. We have still not received the final report.  09/02/2026 email to Joe Kilroy plus -  Thanks for your email can you let me know if you have received the report?  09/02/2026 email from Joe Kilroy -  We have not received the report.</t>
  </si>
  <si>
    <t>b- 15/12/2025 - Tequila to reconcile as per meeting with James.</t>
  </si>
  <si>
    <t>d- 17/12/24 email to Kat Bagi re payment status.  18/12/24 email from Joolz (Julie Clements) - Kat has asked me to update you on this invoice. We have had to put this invoice on hold as we have not received income from DoH for this study. As soon we receive income we will be able to release payment.  11/03/25 email to Joolz - Thanks for your email, is there any update regarding payment of the invoice.  12/03/25 email from Joolz -  Sorry to say we haven’t received income from DoH yet.  As soon as it is received, we will action the payment.  06/06/25 email to Joolz -  Sorry to chase, is there any update re the income from DOH?  08/08/25 email to Joolz -  Has payment for the attached invoice been received from DOH yet.  09/10/25 email to Julie -  Have you had any update from DOH regarding payment of the attached invoice.  13/10/25 email from Joolz -   Sorry to say there has not been any income received from DoH yet.  As soon as we have it we will pay this invoice.  09/02/2026 email to Joolz -  Thanks for your email, can you let me know if payment has been received yet?</t>
  </si>
  <si>
    <t>d-  25/07/25 email to Cashiers -  Re the email below the attached remits have been paid to Oxford University Innovation, can we internally transfer these payments?  25/07/25 email from Kieran to Jan - Can we do this?    30/07/25 email from Jan to Imlak Bezuye -  Can you please check the below. Did you receive these funds ?     30/07/25 email from Imlak to Bridget Rhoades-Brown - Can you please respond to Jan's query below?  10/09/25 email to Bridget Rhoades-Brown -  Re the emails below and the attached remits, can you confirm if the funds were received.  27/10/25 email to Bridget Rhoades-Brown &amp; Imlak Bezuye (Oxfor Innovation Ltd) -  Can you confirm if the funds for the attached remits were received?  27/10/25 email from Jan (Treasury) to Bridget &amp; Imlak - The funds received as below. If these funds are for the University can you please arrange to return to the originator and request payment correctly.  09/02/2026 email to Imlak &amp; Bridget -  Re the 3 invoices on the attached remittances 210152797, 210154574 &amp; 210154957, can you let me know if the payment were returned to the funder?  09/02/2026 email from Bridget - We made a refund of £6,800.55 on 10th January 2025. This was paid back to the bank account that the original payment came from.  09/02/2026 email to ap -  With reference to the attached 3 invoices, the payment of these was made to Oxford University Innovation instead of the University of Oxford, I’ve been told the payment of £6,800.55 was returned to yourselves on 10th January 2025, can you let me know if the payment can be transferred to the University of Oxford as per the attached bank details.</t>
  </si>
  <si>
    <t>a- 03/02/25 chase to payments.  12/03/25 further chase to ap.  23/04/25 chase to various.  06/06/25 further chase re payment status.  22/07/25 email from Andy Measor (dept) - Re BXR00890, I’m advised that the lead can’t authorise payment until the final project report is completed and this requires a paper that the PI is currently writing. As such it’s unlikely it will be settled in the next month or two.  18/09/25 email from Elinor Griffiths - This is just to let you know the reason the attached invoice is still unpaid. It relates to health economics work for an NIHR grant “INSPIRE” led by UHBW that Oxford are collaborators on. The grant has ended, but the final report is still outstanding, and final payment from the funder to UHBW depends on submission of the report – Oxford need to contribute to that. The Oxford team are aware, and the chief investigator has assured us it’s in hand but not yet submitted.  23/01/2026 email from Ingrid (dept) to James B - There seems to be a misunderstanding between the lead PI and our PI regarding the final report. The Grant Officer will contact the PI to clarify this again and, if required under the collaboration agreement, to ensure the report is completed asap.</t>
  </si>
  <si>
    <t>d- 08/08/25 chase to the helpdesk.  21/08/25 email from Solja Hoeft to Laura Frizzel -  Oxford University is chasing three invoices, all against PO UOE1375511, which needs to be increased to cover all three invoices.  I am adding the buyer on this order to help you with amendments.  21/08/25 email from Jennifer Fee to Laura Frizzel -  PO needs increased by - Are you happy for your budget holder to approve this additional spend.   06/10/25 chase the the help desk.  08/10/25 email from Nicole Robertson - Thank you for your email.  We are currently resolving this issue under ticket I250522-1942 an will update accordingly.  If you have any queries please quote 'I250522-1942' to avoid any duplicate tickets and possible delays.  01/12/2025 chase to finance.  28/01/2026 urgent chase to the query team.  06/03/2026 email to ap - Please find attached copies of the invoice that are outstanding for payment.</t>
  </si>
  <si>
    <t>b-  14/07/25 email to Academy awards - Can you let me know the status of the awards listed below.  24/07/25 email from Kay Spencer - NIHR302740 - all payments have been made and the award is now closed.  25/07/25 email to Donna - Please see the email below highlighted re 210152950 – BZR05180, can you look into the outstanding balance with the dept and let me know the outcome.  18/08/25 email from Donna - I am waiting for a response from the funder.  Email from Donna - 8/9/25 chased funder.  Email from Donna - 7/10/25 still waiting for funder and final reconcilliations process.  Email from Donna - 13-11-25 chased funder.  10/12/2025 email from Donna - No repsonse. I have chased again. Email from Donna - 14 1 26 chased NIHR and asked for repsonse by close of play on Friday 16 1 26.    09/02/2026 chase to academy awards.   12.02.26 - Ellie to Kay - I hope you are well. Have you had a chance to review my colleagues email? There remains an unpaid balance of £2,281.99. Are you waiting for something else from us in order to release these funds?</t>
  </si>
  <si>
    <t>d-  18/08/25 email to Clem - Thanks for your email, can you send me an example of what is needed for the identify card for an official at the University?  Also the document re the creation of the University?  27/10/25 email to Clem plus various -  With reference to my email below can I have a response?  13/11/2025 email from Lucy to Clem -  As per Wayne's email below, please can you send me an example of what is needed for the identify card for an official at the University? Additionally, the document re the creation of the University?  10/12/2025 email from Lucy -  Waiting for reply from Clem.  08/01/2026 email from Lucy to Clem - I cannot see that I have had a reply from you. Please can you send me an example of what is needed for the identify card for an official at the University?  Additionally, the document re the creation of the University?  06/02/2026 email from Lucy to Clem -  Please could you look into my query for me as soon as possible?  07/02/2026 email from Clem to Lucy -  I have just followed up with our UE partner whom we had asked to process your payment, given the difficulties we encountered locally. They have confirmed that your payment is currently being processed and should be made shortly, hopefully by the beginning of next week. However, if nothing has been done by the end of next week, please do not hesitate to follow up with me. I apologize for the delay in my response; I was on leave.  19/02/2026 email from Clem to Lucy - I would just like to inform you that our partner has confirmed that your payment has been processed.</t>
  </si>
  <si>
    <t>d-  27/10/25 email to Alejandro plus -  Thanks for your email, can you let me know if there is any update?  27/10/25 email from Alejandro - The invoices should be payable now, as the funds have been transferred from the previous accounts into the new account. Adrian-- can you please pay this outstanding invoice as soon as possible? Please use account 26-1620-0164.  16/12/2025 email to Adrian Lopez plus - Can I have an update on when the attached invoice will be paid.  16/12/2025 email from Alejandro to all -  I was under the impression we had already paid these invoices. Adrian and Psych HR-- please let me know if I can help in any way. The funding should be available for payment.  09/02/2026 email to all -  Can you let me know if payment of the attached invoice has been released.  09/02/2026 email from Alejandro -  Last I heard on Jan 12 the invoice had been processed and was awaiting approval from UT central. If somebody could confirm that would be great. Adrian, as an aside, I have some urgency to clear these invoices from my accounts, as this will affect the apparent unobligated balance on my grant reports, which could put at risk new funding if they deem it to be too large.  11/02/2026 email from Alejandro re email from Adrian Lopez -  The invoice#210153323 has been processed and awaiting final approval. My apologies for the delay in this process.</t>
  </si>
  <si>
    <t>b- 27/01/2026 email from Euken (dept) to Donna - Apologies for the delay. @David Kidd is working on the financial reports, that should be submitted on the CEPI portal ASAP. David, has this been done?  Once the reports have been audited, CEPI should proceed with payment in line with their standard way of operating.  28/01/2026 email from Donna to Euken -  Thank you for letting me know.  When the financial reports are finalised, please forward them to me so they can be approved. When you say they are to be audited, does that mean the Assurance team is involved? If I can be kept in the loop, for good or ill, that would be brilliant.</t>
  </si>
  <si>
    <t>b- 22/01/25 email from Michele Tombs to Jenny - I can’t authorise the invoice 210153588  to be paid unless a credit note is issued against  invoice 210120246 which should not have been paid at all as the grant was closed two years before the invoice was raised.   This invoice can’t be paid as this grant is overspent by £171.32, please see attached email for more information.  12/02/25 email from Jenny -  Query to Sam on 20th Jan - JH follow up.  13/03/25 email from Jenny - No response, JH follow up.  18/05/25 email from Jenny -   Will follow up with Laura when she is back from A/L.  16/07/25 email from Jenny -  19th May - dept said this is an error on their part and requested for project to remain open until we hear otherwise.  Now with Junaid</t>
  </si>
  <si>
    <t>d- 18/12/2025 email to Matthew - Re invoice 210153649 see the attached remit the funder has taken back the amount of -£489,3170.26, we are left with an outstanding balance of £551,587.50 can you look into this with the funder if costs have been removed and let me know the outcome.  13/01/2026 email from Matthew to Tim Quantick (dept) - It appears that the funder has taken back a significant amount of income from the project. Before we approach the funder for clarification, I wanted to check whether you are aware of any reason why this may have occurred or if there is any relevant background we should be aware of. Any insight you can provide would be much appreciated.  Email from Matthew -   13/01/26  - Following up with Dept before I laise with funder.    19/01/2026 email to finance - Can you let me know the payment status of the awards listed on the attached.  20/01/2026 email from tim (dept) to Matthew -  I certainly hope this is an error. Please can you seek clarification from the funder?  This grant transferred to us from LMB in 2020. Coincidentally the balance left on the grant is what was spent previously in LMB before the transfer, so I feel CRUK may have got in a muddle with that. Total award was for: £1,008,814.29 (inc. Covid cut), Spent at LMB: £551,587.51, TUPE balance to Oxford: £457,226.78, Plus a costed supplement of £250,000 in 2022 gives us our R12 budget: £707,226.78 - Please ask for some more details from CRUK and please keep me posted.  21/01/2026 email from Matthew to Tim -    I've just replied back to request the funds back over to us.  FYI email from CRUK.</t>
  </si>
  <si>
    <t>g-  15/08/25 email to Jenny Bryant -  Thanks for your email, can you let me know if there is any update with the status of the above projects.  15/08/25 email from Jenny Bryant - The final invoices for these projects are still unpaid pending agreement from USAID to settle.  16/10/25 email to Jenny Bryant (dept) - Thanks for your email, can you let me know if there is any update regarding the above projects.  16/10/25 email from Jenny Bryant -  We are still awaiting news on payments due from PATH.  01/12/2025 email to Jenny Bryant - Sorry to chase, is there any update re payment from PATH.  02/12/2025 email from Jenny Bryant - Sadly, there is nothing to report.    06/01/2026 email from James to Skaka &amp; Sam (dept) - Is there any update on any of these project debts? There are a couple of funder queries which, as far as I’m aware, need resolving with yourselves. And there’s some US Government funding – what is the plan with these projects?    20/01/2026 email from Sam Branch to Lucia &amp; Sophie - Euken has asked that I forward the email to you. Can you please update comments and reply to Research Accounts and the Divisional Finance team.</t>
  </si>
  <si>
    <t>f- 60 day payment terms. (DP)  28/11/2025 email to Justin - The last correspondence Ivan was going to chase his contact re project HQT00220, re project HQR03510 @Gareth Hemmings can you confirm if the invoice should go to CFDX or Innovate?  28/11/2025 email from Gareth to Justin (dept) - CFDX are listed as the paying party on the project, and the agreement says they should be invoiced. The last invoice was sent to ravi@cfdx.io by Lewis on 19.11.24 ticket MDW-ZKTCH-792, I can't see any reply from the CFDX that the invoice was disputed or rejected.  Email from Gareth -  12.01 Emailed funder to query invoice.  30/01/2026 email to Justin (dept) -   The invoices on projects HQT00220 &amp; HQR03510 are still outstanding, I know Gareth has been trying to get in touch with CDFX but without a response, if Ivan has a contact that would be great to get these resolved.  30/01/2026 email from Justin - I have contracted the PI again to follow-up with the funder (which he also said he would do last year). I will keep you updated.  06/02/2026 email to Hannah Madan - Thanks for letting me know about invoice 210153923, would you be able to let me know on the status of the attached invoices.  25/02/2026 email from Justin - Please see below a comment from the PI in relation to the outstanding debt from the grant host on project code HQR03510 – the Funder is Innovate UK and the grant host is CFDX Ltd,  we are a collaborator. On the Innovate question - CFDX are yet to receive the grant from IUK as they have requested some details on the company that CFDX are working to provide them with. They have confirmed that once they get the grant, they will send Oxford the amount agreed.</t>
  </si>
  <si>
    <t>b-  13/06/25 email to Diya - I hope you can help or point me in the right direction, can you let me know if the attached invoice has been approved for payment or if there are any queries.  26/06/25 email from Diya Gurung -  Invoice 210154293 was returned unpaid due to a staffing query. We’re awaiting receipt of the attached information for A Meaney – a copy of their CV would also be helpful.  27/06/25 email to Junaid - Please see the email below regarding the attached invoice, can you supply to Diya the requested copying me into the response.  28/07/25 email from Junaid to the dept -  Please review below email and kindly provide the requested information by Friday 1st August.   21/08/2025 Junaid chased and cc'd in Euken requested for the information by 28/08/2025.   JS 30/10/2025 emailed a chaser.  30/10/25 email from Sophie Bradshaw (dept) to Junaid -I’m just waiting for the Finance team to post a journal to remove the travel costs and will let you know as soon as this has been done.  12/11/2025 email from Junaid - My colleague Gavin Robertson is now the RA for Paediatric, therefore will transfer to him.  14/01/2026 email from Gavin -   14/1/26 - Sophie to journal costs and invoice will be cancelled and rebilled.  13/02/2026 email from Gavin -  Asked Sophie if costs have been corrected and if this invoice can be cancelled and re-raised along with a further invoice that was raised more recently than this one.</t>
  </si>
  <si>
    <t>d-  12/08/25 email from Lindsey Douglas to nrasoff -  We have received the email below from the vendor requesting a payment date for the attached which are currently awaiting approval. Can you liaise with the vendor and advise.  06/10/25 chase to ap.  08/10/25 email from Lindsey Douglas to research - We have received the email below from the vendor requesting a payment date for the attached which are currently awaiting approval. Can you liaise with the vendor and advise.  NB invoice 210164741 will need to be sent for scannig and uploading into our system.  Please be aware this can take up to 48 hours.  02/12/2025 chase to various.  09/12/2025 email from Lindsey Douglas to nrasoff - We have received the email below from the vendor requesting a payment date for the attached which is currently awaiting approval. Can you liaise with the vendor and advise.  09/12/2025 email from Clare Lock -  We are awaiting funds from the project funder (UKRI) to pay invoice 210164741.  09/02/2026 chase to finance - Can you let me know if the funds have been received for payment of the attached invoice.  09/02/2026 email from David Hall -  Please see email from Donna below ( Yes it is – payment will be released once UKRI have signed off audit on project, Hoping this will be within the next 4 weeks).  13/02/2026 email from Lee McLoughlin - We are still waiting for receipt of the final payment from the funder.  However, we recently received confirmation that the project has now been published and therefore the final payment should be released by the funder soon.  As soon as we have receipt of the final instalment from the funder we will process payment of your final invoice.</t>
  </si>
  <si>
    <t>g-  22/12/2025 email from Nick - As an update to the below, we met with LSO and have taken the pragmatic view that it is better to recover some monies than none at all, so we have accepted their payment plan- see attached.  20/01/2026 email from Peter Callow (dept) to Kerrie Cope -  Are you up to date here? Are you involved / do you need to be?  21/01/2026 email to Nick Croman (dept) - Have you had any further update from the funder as to when the next payment will be made?  21/01/2026 email from Nick -  Thanks- funnily enough I was going to email you to see if any further payments had been made- I’m guessing not? The payment plan was due to have a payment 19th Dec of $50k. As we only agreed to accept their payment plan after that date, I would understand if that payment was delayed. The next payment expected is $25k on Jan 23rd.  Are you saying there has only been the one payment made back in Nov? if so I will email BPG.  21/01/2025 email to Nick -  No we have not yet received any further payments the last was on 24/11/2025 for £37,280.05.  23/01/2026 email to Nick re payment received of £7,209.29 for invoice 210164377.  27/01/2026 email from Nick - Thanks- I’ve chased BPG (repeatedly) to find out what’s going on- if I hear anything I’ll let you know.</t>
  </si>
  <si>
    <t>b-  09/12/2025 email to Ciaran - Checking with Donna who raised them to see who or where they were submitted to, so I can try and chase them up.  11/01/2026 email from Ciaran - Just before Christmas break, I submitted the form to the funder for payment of the invoice. Therefore I am expecting this to be paid.  06/01/2026 email from Ciaran to Yula Kapetanakos -  I have received the below generic e-mail stating the attached was returned on a portal.   I sent this over tom you via e-mail, therefore, am i correct you and your team uploaded this onto a portal?  04/03/2026 email to Yula -  Can you let me know if the attached claim has been approved for payment or if there are any queries.  06/03/2026 email from Yula -  I'm forwarding the latest email thread regarding the financial report. The FFR was returned for minor corrections and we are still waiting for the revised version.  I just forwarded you the email thread related to this award and the financial report.   06/03/2026 email to Ciaran -  Please see the email below regarding invoices 210154698 &amp; 210165885 on project CBR00121, can you forward to Yula the requested copying me into the response.</t>
  </si>
  <si>
    <t>d- 22/05/25 email from Oscar to various - Are there any outstanding queries relating to this invoice? According to our system this remains unpaid and the project is now completed.  22/05/25 email from Amy Barnett to Nick Caldrick -  We’ve been chased by the University for this invoice – are you still waiting for a follow-up from Tom on this one?  08/08/25 email to Amy -  Can you let me know the payment status of the attached invoice.    17/09/25 list of outstanding invoices sent to various at OUP.  03/11/25 email to Study Finance - Can you let me know the payment status of the attached invoices.  09/02/2026 further chase to study finance.  09/02/2026 email from Oliver (finance) -   Thank  you for your email. Lawrence Impey (Clinical Lead for the Grant) has mentioned the invoice was paid by charitable funds over a year ago. Its not clear which charity has paid it. I have asked for more information however I received no reply.</t>
  </si>
  <si>
    <t>d-  11/12/2025 email from Lucy Preston to Lucy -  Could this please be forwarded to BHF. I am writing to respectfully request that you reconsider the decision to disallow pension costs for the appointment of P Gong. Pension contributions are a fundamental component of salary and not an optional payment. When the post and the associated virement were approved, there was no indication that pension costs would be ineligible, and we had no reason to suspect otherwise. After reviewing the full breakdown of the two appointments, the total pension cost amounts to £31,476.49, which is only £211.07 above the supplement that was awarded for pension. Given this minimal difference and the essential nature of pension contributions as part of employment costs, I would be grateful if this could be reconsidered. Please let me know if you require any further details or supporting documentation. Thank you for your time and understanding.  12/12/2025 email from Lucy to Rachel Cates with the info.  19/12/2025 email from Rachel Cates to Lucy - Thanks for your email, your request has been discussed by the team. As it was repeatedly stated during the many changes made to posts that any shortfall in salary would have to be met from other sources (and this includes pension costs), if the salary account is fully utilised the university will have to meet the cost.  12/01/2026 email from Lucy -  I have emailed the dept and stated they can either go back to BHF or they will need to remove some costs.  10/02/2026 email from Lucy -  06.02 I have chased the dept for a response to my email.  25/02/2026 email from Lucy to Rachel - Please see the attached CN for the difference of £211.07. Please do let me know if you have any queries.</t>
  </si>
  <si>
    <t>d-  12/01/2026 email from Laura Gonzalez to Jonasus - The issue can be resolved requesting the deletion of the wrong invoice to the following address: esait.Service.Desk@esa.int.  14/01/2026 email from Jonasus to the service desk -   An invoice is failing to be submitted due to a PO issue due. Please may I ask if the invoice on the ESA-P portal with document reference 7000651660 to be removed? Then, please notify me once done so the new invoice can be uploaded. 22/01/2026 email from Jonasus to the team -  Thank you for deleting the invoice on the ESA-P portal. I have attempted to submit and the portal does not allow to submit the invoice. See error below: However, upon reviewing the award letter, the final claim should be 57,949 as the final settlement amount. Please advise.  26/01/2026 email from Magda Krajcovicova to Jonasus -  Please be informed the milestone already contains an invoice 7000701819 currently registered with sub status To Be Corrected Manually: Please follow the guidelines and procedure under the below mentioned link to correct and submit this invoice. http://esa-p-help.sso.esa.int/ - Quick Guide: How to solve the most common problems with INV and MAC. If you experience any problems, please contact the helpdesk for assistance: Email    esait.service.desk@esa.int - Phone   +39 06 941 80700.  26/01/2026 email from Jonasus to the team -  I have now submitted the invoice, now with the attachments, see below.</t>
  </si>
  <si>
    <t>d- 60 day payment terms.  16/06/25 chase to the support team.  17/06/25 email from Ann Maria Varghese (support team) -  Thanks for the below email. The invoice #210156007 is awaiting approval; once approved, the invoice will be processed for payment. Please let us know if you have any further questions. Otherwise, your case will be closed within 48 hours. For new queries, kindly send a new email for assistance.  27/08/25 chase to the support team.  29/08/25 email from S Sunil Kumar - Your invoice is waiting for approval with invoice approver. We have informed respective invoice approver to approve invoice on priority. Invoices will be paid as soon as it is approved in the system.  29/10/25 email to S Sunil -  Thanks for your email, can you let me know if there is any update regarding the payment status of the attached invoice.  16/12/2025 further chase to the support team -   Can I have an update on when the attached invoice will be paid.  18/12/2025 email from Vinod Pasupuleti - The invoice 210156007 is pending for approval, we have sent follow up to get it approved and paid.  08/01/2026 email to Vinod -   Thanks for your email, can you let me know if the invoice has been approved for payment.  09/01/2026 email from Vinod Pasupuleti -  We have already sent a follow up for approvals, we could see the PO is closed. Hence user is working on the PO.</t>
  </si>
  <si>
    <t>d- 04/02/2026 comment from Ciaran - Chsed dept to proivde FER or request an extension 03.02.26</t>
  </si>
  <si>
    <t>b- 03/1/25 email from Lewis to Kay - Apologies for this oversight, please see an updated FSTOX attached.  14/02/25 email from Kay Spencer (academy) to Lewis - Thank you for the attached submission, however after reviewing this we do have queries, 1.  The payments you have listed as having received from NHSE do not reconcile to our records, please see attached a screenshot of payments identified by NHSE, can you please review and respond with your findings. 2.  The indirect costs are £5,253.17 overspent, these costs are agreed at the contracting stage and are actioned by the hosts internal journal process to reconcile with the funded value, can you please review and respond. Once we have resolved the queries we can complete the financial reconciliation, this enables us to request any final payment due.  27/02/25 email from Lewis to Kay - Thank you for your email. Apologies if I'm missing something, but I can't see a screenshot of the payments as you have recorded. Please can you re-send?  06/03/25 email from Kay to Laura - Apologies please see attached, payments as at 10.12.24 £271,821 as recorded by NHSE.  13/03/25 email from Lewis -   13/03 - Spoken with Wayne - we need to find why over 86k has been added to the project.  14/04/25 email to Lewis - re project HQR01440 – 210156319 attached is an email from Kay to Laura is this what is needed.  28/04/25 email from Lewis - Not quite - we had a conversation in the office a while back. We needed to try and find out why we have allocated more income to the project than NIHR have sent us.   10/06 - LH fixed overheads on oracle, Julie to redo FSTOX. LH also emailed WP over trying to fix income situation.     09/02/2026 chase to academy awards.</t>
  </si>
  <si>
    <t>b- 05/11/25 chase to grants &amp; finance.  03/12/2025 chase to grants &amp; finance.  04/12/2025 email from Judith - HJR01590 210156526: we don’t appear to have received this invoice.  03/02/2026 chase to finance.  04/02/2026 email from Judith - Invoice 210156526 is not on our system.  It may be that this was an invoice that was queried and rolled back to the team for amendment.  I can see on the system that an invoice has been created for the period covered by this invoice but currently it has not been submitted so we are unable to confirm the invoice number.  Could you check to see if the invoice has been submitted via our Grants Management System as we are unable to process invoices sent by email.     04/02/2026 email to Junaid -  Please see the email below regarding the above invoice on project HJR01590, can you submit the invoice as requested letting me know once sent.</t>
  </si>
  <si>
    <t>e- 05/11/24 email to Tamara - Re invoice 210147538 we received the attached payment of £41,829.97 but have an outstanding balance against the invoice, can you look into if costs have been deducted.  06/11/24 email from Tamara - 06/11 I still have to follow up with department but my guess is a similar situation to AJR00710 where neither the department or the PI were aware of the budget reduction since it's the same PI for both projects..and same funder.   12/11/24 email from Tamara -  Please see the attached email from the academic department. Some costs will be removed from the project. When done, I will raise a credit to make the project balance. This applies for both, AJR00670 and AJR00710.  09/12/24 email from Tamara - 09/12 Followed up with Abaas to sort out costs on both projects before we can close them down.  07/01/25 email from Tamara - 07/01 Costs now removed. Dept confirmed that underspend can be returned to funder. See PVC-MMXKC-852 .    16/10/25 chase to finance re award status.  16/10/25 email from Kirsty Naylor -  All payments made, award is now closed.    19/01/2026 email to finance - Can you let me know the payment status of the awards listed on the attached.  19/01/2026 email from Kirsty - For the other awards listed, these have been submitted to us. We currently have a backlog of reconciliations, and these will be processed in due course. We appreciate your patience and understanding while we work through them.</t>
  </si>
  <si>
    <t>b- 06/11/25 email from Mark Martinet (mark.v.martinet@emory.edu) forwarded to Tehssn - I have attached forms I need updated relating to Dr. Voet's invoice on Dr. Drane's SLATE grant. In addition to the 4 forms attached, I will also need the most recent audited financials for Oxford University.   I will attach all 5 documents with your invoice (#210156557) for payment.  09/02/2026 email to Tehseen -  Re the email below has this been resolved?</t>
  </si>
  <si>
    <t>d-  03/06/25 email from Katie - The three invoices you have attached are for the Welfare Study. This project was on hold due to the health problems of one of the team and is now back on track. A no cost extension has been approved until the end of September. As the payment is tied to the six-monthly report which we have not yet received, the payments have not yet been paid. I’ll speak to Lauren about this.  29/09/25 email from Izzy (dept) - The Jamma is back on track and will be paid shortly.  03/11/25 email to Izzy Chandra (dept) -  Thanks for your email re project CBR01140, have you any further update from Jamma as to when the outstanding invoices will be paid.  09/02/2026 email to Katie -  Can you let me know if the attached invoices have been approved for payment or if there are any queries.  11/02/2026 email from Katie MacKenzie -  Thank you for sending these. We are still awaiting a report from Lauren, which is holding up these payments as it is a contractual obligation. Hopefully these will be able to be released shortly.  11/02/2026 email to Lindsay Campbell (dept) - I hope you can help re the email below regarding project CBR01140, the funder is awaiting the report from Lauren before the outstanding invoice on the project can be paid, can you or a colleague help with this?  11/02/2026 email from Lindsay - Contacting Lauren for you.  11/02/2026 email from Lindsay -  Lauren had not submitted the report and will do so today. She is in touch with Katie at Jamma.</t>
  </si>
  <si>
    <t>b-    05/01/2026 chase to Philip.  20/01/2026 email from Philip - I believe I was waiting on a credit note to remove the Oxford Weighting. I’ll also need a full breakdown of the salary claims.     20/01/2026 email to Gabrielle -  Please see the email below regarding the above invoice on project AVRUGJ11, can you look into this and respond to Philip copying me into the response.  13/02/2026 email from Gabrielle to Phliip -  I am just picking up on this and trying to ascertain what the issue is with this invoice.I am aware that my colleague Wayne Peters has contacted you about this and you were under the impression that you were waiting for a credit note to remove Oxford Weighting. However, I believe my colleague Ciaran had looked into this and had already removed the Oxford Weighting. The email sent from Ciaran, please see below, on 20/10/2025 is the last update we have on this. Please can you confirm if you have looked into this further and identified further costs that need to be removed or is everything now fine with this invoice?    13/02/2026 email from Phillip to Gabrielle -  Sorry, which invoice is this regarding? Invoice 210153820 has been paid.  18/02/2026 email from Gabrielle to Philip - Please find attached an invoice for processing. Just to add some context, I believe this invoice has previously been sent to you and there were some issues due to the Oxford Weighting needing to be removed which I believe was done in October when this was originally sent.   18/02/2026 email from Philip to Gabrielle -  Thanks for sending again. Could I have a full breakdown of the salaries? As in basic/NI/SA broken down by month?</t>
  </si>
  <si>
    <t>d-  10/06/25 email from Paul Tarrant to Anna - Have we received all of your invoices now for this project? Can you confirm the full spend?  20/06/25 email from Lewis to Paul -  Thanks for the email. We haven't sent our final invoice yet. The project ends at the end of this month so you can expect our invoice after this date.  08/08/25 email to Paul Tarrant -   Can you help or point me in the right direction, can you let me know if the attached invoices have been approved for payment.  08/08/25 email from Paul -  Are these all your invoices now?  08/08/25 email to Anna -  Please see the email below regarding project HFR03670, can you let Paul know if further invoices will be sent for the project copying me into the response.  21/08/25 email from Anna -  AC working on with dept to close down.  13/11/2025 email from Anna -  asked dept for confirmation to Funder's query.  03/12/2025 email from Paul Tarrant - Can I confirm you gave sent all your invoices for this now?     17/12/2025 email from Anna to Paul - The department have informed me there is still one final invoice to be sent out. I will prepare this and send it to you by tomorrow.  22/12/2025 email from Paul Tarrant to Anna - Perfect that now all adds up to £507,221.77. Once the final income is received &amp;Versus Arthritis) I'll get these paid.  09/02/2026 email to Paul Tarrant -  Re the attached invoices do you know when you expect to receive payment from the funder.  09/02/2026 email from Paul - I've had a check this morning and the income is not here yet (Versus). I am fully aware as I want to get this closed down. As soon as we get it I'll get these paid.</t>
  </si>
  <si>
    <t>65280</t>
  </si>
  <si>
    <t>210171860</t>
  </si>
  <si>
    <t>BLR03870</t>
  </si>
  <si>
    <t>Threat Detection</t>
  </si>
  <si>
    <t>b-  26/02/2026 email from Lucy to Leah -  I have responded to Rianna on these queries but I will send the responses to you also. 210166083 - As per Rachel's email attached, she has confirmed this invoice can be processed. Please can you confirm if this is the case or are there outstanding issues? 210169241 - Miscellaneous Costs £360.88 and Other Direct Costs £595 should be charged to Consumables. This was a query raised by Rianna but I have sent this to you also! The attached invoice replaces 210169241 and includes costs for 01.01.25 to 31.03.25. 210169186 - The travel on the invoices is not related to travel to conferences but to travel to sites and to meet a team of researchers. This should be allocated to consumables as part of the travel to sites for multi-centre development.  02/03/2026 email from Leah to Lucy - Apologies for the confusion and thank you for sending everything. The only issue remaining is with the first invoice 210166083 - we can’t process it as we can’t process the -£305.74 travel credit note.  Are you able to re-send the invoice with this removed? Once this is resolved, all the other invoices can be processed.  09/03/2026 email from Lucy to Leah -  Please see new version of 210166083 - apologies for the delay. I needed to re-raise the invoice after the cost had been removed. Please can you let me know when the invoices have been approved and sent for payment?  Thanks for your help with this.  09/03/2026 email from Leah to Lucy -  I’m afraid my colleague has found further issues with invoices 210174162, 210156968 and 210171695 when approving them.  Please see them listed below.</t>
  </si>
  <si>
    <t>b- 27/11/2025 email from Kirsty Greenwood - I have received the attached invoices for approval from our transactional services team, but it looks as though they have not been invoice as per most resent contract? Please could this be investigated? I shall place the invoices on hold in the meantime.  28/11/2025 email to Anna - Please see the email below and the attached re the attached two invoices, can you look into this with the dept and reissue the invoices if required and forward to Kirsty copying me into the response.  11/02/2026 email from Anna to Kirsty - Thanks for the email. Just to confirm you would like the most up to date invoice in order to get the other 2 paid?  12/02/2026 email from Kirsty Greenwood to Anna -    The grant went through an amendment which then changed the collaboration agreement. The attached invoices are over the agreed amount, so I am unable to process them. They will need crediting in full and re issued as per the collaboration agreement or on actual expenditure which must be less that the agreed amount.</t>
  </si>
  <si>
    <t>b- 15/08/25 email to James - Re invoice 210157240 see the attached remit we were paid the amount of £102,809.33, the invoice is on Oracle for £102,709.64 will and invoice be raised for the amount of £99.69?  15/09/25 email from James - 11/09/25. Spoke to Dean for advice. James to contact UKRI and advise of discrepancy.  23/09/25 email from James -  I believe it is because the first invoice was for £99.70 more than it should have been according to the payment schedule.   The comment on first invoice is "Cash Matching w/c 25/03/19". I don't suppose you have any remittance from back then to see if they sent us wrong amount of if it was a typo with the invoice at Oxford. If not I can go to funder directly to resolve?  24/09/25 email to James - Please see attached remit.  13/10/25 email from James -  Emailed UKRI for advice 13/10/25. Refund due to them.  15/12/2025 email from James -  Needs to be re-reconciled. Will look at actioning when I get a moment.  14/01/2026 email from James -  Spoke to funder: James to identify discrepancy and see if it is worth escalating or not.  13/02/2026 email from James - Will review asap.</t>
  </si>
  <si>
    <t>g- 14/04/25 chase to Tova Sharon.  15/04/25 email from Tova - Nice to e-meet you. Sorry if this was sent and missed. It was not paid yet.  I can confirm that I now have a copy of this invoice and sent it to our accounts team.  21/05/25 email to Tova -  Thanks for your email, can you let me know if the invoice has been approved for payment.  21/05/25 email from Tova - Thank you for your email. No, we did not pay this invoice yet. We are in conversation with Becky Norris about a request to delay payment by a short duration.  21/05/25 email to Tova - Thanks for getting back to me, can you let me know when you get an update from Becky so I can make a note on our system.  21/05/25 email from Tova Sharon - Sure.  22/07/25 email from Becky Norris to James B - Thanks for your email. Neovac have been in touch to request payment of this outstanding invoice in three instalments. The date of these requested payments are below. To complete payment of one third of the total amount owed no later than in each of the following months: January 2026, March 2026 and May 2026 with full completed payment by the May date. I am also aware there is a final invoice to be submitted to Neovac which will equate to the value of £208,547. This will be paid ahead of the project end date which is the 31st July 2026. Please could you confirm if this is ok?  22/07/25 email from James B to Becky Norris -  I’ve discussed this with Wayne. We think this is a little long to wait for some payment. Could we bring those payments forward by a couple of months? Or perhaps split into smaller payments, with something coming in earlier? Do you have any room for negotiation on this?  21/01/2026 chase to Tova Sharon.</t>
  </si>
  <si>
    <t>g- 12/03/2025 email from Annamarie - Yes, please apply the extra £250.00 to the subsequent invoice 210157884, so only £26,000.00 remains to be paid on it.  15/04/25 email to Annamarie - Thanks for your email, have you a time schedule as to when payment of invoice 210157884 will be made?  26/06/25 email to Annamarie -   Can you let me know when we can expect payment of invoice 210157884?  14/07/25 email from Annamarie -  Thank you for checking in. Our funding is still in process, but it’s taking a bit longer than originally anticipated. We remain committed to fulfilling the payment and are doing everything we can to expedite the process. I’ll continue to keep you updated as things progress, and I sincerely appreciate your continued patience.  03/11/25 email to Annamarie  - Thanks for your email, can you let me know if there is any update regarding payment of the invoice.  19/01/2026 email to Annamarie &amp; Mieko -  Can you let me know when the balancing payment for the invoice will be made.  19/01/2026 email from Annamarie -  Thank you for your follow-up. I understand this has been ongoing longer than either of us would have expected. We are still actively pursuing funding, but the timeline continues to extend. While I don’t yet have a definitive payment date to share, please know this remains an open and prioritized item on our side. I appreciate your continued patience and will reach out as soon as there is a meaningful update.</t>
  </si>
  <si>
    <t>b-  21/01/2026 email from Gavin to Tay - Sorry for the delay. The department have informed me they're needing to adjust a few costs at their end. I've asked them whether this impacts both invoices that remain unpaid or just one so I can provide you with what you need but haven't heard back yet. I've chased them again just now. I think we'll be adjusting 210164498 although I'm hoping 210163156 should be fine as it is. Wayne, have you been able to find the payment for 210157916 as has been confirmed previously as it's still showing as outstanding on oracle?  22/01/2026 email to Gavin &amp; Tay plus - No we have not received payment of invoice 210157916, can we get a copy of the remittance and details of the bank account the payment was made to?  26/01/2026 email from Gavin to Tay -  Please see attached the form for 210163156. Also, can you please get back to Wayne regarding payment for 210157916? 210164498 has been cancelled ahead of being done again once the department confirm the costs are correct.  26/01/2026 email from Tay to Gavin -  I will proceed with invoice 210163156. My colleague Caroline (copied) reached out to accounts payable for the bank account confirmation for invoice 210157916. She will provide an update once she receives it.  05/03/2026 email from Tay Croxton -  We learned that the bank canceled the previous payment because sufficient information was not provided within the mandatory two business day window. Can you please change the date on the invoice and complete the new X-9 form (attached) so that we may process your payment?  06/03/2026 email to Gavin -  Please see the email below regarding the attached invoice, can you update the attached as requested and forward to Tay copying me into the response.</t>
  </si>
  <si>
    <t>210173410</t>
  </si>
  <si>
    <t>HMR04290</t>
  </si>
  <si>
    <t>EPND - IMI2 - Hu</t>
  </si>
  <si>
    <t>101034344</t>
  </si>
  <si>
    <t>e- Refund February 2026.  28/01/2026 email to Sharmila - Re credit 210158199 is this related to a refund that needs processing, if so can you forward to me any backing documentation and I’ll get a refund processed.  28/01/2026 email from Sharmila -   Thank you for your e-mail. Yes, please could you get the refund processed? Please find the final statement attached.</t>
  </si>
  <si>
    <t>d- 05/02/2026 email to Henry - Re credit 210158436 is this to be refunded  is so can you forward to me any backing and I’ll get this processed.</t>
  </si>
  <si>
    <t>b- 18/12/2025 email to Oscar - Re invoice 210158808 we received the amount of £78,377.55 per the attached remit, we have an outstanding balance or £304.90 can you look into if a credit needs to be raised.  18/12/2025 email from Oscar -  I double checked the final rec and there doesn't appear to be any reason why the £304.90 wasn't paid. I've contacted the dept to check if they know, if not I will contact CRUK to query it with them.  18/12/2025 email from Oscar to finance - In our last CRUK remit we received final payment of C9047/A2475 however the amount paid was £78,377.55, as per the final reconciliation we were expecting this payment to be £78,682.45. Total reported spend on the final rec was £1,589,573.27 however according to our system £1,589,268.37 has been paid. Is there any reason you can share as to why the difference of £304.90 has been withheld? Please advise if there are any further queries outstanding on this award?  07/01/2026 email from Oscar to the dept -  Apologies for chasing, have you had a chance to look into this yet?  19/02/2026 email from Oscar to finance -  Please do advise on this outstanding balance so the project can be closed on our end.</t>
  </si>
  <si>
    <t>d- 16/10/25 chase to ap - With reference to the above project we have not received the final  payment, can  you let me know if this has been released or if there are any queries.  29/10/25 further chase to finance -  Can you let me know when the final payment of the above reference will be paid or if there are any queries.  31/10/25 email from Siyon (finance) -  We are currently awaiting sign off on the final scientific report before we can process the final payment, hopefully this will be processed soon.  09/02/2026 chase to Siyon (finance) for update.   10/02/2026 email from Siyon -  I am still awaiting the final report sign off before we can process the final payment. Louise, are there any updates on this?  10/02/2026 email from Louise Kim -   I have not yet received approval to process the final payment. There is a contractually outstanding item that needs to be resolved. I've been liaising with both the PI and DHSC to resolve this issue. Siyon, I will contact you again as soon as I receive approval for the final payment.</t>
  </si>
  <si>
    <t>d-  This replaces 210156457.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</si>
  <si>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d- 03/07/25 email from Ciaran to Kupa -  Did you manage to look into this one?  11/08/25 email from Ciaran - chased Kupa again for a reply.  28/08/25 email from Martin Kamui to Mary-Ann Richardson - Apologies for taking time to get back to you. Yes, this is for Part 1. Kindly forward it for payment. 29/08/25 email from Mary-Ann to Martin - I have forwarded the invoice to Erika and Nathalie as it was for Part 1.      29/08/25 email from Nathalie Khavessian to Martin Kamul -  Please find attached email from Erika; all invoices for Part 1 were paid already grant mentioned on your invoices was until 2024, please can you verify again, there is something wrong on the invoice you sent it also says grant until 2028, it cannot be for Part 1.  03/11/2025 email to all - Can you let me know the payment status of the attached invoice.  03/11/25 email from Mary-Ann Richardson - Apologies, Cherine and I cannot assist you with payments related to Part 1 of the study.  I will ask our Part1 colleagues on copy to respond.  09/02/2026 email to various &amp; dept -  Thanks for your email, can you let me know who the correct contact is regarding the payment status of the attached invoice.  09/02/2026 email from Jay Berkely -  I have cc'd Martin in Kenya and Vincent in Oxford who handle our accounts.</t>
  </si>
  <si>
    <t>b- 05/01/2026 email to Ellie -  Re credit 210158595 is this to be refunded  is so can you forward to me any backing and I’ll get this processed.  11/02/2026 email from Ellie - Please can you speak with Tehseen about this as he raised this credit note? I've no idea what it's in relation to.  11/02/2026 email to Tehseen -  Re credit 210158595 is this to be refunded  is so can you forward to me any backing and I’ll get this processed.</t>
  </si>
  <si>
    <t>d-   01/12/2025 email to Donetta - Thanks for your email, to confirm we received the two cheque numbers 5780058 and 5780057 for invoices 210160726 &amp; 210161395, can you let me know if cheques have been sent for the attached invoices.  19/12/2025 email from Donetta -  To confirm, check numbers 5780058 and 5780057 were reissued for invoices 210158793, 210160726, and 210161395.  22/12/2025 email to Cashiers -  Re the email below 2 cheques were issued from the above customer, looks like we received cheque no. 5780057 can you check if we have received cheque no. 5780058?  12/01/2026 email to Donetta -  Thanks for your email, I’ve checked with our Cashiers Department but they are unable to find re have received cheque no. 5780058.  16/01/2026 email from Donetta - Thank you for your email. I confirmed with our Office of Accounting that check #5780058 has not been cashed. They have asked that you please double check to ensure it has not been received, as it was mailed at the same time as check #5780057. They would like this confirmed before reissuing the check.  16/01/2026 email from Donetta - Thanks for your email, I’ve checked with our Cashiers department again but no they’ve not received cheque no. 5780058.  20/01/2026 email from Donetta - I have requested that check #5780058 be reissued and sent to PO Box 1515 Oxford, OX1 2XN, UK. Once it has been reissued, I will let you know the new check number.  28/01/2026 email from Donetta - Our Office of Accounting has notified me that Check# 5780058 was reissued as check# 5801991 and was sent to the requested address. Please allow up to 1 month for the check to arrive at this destination. Please let me know if you have any questions.</t>
  </si>
  <si>
    <t>d- 60 day payment terms.  19/09/25 email from Richard to Alice &amp; Ciaran -  I will try to find out.  08/10/25 email from Ciaran - Sent a chaser to the dept to see if they spoken to the PI to obtain a GSK contact that can help with the issue with PO. 08.10.25.  14/10/25 email from Florian (dept) to Ciaran plus - Our contact at GSK ask to contact the UK P2P Help Hub: Phone (preferred): Suppliers should contact the UK P2P Help Hub by phone at +44 (0)207 0268979 - Email: ww.GSK-PURCHASE-TO-PAY-UK-IRELAND@gsk.com or oay27698@gsk.com - Please let me know if it resolves the issue.  15/10/25 email from Ciaran to Florian -  Thank you very muhc for your help, I shall contact them and see if they can resolve the issue. To answer your earlier questions: 1) The project ended Jan 25 and we submitted the invoice around Mar 25.  15/10/25 email from Ciaran to various -  I have been given your e-mail address in regards to an unpaid invoice from University of Oxford (please see attached). We originally tried to submit it as per below details but we are informed that the PO is insufficient. I tried to contact Alastair Reith but he isn;t there anymore. Are you or know someone your end that can help with the PO query?  16/10/25 email from the P2P team to Ciaran plus - Please be advised that we were unable to locate your invoices into our GSK system. Please submit them as soon as possible in order to get them processed.  03/11/2025 invoices re submitted on the portal.</t>
  </si>
  <si>
    <t>b- 28/08/25 email from Sara Clarke -  summary on status of invoices below. Jennifer (cc’d in)has been dealing with this – see my latest email to her dated 27.06.25 – I have not heard back since.  24/09/25 email from Janny - 23p credit note 210166173 raised and will issue to BHF. Then they should release payments for remaining invoices.  02/10/25 email from Sara Clarke to Jenny -  I have not heard back from you since my email below. Please respond by 16 October 2025 or these 3 invoices will be returned to you unpaid.  13/10/25 email from Jenny to Sara -  My apologies for my slow response. Please find attached credit note for the difference. Please let me know if you have any further queries regarding these invoices.  13/10/25 email from Sara to Jenny - Thanks for the additional credit note (210166173 ) – I have processed invoice 210154166 (01.08.24 - 31.10.24) alongside credit notes 210160563 and 210166173 and passed them on to authorised. I will email you separately about the other 2 invoices that have been rejected (210158823 and 210161055).  15/10/25 email from Sara Clarke to Jenny - This invoice remains rejected as you are claiming £3,049.87 for Animal costs however there is no funds remaining in the Animals budget (once invoice 210154166 and credit notes 210160563 and 210166173 have been paid): Please send me a partial credit note for £3,049.87 in order to process the invoice.  15/10/25 email from Sara to Jenny - This invoice 210161055 remains rejected as you are claiming £157.40 for Animals costs but there is no Animals budget remaining: Please send me a full credit note for this invoice.  Now with Gabrielle.  13/02/2026 email from Gabrielle -  Laura dealing with, please see ticket JFP-BMDRK-935</t>
  </si>
  <si>
    <t>d- 14/07/25 email to Nets finance - Can you let me know the status of the awards listed below.  15/07/25 email from Angela Pettet - 119576 HS&amp;DR-15/11/16 #532818: We are chasing for feedback on the financial reconciliation.  15/07/25 email to Lewis -  Please see the email below regarding projects HQR01160 highlighted, can you look into this and respond to Angela copying me into the response.   11/08 - LH in discussions with NIHR and Psych. NIHR want us to revise FSTOX as some salary costs were reported by the dept under indirects. Dept don’t want to do this, currently drafting an email with Psych to NIHR to see if they don’t have to re-report.  18/9/25 - FSTOX query unresolved in Lewis tickets. Passed onto Jamie for guidance.  02/10/25 email from Jacqueline (nets finance) with Gareth - We would like to follow up with you if there is any feedback on the previous email sent earlier in July about the FSTOX queries for 15/11/16 (please see email below). Many thanks and we look forward to receiving your feedback soon.  14/11/2025 email from Gareth -   12.11 sent updated transaction list to funder as requested.     09/02/2026 chase to Nets finance.     09/02/2026 email from Sarah Light - Thank you for the email checking the status of some of the awards.  09/02/2026 email from Jacqueline (finance) - 15/11/16: FSTOX is under review and we are waiting for supporting invoices from the team. A follow up email was sent out this morning and once the FSTOX review is completed, we will be able to release the next payment.</t>
  </si>
  <si>
    <t>d-  12/08/25 email from Donna - Thank you Jamie,  I have sent a duplicate invoice to be approved and will send it out to he same suite of recipients as the previous ones.  Email from Donna - 13/8/25 Emailed funder.  18/11/2025 chase to Adama Ouedraogo.  21/11/2025 email from Adama - Let me check and get back to you. IRSS has not yet received the transfer for year 4. I will get back to you as soon as possible.  19/01/2026 email to Adama - Thanks for your email, can you let me know if there is any update.  09/02/2026 email to Adama - Can you let me know if the attached invoice have been approved for payment.  06/03/2026 email to Geis (dept) re milestones &amp; deliverables.</t>
  </si>
  <si>
    <t>f- 90 day payment terms.  07/07/25 chase to ap.  11/07/25 email from Akash Das to the ap team - Please look into the below query.  13/07/25 email from Pooja Chaudhary - Thank you for contacting Bristol Myers Squibb - Accounts Payable. Your query has been received and created with the above ticket number. Unfortunately, the invoice(s) are not showing in our system. Kindly submit your invoice to BMSInvoices.NA@bms.com.  14/07/25 email to the invoice team -  Please find the attached invoice for processing.   30/10/25 chase to ap.  30/10/25 email from Pooja Chaudhary -  Please be informed that the invoices are not visible in our system. Kindly submit your invoices to BMSInvoices.NA@bms.com.  31/10/25 email to the ap team -  Please find the two attached invoices for processing.  23/01/2026 chase to various ap.  26/01/2026 email from Simran (ap) - Kindly submit your invoice to BMSInvoices.NA@bms.com.   26/01/2026 email to Simran - please see attached email invoices were sent in October.  26/01/2026 resubmitted to the invoice team.</t>
  </si>
  <si>
    <t>b- 15/07/25 email from Donna to Linzi -  I was unaware that this was happening but I can confirm that the audit team are working on this. They will be in touch as soon as possible.  These things can take an inordinate amount of time, as I am sure you know.  Email from Donna -  8/9/25 emailed MG to see how audit is going.  Emaill from Donna -  07/07/25 email to finance - Can you let me know if the final payment for the above project has been made?  28/10/25 email from Linzi Ogden to Donna - Can you please provide an update on your audit? I believe this is still outstanding.  28/10/2025 email from Donna to Linzi - Thank you for your kind reminder. This is always helpful. Our Assurance/Audit team and the department are currently working on this audit. I have been speaking to the department today. I will let them know that you have enquired again and that time is of the essence.  Email from Donna - 19-11-25 emaile dMG about audit.  Email from Donna - 10 12 2025 emailed funder again for an update.  Email from Donna -  14 1 26 emailed MG again.  21/01/2026 email from Donna to Linzi -  The assurance team have confirmed that this is still being audited. The department are waiting for the evidence requested by the auditors. The assurance team will chase again chase later this week. Many thanks for your continued patience.  12.02.26 Ellie to Mark - Hi Mark, Hope you're well. Did this audit get finalised? We're still waiting on final payment.</t>
  </si>
  <si>
    <t>d- Invoice to Guy's and St Thomas NHS Foundation Trust.  19/06/25 email from Oscar to Gill Radcliffe - No problem, please see attached both invoices with the requested staff breakdowns now included within.  Please note that there are duplicate roles in some cases. This is because post holders have changed through the project, and two people with same role won’t both be working on grant at the same time.    20/06/25 email from Gill to Oscar -  Hopefully we can get these authorised for you now.  15/08/25 email to Gill Radcliffe - Can you let me know if the attached invoices have been approved for payment.  15/08/25 email from Gill Radcliffe -  Apologies for the delay, I am waiting for CI to review and approve but they were not able to do before their AL Will follow up once they return.  03/11/25 email to Gill Radcliffe - Thanks for your email, can you let me know if the attached invoices have been approved for payment.  03/11/25 email from Gill - I am check the ledger today – sorry for the delays!  09/02/226 email to Gill - Thanks for your email, can you let me know the payment status of the attached invoices?  09/02/2026 email from Gill Radcliffe -  These should all be on our system for processing I will check this week and come back to you Apologies for the delays.</t>
  </si>
  <si>
    <t>b- 10/02/2026 email to Louise Kew - Can you confirm what is required from the University for the funds to be available to us?  10/02/2026 email from Jonasus to the dept -  I have been chased to review this outstanding invoice again. Please advise if there have been further progress with this?  24/02/2026 email from Louise Kew - For the 50% of the invoice to be paid please issue a credit note to us for £3500, we will then be able to process the payment of £3500. Please reference PO 0000057477 on the credit note and send to Finance@es.catapult.org.uk cc me. If the academic department has been able to address the query about what was delivered, this will allow us to process the full payment of £7000.  26/02/2026 email to Jonasus -  Please see the email below regarding project the above invoice on project DFR09710, can you look into reissuing the invoice as requested copying me into the response.  03/03/2026 email from Jonasus to the dept -  Wayne has been chasing for the payment of invoice 210159748 but the invoice remains outstanding. Please kindly advise if the full PO/deliverables have been completed and therefore the full amount can be claimed.</t>
  </si>
  <si>
    <t>b- 18/9/25 - Gavin followed up on previous email that had no response.  Email from Gavin  -  13/10/25  -Gavin followed up asking for clarity as normally payments sent automatically, Lewis has suggested they requested these to be invoiced to them directly.  14/11/2025 email from Gavin -  Further chaser sent on 14.11.25.    14/1/26 - email from Gavin to Ola Ohwesi -  Can we please have an update on the payment of these two invoices?  30/01/2026 email from Gareth - Project HQR02610 has cash matching events to July 2025 totalling £721,300, but the project only has a budget of £645,819.40. Are you able to see how much we have been sent to date?  30/01/2026 email to Gareth - Re invoices 210159834 &amp; 210162515 are these invoices correct as all the other invoices raised on the project we due to cash matching, has DOH supplied a list of payments that have been made against the project?  30/01/2026 email from Justin -  See attached e-mail – do you think some invoices could have been duplicated ? Sorry, I don’t want to complicate things!    30/01/2026 email to Justin -  Yes it looks like duplicate invoices may have been made as looking at most of the invoices raised these were raised against instalment payments, no other invoices were sent out other than invoices 210159834 &amp; 210162515, if we can get a payment schedule of what has been paid by DOH this should confirm.  27/02/2026 email from Gareth to academy awards -  Could you please send the payment list for project HQR02610 reference AI_AWARD02183 - 562274 as we need to check the invoices issued against the project.</t>
  </si>
  <si>
    <t>b- 11/11/2025 email from Flo Planche to Chewloong - Thank you for your email. We will revert shortly with our response. Could you please let us know if there may be additional questions related to the past reports and invoices? This will allow our team to organize and respond to everything at the same time.  11/10/25 email from Chewloong to Flo -  Currently these are the comments which I had. Would it help if I consolidate the comments for you in one email for the team to respond? I can share the consolidated comments in one email for you.   11/10/25 email from Wan (dept) to Flo - Sorry I was not cc in the previous email. Can you, me, Dani and Khun Sompany have a call tomorrow? To go through on each point? I guess around 3 PM would works for Dani.  11/11/2025 email from Wan to Dani - I have meeting from 2-3 PM so I can do from 3-4 PM on Thursday.  11/11/2025 email from Dani to Wan - Yes, that’s fine for me on Thursday.  04/12/2025 email to Dani -  Re project B9R05840 has the questions from the funder been addressed?   04/12/2025 email from Dani -  All the amendments have been done to the claims and all the additional evidence has been sent to PREPARE, they are currently reviewing and then we should be receiving the payment for all outstanding invoices. I will keep you updated but I’ve had a message to say they are reviewing the documents, fingers crossed we get something in before Christmas!  03/02/2026 email to Dani (dept) - Thanks for your email, has there been any update from the funder regarding the two 2025 claims.  03/02/2026 email from Dani -  We are making amendments on the claims as the moment but once it has been agreed, I will let you know when payment should be made.</t>
  </si>
  <si>
    <t>d- 90 day payment terms.  09/12/2025 email to ap - Can you let me know the payment status of the attached invoice.    23/01/2026 chase to various ap.  24/01/2026 email from Simran (ap) -  Invoice reversed with the reason *NOT AP/NON INVOICE*  26/01/2026 email to Simran -  Thanks for your email, can you let me know the reason for invoice 210159930 why it has been reversed.  28/01/2026 email from Simran to Sumathi Palaniswamy -  Kindly refer to the below email and provide the reason for the invoice 210159930 rejection, as it was rejected from your end.  29/01/2026 email from Sumathi to all -  I wanted to clarify that none of the invoices in question are related to my team. Additionally, I do not recall rejecting any invoices, as I am not the approval person for them. It seems there might have been a mix-up, and the invoices were possibly sent to the wrong person. Please verify and let me know if you need any further information from my end.  27/02/2026 email to AP -   Further to the emails below regarding the attached invoice, can you let me know the status of the invoice regarding to payment.  01/03/2026 email from simran to Bernadette Nguyen -  Kindly refer to the email below and provide the reason for the invoice rejection, as it was rejected from your end. This will help us take the necessary next steps accordingly. Rejected Reason - Not due yet. Due Sept 2025 - Invoice Number -  210159930 - PO number – 0082177790 - Looking forward to your clarification.  02/03/2026 email from Bernadette to ap - I have had the PO reopened to process this invoice.</t>
  </si>
  <si>
    <t>b- 04/02/2026 comment from Ciaran - Donna to confirm if FER has been submitted.   "12.02.26 - Ellie to dept - I hope you're well. I just wanted to follow up on this one as the FER is now overdue. I have reattached the FER template and transaction list. Please can this be completed as a matter of urgency? Could I please request that this is returned to either me or Daniel by COP Tuesday 17th so that we can get it approved and uploaded to the portal?</t>
  </si>
  <si>
    <t>d- 08/08/25 chase to the helpdesk.  21/08/25 email from Solja Hoeft to Laura Frizzel -  Oxford University is chasing three invoices, all against PO UOE1375511, which needs to be increased to cover all three invoices.  I am adding the buyer on this order to help you with amendments.  21/08/25 email from Jennifer Fee to Laura Frizzel -  PO needs increased by - Are you happy for your budget holder to approve this additional spend.   06/10/25 chase the the help desk.  08/10/25 email from Nicole Robertson - Thank you for your email.  We are currently resolving this issue under ticket I250522-1942 an will update accordingly.  If you have any queries please quote 'I250522-1942' to avoid any duplicate tickets and possible delays.  01/12/2025 chase to finance.  28/01/2026 urgent chase to the query team.   06/03/2026 email to ap - Please find attached copies of the invoice that are outstanding for payment.</t>
  </si>
  <si>
    <t>e- 18/06/25 email from Jenny to the sponsor - I hope this email finds you well. We are due to return funds as per the attached credit note. Please can you provide your bank details on letter headed paper?  16/07/25 email from Jenny -  No response from funder, followed up with dept to see if they have a different email I could contact.  17/07/25 email from Jenny to various - I hope this email finds you well. We are due to return funds as per the attached credit note. Please can you provide your bank details on letter headed paper?   Now with Henry.    Chased up 12.02.26</t>
  </si>
  <si>
    <t>b-  22/01/2026 email from Oscar to Kirsty -  Apologies, I'm still having trouble finding the original query from when this was returned. Were there any specific individuals you require additional justification for? I will then request this from the department and get back to you as soon as possible.  22/01/2026 email from Kirsty to Oscar -  No problem, the roles with the additional allowances are listed below: Role ID 2: Year 3,4, Role ID 3: Year 2,3,4,5, Role ID 4: Year 4.  22/01/2026 email from Oscar to Sally (dept) - As per the correspondence below we have just been notified of an outstanding query on the final rec for H3R00640, could you please look into this? Let me know if I can assist in any way. The award 28684 was returned to you to provide reasoning for the additional allowances on a few of the salaries, it was not clear from the form what these were in reference to: Role ID 2: Year 3,4, Role ID 3: Year 2,3,4,5, Role ID 4: Year 4.  22/01/2026 email from Sally (dept) to Oscar -  Please see attached, they were mainly arrears pay &amp; exceptional payment.  23/01/2026 email from Oscar to Kirsty - See attached the revised Final Reconciliation, can you confirm if the added details are acceptable for this to be resubmitted?  26/01/2026 email from Kirsty to Oscar -  Thanks for adding the reasoning for these additional payments, this should be fine to upload now. Do you know why these roles were paid in arrears?  Email from Oscar -  Final rec resubmitted 27/02/2026, chased dept for answer reagrding staff arrear payments.</t>
  </si>
  <si>
    <t>e- Refund March 2026 - 22/07/25 email to Oscar -  Please see the email below and attached re projects H6R00620 – 210163427, ANR00730 – 210158808 &amp; ANR01450 - 210160535, can you respond to Kirsty regarding the reconciliations copying me into the response.  20/08/25 email from Oscar -  Requested clarification from CRUK regarding 'second' final reconciliation.   11/09/25 email from Oscar - Chased CRUK.  11/09/25 email from Tom Ivison to Oscar - Regarding RCCPOB-May22\100004, the second rec appears to have been set up in error; we will be deleting this, and processing the first submission this month, and  the offset will be actioned against your October payment run.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  20/02/2026 email from Oscar - Could the attached approved credit note please be processed to return underspend on ANR01450 to CRUK?</t>
  </si>
  <si>
    <t>d- Tequila to Tequila to reconcile end of January 2026</t>
  </si>
  <si>
    <t>d- 16/10/25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</si>
  <si>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e- Refund January 2026  . 29/04/25 James to obtain backing re large value.  12/06/25 email from James - On my todo list needs a reconciliation.  15/07/25 email from James - With James to review when I have time. Will try by the end of the month.  18/08/25 email from James - Busy period with year end. Will try and review as soon as possible.  15/09/25 email from James - With James in Outlook to action.  13/10/25 email from James - James blocked out 2 hours on consecutive Fridays to review. Email with me currently.  17/11/25 email from James -  James reconciled final statement. £2k discrepancy in our favour. Will speak to Laura on Thursday about how best to proceed…  15/12/2025 email from James - Spoke to Laura, know how to fix this one, will look to post overheads and close this one out when I get a spare moment.  14/01/2026 email from James - Please find attached: Credit invoice that has been approved, Signed transfer letter, Funder approval, email with funder agreeing final amount to be returned (Bottom of page 5).  Can this be returned to funder? Let me know if you need anything else.  Once returned I will close out project on Oracle.</t>
  </si>
  <si>
    <t>f- 30/10/25 email from Junaid to Euken (dept) - As per the agreed extended timeline for payment below, please can you confirm if the Final Report sign off has now been completed as the final payment is still outstanding.   12/11/2025 email from Junaid - My colleague Gavin Robertson is now the RA for Paediatric, therefore will transfer to him.  21/11/2025 email from Sophie Bradshaw to Gavin - This is in regard to A3R00190. The company have requested that we invoice them for $40k now and then the remaining $20k on completion of the project in March.  Claire Prenter, from Research Services, is currently working on a formal amendment to the agreement. We have the attached from the company confirming the extension.  09/02/2026 email to Sophie (dept) - Have you a contact who can confirm when the final payment of the attached invoice will be made, we received a payment of $40k on 26/12/2026 there is still an outstanding balance of $20k.  09/02/2026 email from Sophie (dept) - There is currently a no cost extension being processed for this so the company asked for the invoice to be split - $40k now and then the remaining $20k when the project finishes. Attached correspondence.</t>
  </si>
  <si>
    <t>d- 01/12/2025 email to ap - Can you let me know when we can expect payment of the above reference.  01/12/2025 email from Joanne to grants - Can you please reply directly to the participant about their below query as I do not believe accounts have been asked to make a payment.  09/02/2026 email to the grants team - Can you let me know if payment for the above grant has been made.  09/02/2026 email from Sandra Angell - There is currently no claim on the finance system for us to be able to pay. @Grants_Service - Innovate UK UKRI Dear Team, please can you assist Wayne with their payment enquiry. There are no grant claims on account SUP-00058871 for us to pay.  09/02/2026 email from Angie Wanless - Please accept my sincere apologies for the delay and for any inconvenience this may have caused. I regret that the claim had not been approved sooner. I can confirm that the claim has now been approved and forwarded to our payment system for processing. It will be included in Thursday’s payment run, and you should allow up to 14 working days from that date for the payment to be received. Thank you for your patience and understanding.</t>
  </si>
  <si>
    <t>b-  01/12/2025 email from Maru (Dept) forwarded to Matthew -  We were just discussing internally what is the status of the underspend funds that needed to be transfer to the renewal project (DFR09770). I feel it's been forgotten and we need to use the funds now.  If you could please find out and let us know will be great.  12/12/2025 email from Matthew to Maru - Lewis has now left the University, and I am picking this up in his absence. Please could you confirm whether RS has been sent the transfer form and whether they have approved it? Once we receive the confirmation from RS, we will be able to transfer the remaining funds.  12/12/2025 email from Maru to Matthew -  I believe it's the one attached - it was sent mid July.  Let me know if you need anything else.  13/01/2026 email from Matthew to Maru - Before we are able to process this request, we will need to receive a formal award letter or written confirmation from the Royal Society confirming approval of the transfer. Please could you confirm whether the transfer form has been submitted to the Royal Society and whether any approval documentation has been issued? Once we receive the award letter/confirmation from the Royal Society, we will be able to proceed with transferring the remaining funds.  13/01/2026 email from Maru to Matthew - We've got confirmation to transfer the underspend from the Royal by email - see attached. And the only form that we were asked to complete is the Transfer Form - also attached. This is been lingering for more than a year already - so please we need to get to the bottom of it now.  Is there any extra document you need?   13/02/2026 MB to action with JS</t>
  </si>
  <si>
    <t>d- 15/07/25 chase to ap &amp; Moyo Arewa.  16/07/25 email from Mayo - Please reissue the invoice to the following address instead: Moyo Arewa, Local Government Revenue Initiative, Munk School of Global Affairs and Public Policy, University of Toronto, 315 Bloor Street West,  Toronto, ON, Canada.  17/07/25 email to Gavin - Please see the email below regarding the attached invoice, can you reissue the invoice as requested and forward to Moyo plus copying me into the response.  17/07/25 email from Gavin to Moyo - Please see attached the invoice with the correct address.  23/07/25 email from Moyo - Thanks for this. We'll process. I've copied my colleague, Winnie here, who handles payments.  28/08/25 email to Winnie Ho -  Can you let me know if the attached invoice has been processed for payment.  03/09/25 email from Winnie Ho - Thank you for the follow up.  We have submitted the invoice to our central services for payment processing in August.  Thank you in-advance for your patience.  01/12/2025 email to Winnie - Thanks for your email regarding the attached invoice, we received the payment of €163,685.16 which has left an outstanding balance of €24,979.14, can you let me know when the outstanding will be paid or if there are any queries.  01/12/2025 email from Winnie - We have requested to pay the invoice in full.  I will look into this further with our central services and get back to you.    I appreciate your patience in advance.  09/02/2026 email to Winnie Ho - Thanks for your email, can you let me know if when we can expect the final payment of €24,979.04 for the invoice.</t>
  </si>
  <si>
    <t>d-  09/12/2025 email from Ciaran -Funder contact e-mailed me last week, currently speaking to them to resolve any queries.  10/12/2025 email from Ciaran to Jonathan - Thank you for the e-mail and flagging of the over claim. Apologies for the oversight it was an internal issue that picked up the over calim on the invoice. I have cancelled the invoice and waiting on approval, once approved I will submit a credit note and revised invoice. Apologies for any inconveniences.  11/12/2025 email from Ciaran to Jonathan -In regards to the below, please find attached both credit note to cancel invoice 210169699  along with revised invoice 210170084. Hopefully this is all now in line with your expectations. Once again apolgies for the oversight.  09/02/2026 chase to Jonathan Gabriel re payment status.  10/02/2026 email to Jonathan -  Can you let me know if the attached invoices have been approved for payment or if there are any queries.  17/02/2026 email from Jonathan - Thanks very much for the email. I can confirm that NHM will be submitting the final expenditure statement to Wellcome in the next week. Once we have received the final payment from Wellcome then I will inform the partners on the grant that we are ready to process your final invoices. As detailed in the collaboration agreement we cannot pay our partners until we have received the funding from Wellcome. I hope that answers your query, and if you have any queries on this please do let me know.</t>
  </si>
  <si>
    <t>210172896</t>
  </si>
  <si>
    <t>d- 16/10/25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</si>
  <si>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d- 17/07/25 further chase to ap.  19/08/25 email to ap -  Can you let me know the payment status of the attached invoices.  10/10/25 chase to ap.   01/12/2025 chase to various.  23/01/2026 chase to research.  26/01/2026 email from ap -  All other invoice have been forwarde to our processing team.</t>
  </si>
  <si>
    <t>b-  24/10/25 - query re overheads because of the system depreciation.</t>
  </si>
  <si>
    <t>a- 60 day payment terms.  21/07/25 email from Jimmy Martin to James B - No change to details indicated to date.  21/08/25 email from Jimmy to James B -  No change to details indicated to date – Report to be completed by November.  08/12/2025 email from Jimmy Martin - The email below refers for your information (05/12/2025 email from Daniel Anthony - I have sent a final report.   26/01/2026 email from Jimmy Martin - Please kindly confirm all funds now received.    28/01/2026 email to James B &amp; Jimmy -  No we have not yet received payment I can chase Novartis.  28/01/2026 chase to ap.  05/02/2026 email to p2p -  Thanks for you email, can you please forward the attachment regarding the rejection as this did not come through?  19/02/2026 email from ap -Please be informed that the documents submitted for Invoice 210161237 in the amount of USD 20,000.00 have been rejected. Kindly find the attachment for details. Please review and re-submit the corrected documents so we can proceed further.    24/02/2026 email to ap -  Thanks for your email, there was no attached with the email can you please forward the attachment to me so we can investigate.  24/02/2026 email to Jamie &amp; Jimmy -  Please see the email below and the attached regarding invoice 210161237 – BWR01440, on the second attachment I’ve highlighted the section related to the rejection, can you look into this and let me know the outcome.  24/02/2026 email from Jimmy (dept) to Daniel Anthony - We have just received these emails re our final invoice to Novartis. Settlement was delayed due to the extension requested to complete your final report. Please do kindly get in touch with your contact and confirm next steps for settlement.</t>
  </si>
  <si>
    <t>210161234</t>
  </si>
  <si>
    <t>e-  23/01/2026 email to various - Can I have an update on the payment status of the attached invoices.  25/01/2026 email from Du'aa -  I’ll check the projects related to me and get back to you asap.  03/02/2026 email from Du'aa - My colleague @Najat Alattass will respond regarding 4650.  04/02/2026 email from Eliza (dept) to Najat - The invoice would have been sent to the school for a PO to be raised, to go along with the stamped invoice (see attached) -  @Cecilia Asplund can you kindly follow up with SBS please?  24/02/2026 email from Email from Eliza (dept) to Ayat -  We have two projects with you awaiting invoice payment, 4669 and also 4650. I believe your email below references 4669 (DMR01940), thank you for confirming this invoice will now be paid. Could we please also check that the outstanding invoice(s) for 4650 (DMR01930) can also be paid? Please advise if you require anything further from us for this one.  26/02/2026 email frm Najat Alattass to Eliza - I have checked invoice #4650 (DMR01930), and our records show that it has been processed on our side. I am currently following up with our Finance team to confirm the status and will update you as soon as I receive their response.   26/02/2026 email from Najat to Eliza -  I have just received a response from our Finance Department. The invoice had not been received in the system. They will enter it today, and it is scheduled for payment next week. Please let me know if you need any further information.  01/03/2026 email from Najat to Eliza -  Please be advised that our Finance Department has posted the invoice for payment this week.</t>
  </si>
  <si>
    <t>d-  16/10/25 email from Kirsty Naylor - This reconciliation is in progress, Oxford still need to complete. Due date is 30/11/25.  19/01/2026 email to finance - Can you let me know the payment status of the awards listed on the attached.   19/01/2026 email from Kirsty (fianance) -  Reconciliations for awards that have not been submitted to us yet.  19/01/2026 email to Donna - Please see the email below regarding project BZR03670 - 210161253, can the requested reconciliation for the project be submitted to Kirsty copying me into the response.  19/01/2026 email from Donna to Kirsty -  I am under the impression that this reconciliation has been submitted. I have copied the pdf of the portal. Has there been a query on this reconciliation? Am I missing something?  12/02/2026 email from Ellie to Kirsty - Please can you confirm if any further action is required by us to progress this?  12/02/2026 email from Kirsty to Ellie - Thanks for getting in touch, it looks like the reconciliation report is still in progress in Flexi-Grant and has been submitted yet.  19/02/2026 email from Kirsty to Donna - Thanks for getting back to me, that justification is fine. That report will need to be resubmitted on Flexi-Grant.   20/02/2026 email from Donna to Ana (dept) -  The funder has confirmed that our justification is fine. That report will need to be resubmitted on Flexi-Grant. Is this something you do? I have not used Flexigrant before.  20/2/2026 email from Ana to Donna - Good to know that the funder is happy with our justification. About Flexigrant, no this isn’t something that we do. I think the report needs to be submitted by you.   20/02/2026 email from Donna -  I have resubmitted the report. Hopefully all will be well.</t>
  </si>
  <si>
    <t>b- 14/07/25 email to Nets finance - Can you let me know the status of the awards listed below.  15/07/25 email from Angela Pettet - NIHR128043: FSTOX is under review.  Awaiting response to review queries.   15/07/25 email to Anna - Please see the email below regarding projects HFR01050 &amp; HFR03660 highlighted, can you look into these and respond to Angela copying me into the response.  15/07/25 email from Anna - I will chase the dept on answering the queries for HFR03600.  12/08/25 email from Daniel (nets finance) - Any updates re NIHR128043? If I recall we're just awaiting an FSTOX and Transaction list for this project.  12/08/25 email to Anna - Please see the email below regarding project HFR03600 – 210161300, can you respond to Daniel copying me into the response.  12/08/25 email from Anna to Daniel - Apologies once again, I have stressed the urgency of this to the department hopefully they will get back to you soon.  21/08/25 email from Anna -  chased dept to resolve NIHR query.  02/09/25 email from Daniel Pinchin - Thanks for chasing. Just wondering if you'd had any responses re the outstanding queries?    02/09/25 email to Anna - Please see the email below regarding project HFR03600, would you be able to follow up with the dept and respond to Daniel.  08/09/25 email from Gavin -  Anna is back on Wednesday but I've contacted the department in the hope they can do their part for Anna to pick up when she's back.  27/10/25 email from Daniel (nets finance) to Anna -  Any progress / updates with the outstanding queries for this project?  13/11/2025 email from Anna - AC working on.  11/02/2026 email from Anna -  query with NIHR</t>
  </si>
  <si>
    <t>d- 17/12/2026 email from Philip to Oscar - I can only process invoices sequentially, so when one has queries that carry on for several weeks any others that have been sent tend to get deleted as finance don’t like them sitting on the system. If you can send through the next invoice with appropriate backing I will look at it in January.   07/01/2026 email from Oscar re invoice 210161480 -  See attached the next invoice for this award covering the period 01-Apr-2024 to 30-Jun-2024.  07/01/2026 email from Philip to Oscar - Thanks – could I get a full salary breakdown (ie broken down by month) and confirmation of the level Bowman is charged at since it’s the first invoice of the extension period?    22/01/2026 email from Oscar to Philip -  See the requested staff breakdown: She was charged at 0.415 FTE to the grant. 22/01/2026 email from Philip to Oscar - Thanks – could you confirm the SP/annual basic salary level it’s being paid at?   23/01/2026 email from Oscar to Philip - The annual basic salary for Louise in the period is £112,356.   23/01/2026 email from Philip to Oscar -  Thanks – can you confirm the SP?   26/01/2026 email from Oscar to Philip - Apologies could you please clarify what is the 'SP'?  If the SP is for 'schedule allowance', then I can confirm none of Louise's schedule allowance was charged to the BHF grant.  26/01/2026 email from Philip to Oscar - The spinal point – thanks.   26/01/2026 email from Oscar to Philip -  Thanks for the clarification, Louise's spinal point for the reporting period was E82.60.</t>
  </si>
  <si>
    <t>b- 26/09/25 email from Matthew to Amirtha - Thank you for your email. The agreement doesn’t mention the need for a purchase order but states that Oxford will send an invoice to C&amp;W quoting UKOSS R&amp;D Cauldwell, after which we’ll be paid. At face value, there is no contractual requirement for a PO. On this basis, we kindly ask that the invoice is processed in line with the agreed terms. If you still believe a purchase order is required, please could you point us to the relevant clause in the agreement for clarification.  Email from Matthew - 14/11/2025 - Followed up to clarify that the agreement does not require a purchase order and requests that the invoice be processed according to the agreed terms. Asked for the specific clause if a PO is still believed to be necessary.  Email from Matthew - 12/12/2025 - Follow up email sent to funder.  Email from Matthew - 07/01/2026 - Follow up email sent to funder.  19/01/2026 email from Damon Forster to Matthew Cauldwell -Just following up on the below as I have received another chasing email from Oxford’s finance team about payment. Have HRUK received the report and if so are they happy to pay us the £20K that we need in order to pay Oxford? If you have not contacted them yet please could you copy me in.   13/02/2026 - MB to chase dept and ask if report has now been submitted to the funder.</t>
  </si>
  <si>
    <t>b- 12/11/2025 email from Junaid - My colleague Gavin Robertson is now the RA for Paediatric, therefore will transfer to him.  Email from Gavin -  14/1/26 - Report submitted by department on December 3rd 2025. Also chased Euken/Lucia up on a PO.  09/02/2026 email from Gavin -  There's 3 invoices on this project that are unpaid, presumably due to not having a PO on them. I've now had that PO from the department so I'll get them added to the invoices and sent out.  12/02/2026 email from Gavin - Just to update, the PO numbers provided by the department were not for this project so I've had to ask them to go back and try find the correct one. Added note on debtors list.</t>
  </si>
  <si>
    <t>b- 04/02/2026 comment from Ciaran - Lucy working on FER.  10/02/2026 email from Lucy - Need to speak to Ciaran about this.</t>
  </si>
  <si>
    <t>b- 16/09/25 email from Niketa (finance) to Oscar - We are still waiting finance ledger report supporting FSTOX expenditure as requested earlier in June 2025. Could you please arrange to submit as soon as possible.  16/10/25 email from Oscar -  Funder requested differenct expenditure category breakdown on transaction list, send request to dept complete this 16/10/25.  Email from Oscar -  12/11/25 requested transactions were sent over 21/10, chased NIHR for update.  28/11/2025 email from Niketa to Oscar - There is a difference of £2.54 on the ledger report, FSTOX submission was for £1,111,591. Please confirm.  Email from Oscar -  12/25 Chased NIHR.  07/01/2026 email from Oscar - Awaiting response/payment by NIHR.  27/02/2026 email from Oscar -  No response from NIHR still, chased again 27/02/2026</t>
  </si>
  <si>
    <t>d- 01/12/2025 chase to ap plus.  01/12/2025 email from Chloe - Apologize for the delay. Invoices 210161705 and 210167407 are pending our dept. We’ve followed up with them.  09/02/2026 email to Chloe plus -  Thanks for your email, can you let me know if there is any update regarding the payment status of the attached invoices.  09/02/2026 email from Chloe Zhang - Apologize for the delayed payment. Both invoices are pending our dept’s approval. We’ve followed up with them.  21/02/2026 email from Chloe to Ciaran - I’m following up on the closeout form. Could you please submit it once it’s finalized?  24/02/2026 email from Lucy to Chloe - Please see attached as requested.</t>
  </si>
  <si>
    <t>d- 28/07/25 email from ap - Unfortunately, we are unable to process the invoice at this stage because it does not comply with the University of Birmingham purchasing policies. Reason for rejection: NO PURCHASE ORDER QUOTED ON INVOICE.  28/07/25 email to Sharmila -  Please see the email below regarding invoice 210161758 – BLR04050, can you obtain a PO number and reissue the invoice letting me know when resent.  10/09/25 email from Sharmila to ap - Please find the revised invoice attached.  01/12/2025 chase to ap queries.  02/12/2025 email from Kelly Kieu -  invoices have been received and processed. They are currently with the requester Andrew Lee (a.lee.6@bham.ac.uk) to be receipted.  09/02/2026 email to Kelly (ap) - Thanks for your email, can you let me know if the attached invoices have been receipted.  10/02/2026 email from Kelly (ap) -  210161758 – invoices have been received and processed. They are currently with the requester Andrew Lee (a.lee.6@bham.ac.uk) to be receipted.  To all cc’d in, can you please advise Wayne on the status of the attached invoices which are still awaiting receipt of the PO.</t>
  </si>
  <si>
    <t>b-  14/11/2025 email from Lucy to the dept - Please could you send me the travel claim form which relates to the attached invoice.  I have also attached the incorrect travel claim form which was sent to BHF. BHF are also questioning the credits for Consumables.  17/11/2025 email from Dylan (dept) to Lucy - This is the correct travel claim form but I think we need to explain to the BHF that the Training credits on this invoice relate to travel costs that were categorised incorrectly.  Regarding the consumables, this is because Dr Akbar's students were using this grant for purchasing whilst their own funding sources were being set up here. Once these were ready, we transferred the costs for the students off this grant and onto the correct grants.  10/12/2025 email from Lucy - waiting for reply from Rachel Cates from Nov 20.  12/01/2026 email from Lucy -  I have chased Rachel re invoice 210158843 as I have had no reply from her.  I have chased Rachel as I have had no reply from her. Will not be processed until 210158843 is sorted.  10/02/2026 email from Lucy -  210158843 is currently with Rachel Dawkins. Once processed, 210162292 can be looked at.</t>
  </si>
  <si>
    <t>d- 14/01/2026 email from Phil to Lucy - Thanks. Could you resend with a full breakdown of salary? Also we wouldn’t cover costs for attending a garden party or eye tests. Could you clarify what ‘overseas allowance’ refers to?  14/01/2026 email from Lucy - I have realised there was an error on the invoice I have sent, I will get this amended and sent in due course. I have cc'd in the grants team so they can look into your queries.  14/01/2026 email from Lucy to Phil - Please see the updated invoice attached.  14/01/2026 email from Phil to Lucy -  Thanks – if you could resend this when we have the full breakdown and response to the queries that would be a big help, otherwise it may get mixed up.  23/01/2026 email from Dylan (dept) to Philip - As I understand it, April 2024 was the start of the chair renewal and Singh filled a post that was on a lower grade (SP32) than the post previously appointed to (SP33), which is why it is lower than March 2024. You confirmed to Melissa that starting from April they would need to be invoiced at SP32. The increase in September 2024 is when OUW was added straight to the basic pay for that month, the OUW credit that was later applied brings that back down to the correct amount. October 2024 is when the increment happened from SP32 to SP33, so we have invoiced at that level but this includes OUW which was later removed. Apologies about the OUW credits, it's a bit confusing and wasn't sure how best to show this in the breakdown so at the moment it's just showing in the total at the bottom. Let me know if I can make it clearer.  Relevant pay award documents attached too.</t>
  </si>
  <si>
    <t>d- 08/07/25 chase to the resesrch team.  10/07/2025 email from Aman (finance) to various - Please find attached invoices related to your projects.  20/08/25 chase to the finance team.    30/09/25 chase to various.   01/12/2025 chase to research finance.  09/03/2026 chase to various.</t>
  </si>
  <si>
    <t>d- 16/09/25 chase to the invoice team.  22/09/2025 email from Gloria Sankey - Please can you find out what the ‘software’ charges stated on the attached invoice relate to on the awarded items.  22/09/25 email to Varun - Please see the email below regarding the attached invoice, can you respond to Gloria copying me into the response.  With Jenny.  14/11/2025 email from Lucy to Gloria -  I apologise for the delay with this invoice, I am now picking this up.  I have spoken to the department and they cannot see that they have specifically applied for any software costs budget on the project. Please could you confirm whether these costs will need to be credited from this invoice 210162448?  14/11/2025 email from Gloria to Lucy - Many thanks for getting back to me. Unfortunately as software costs were not applied for a credit will be required.  10/12/2025 email from Lucy -  LP to raise the credit for the software costs.  12/01/2026 email from Lucy -  LP to raise the credit. Need to speak to Ciaran as there was an issue when raising the credit number.  10/02/2026 email from Lucy -  I have sent the credit note to Gloria.</t>
  </si>
  <si>
    <t>d-  06/11/25 email to Danielle -   Thanks for your email, the address 17 Beaumont Street is not an address for the University the address with PO Box 1515 is the correct address, as we have not received the cheques would it be better to cancel them and reissue?  06/11/2025 email from Danielle - So the remittance address is the PO box, but that is very odd you haven't received them.  I'm sorry to hear that.  Let me contact out Accounts Payable team and help get to the bottom of this.  However, rest assured, they did go to the 'correct' address, but I'm not sure why they weren't received on your end.    07/11/25 email to Danielle - Thanks for getting back to me, yes the PO box is for remittances and the address for sending the cheques, is it possible for the payments to be made by bank transfer?  27/01/2026 email to Danielle - Can you let me know if payment of the attached invoice has been made?  28/01/2026 email to Danielle -  I’ve checked with our Cashiers department we received payment of $97,510.15 for invoice 210165494 on 13th November 2025, we have not received the payment of $25,092.39 for invoice 210162595, can you confirm if the cheque for this has been cashed?  28/01/2026 email from Danielle -  I am so sorry to hear this.  I have reached out to our Accounts Payable team, who can assist us further.  I’ll keep you updated.  29/01/2026 email from Andrew (dept) to Jonasus - Just letting you know that the clarification has been provided directly to Danielle, please find attached, it’s done.  29/01/2026 email from Danielle -  It looks like the check was sent back in July; however, it has not been cashed.  I’ll work on my end for a check reissue.</t>
  </si>
  <si>
    <t>d- 15/12/2025 emailf rom Tequila to Keith O'Hare - Could you kindly confirm what additional information is required to facilitate the release of our payment?  16/12/2025 emailf rom Keith O'Hare to Tequila - We require the following: Written confirmation on company/business/sole trader letterhead of:  a. Name and address of the bank, b. Name and address of account holder, c. Sort Code/International Routing Number of the account holder, d. IBAN Number of the account holder, e. BIC/SWIFT Number of the account holder, f. **VAT number  - The letter must be dated and signed by an authorised individual within the business (showing also printed name and role title). Actual digital or manual signatures are acceptable but typed names or names inserted in block capitals are not acceptable.   **If the company or business is not registered for VAT, the PPSN (or international tax equivalent) of a Director or Owner must be provided.  29/01/2026 email from Brionna to Tequila - As per my emails in July/August 2025, the final payment for the NATURE-ETN Marie-Curie network (grant agreement No. 861381), coordinated by Prof. Andrew Kellett, has been received in DCU and we are working to distribute the funding to the NATURE-ETN partners.  The accounts linked to NATURE-ETN are now being closed in DCU and we urgently need to make the final payments to all the partners in the network. As the IBAN we have on file for the University of Oxford is not the one you have indicated above, we need to set you up as a new payment partner with DCU and as per DCU's policy we will require: 1. Letter on university headed paper stating your bank details, dated within the past 12 months. 2. Redacted bank statement confirming bank details.</t>
  </si>
  <si>
    <t>d- with Ellie</t>
  </si>
  <si>
    <t>d- 10/10/25 email to various -  Can you let me know if there is any update regarding the status of the attached invoices.  27/10/25 email from Nicola Shrimpton (ap) to Emma Rutherford - Can you please confirm the p/o for the attached invoices.   24/11/2025 email from Nicola Shrimpton to Emma Rutherford - Can you please confirm the p/o’s for the attached invoices.   d- 09/12/2025 email to various - Can you let me know if the attached invoices have been approved for payment or if there are any queries.  09/12/2025 email from Nicola Shrimpton to Emma Rutherford - Can you please confirm the p/o for the attached invoices.  19/01/2026 email to various -  Can you let me know if PO numbers have been generated to allow payment of the attached invoices.   03/03/2026 email to all -  Can you let me know if the attached invoices have been approved for payment.</t>
  </si>
  <si>
    <t>e- 22/09/25 email from Maggie to Jenny -  I am following up on these two invoices as they have the incorrect PO number on them.  Please see the attached PO number, this should be used on these two invoices and used going forward. Please reply directly to me with the updated invoices as our researchgrants@hw.ac.uk mailbox is not being monitored daily as we are changing system.  I am the research grants finance administrator for this project, and sending the invoices directly to myself will allow for faster processing.  24/09/25 email from Jenny -  Now submitted with PO.   01/12/2025 chase to ap.  03/12/2025 email from ap to grants - Thank you for your email. Please note both these invoices were sent to Research Grants previously as the POs on both invoices had been fully used and we require new POs to be raised. Until we have received invoices with the new POs quoted we are unable to process. Research Grants – please see the attached invoices which both require POs.  19/01/2026 email to ap &amp; grants - Can you let me know if PO numbers have been generated to allow payment of the attached invoices.  03/03/2026 email to all -  Can you let me know if the attached invoices have been approved for payment.  04/03/2026 email from AP -  Invoice 210162846 is due to be selected in our next payment run.</t>
  </si>
  <si>
    <t>b- 16/07/25 chase to reserach finance.  21/07/25 email from Kirsty Naylor -  Thank you for your email, I have looked through the awards and have updated their progress within the spreadsheet under comments -  A reconcilliation has been set-up &amp; is in progress, it is the responsibility of Oxford to submit when complete.  22/07/25 email to Anna -  Please see the email below and attached re project HFR02340 – 210162859, can you respond to Kirsty regarding the reconciliation copying me into the response.  21/08/25 email from Anna -  AC working on.   16/10/25 email from Kirsty Naylor - This reconciliation is in progress, Oxford still need to complete. Due date is 30/11/25.    19/01/2026 email to finance - Can you let me know the payment status of the awards listed on the attached.  19/01/2026 email from Kirsty (fianance) -  Reconciliations for awards that have not been submitted to us yet.  19/01/2026 email to Anna - Please see the email below regarding project HFR02340 - 210162859, can the requested reconciliation for the project be submitted to Kirsty copying me into the response.</t>
  </si>
  <si>
    <t>f- 60 day payment terms. 19/06/25 invoice submitted on the Tungsten portal.  10/11/2025 email to finance - With reference to the attached invoice we received payment of this see attached remittance, but on the remittance a credit 210157986C for -£10,500.00 is being taken this credit is not available as it was raised to cancel invoice 210157986 on the Tungsten portal, can you look into this and let me know when the amount of £10,500.00 will be repaid.</t>
  </si>
  <si>
    <t>d- EC related project - Tequila looking into this re the invocing.</t>
  </si>
  <si>
    <t>d- 05/08/25 chase to ap.  05/08/25 email from Giovanni Colangelo to Greg Gibson - In Claire’s absence, could I please ask you to receipt PO POPP000122 at your earliest convenience, in order for us to process the attached invoice?    06/10/25 chase to the invoice team &amp; finance.   01/12/2025 chase to finance.  12/01/2026 chase to finance.  14/01/2026 email from Angeline - Regarding invoice 210163018, this has not been receipted so I will request for this to be done so we can process invoice for payment.  09/03/2026 chase to finance.</t>
  </si>
  <si>
    <t>e-  Refund March 2026.  21/08/2025 email from Anna - working with MG to resolve.  13/11/2025 email from Anna - income matches spend.  11/02/2026 email from Anna to Innovate - Please find attached Q13 which was submitted it appears that we need to return the funds, what is the best way of doing this?</t>
  </si>
  <si>
    <t>d- 01/08/25 chase to ap.  04/08/25 email from Karen Dolphin - We do not appear to have received copies in our system. Please send copies directly to apinvoices@contacts.bham.ac.uk so we can process without delay. We do not accept invoices in this query box.   04/08/25 email to the invoice mail box - Please find the attached invoices for processing.    01/12/2025 chase to ap queries.  02/12/2025 email from Kelly Kieu - invoice has been received and processed. It is currently with the requester Helen Evans (h.e.evans.20@bham.ac.uk) to be receipted.    09/02/2026 email to Kelly (ap) - Thanks for your email, can you let me know if the attached invoices have been receipted.  10/02/2026 email from Kelly (ap) - 210163006 – invoice has been received and processed. It is currently with the requester Helen Evans (h.e.evans.20@bham.ac.uk) to be receipted.   To all cc’d in, can you please advise Wayne on the status of the attached invoices which are still awaiting receipt of the PO.</t>
  </si>
  <si>
    <t>d-   Invoice to Code For Africia - 16/07/25 email to Gavin - Yes this is fine as the dept are agreeing to this, with regards to the invoice (210163100) the dept will need to confirm with the funder if they require an invoice for each instalment, or they are happy for the invoice to say as is and we receive 3 payments as per the schedule. Sep 25 - Paying in 3 instalments as above. 11/09/25 email from Gavin - Showing as completely outstanding on Oracle, have any payments been received yet? If not then I can chase.  12/09/25 email to Gavin - Thanks for the update, re 210163100 – CTR00150 we have not received any payment yet could you be able to chase.  15/09/25 email from Gavin -  The last email I had never confirmed the payment terms so I've asked them to confirm if they've been finalised and we'll possibly cancel this invoice and split into 2-3 different ones.  Email from Gavin - 13/10/25 - Gavin chased up payment as despite suggestion of payment/part-payment in September, full balance remains.  14/11/2025 email from Gavin - Payment terms were agreed to be made in 3 goes. Looks like one payment has been made, 2 still to come.  04/02/2026 email to Chris Roper -  with reference to the attached invoice we received a payment of £11,180.68 pm 14th October 2025, there is still an outstanding balance of £30.000 against the invoice, can you let me know when the outstanding balance will be paid.  11/02/2026 email from Chris Roper -  Apologies, I missed this mail. I’ll check with Cavan and get back to you as soon as possible.</t>
  </si>
  <si>
    <t>b- 29/09/25 email to Maggie - Can you let me know if the attached invoice has been approved for payment or if there are any queries.   01/12/2025 chase to the query team.  01/12/2025 email form John Hryschko to ap - See attached/below.  05/12/2025 email from Cal Hepworth to the research team - Please see the two attached Research grant invoices relating to RG.RMOR.125421 for processing. If for any reason these cannot be processed, please liaise with the vendor (copied in).  05/12/2025 email from Maggie Credland - I am still waiting for Oxford to send me the backing sheets for the invoices.   I don’t know how much is being charged for which members of staff and for which periods.   Once I know this I will arrange to get them GRd. I know Duncan Richard, one of the Oxford PIs has moved to Cambridge, so I need Oxford to be very clear how much is being charged for him up until 28 Feb 25.  08/12/2025 email to Anna -  Please see the email below regarding the above invoices on project HFR05580, can you supply to Maggie the requested copying me into the response.  11/02/2026 email from Anna -  working with James to get breakdwon to match invoice.</t>
  </si>
  <si>
    <t>b- 06/03/2026 email from Gloria Sankey to Lucy - Thanks for your email. To reiterate, the grant and its full budget have been transferred to Imperial. As a result, we cannot use Imperial’s budget to settle an Oxford invoice. Oxford no longer holds any funds for this grant, and therefore we are unable to process any further Oxford invoices. In July 2025, your Finance Office confirmed the final invoice had been paid, with no indication of any outstanding amounts. The budget transfer figures were agreed on that basis. As stated, all the budget has been transferred to Imperial. As previously advised, you will need to contact Imperial directly. They must issue an invoice to BHF for the outstanding amount and arrange payment with them. Happy to hop on a call to clarify further.  06/03/2026 email from Lucy to Gloria - Thank you. Do you have a contact name and email for someone from Imperial that I can get in touch with please?  09/03/2026 email from Gloria to Lucy - You can try contacting Teena Sivanandan cc’d, she should be able to help/advise in this instance.     09/03/2026 email from Lucy to Teena -  I have been advised to contact you regarding payment for the final invoice which I have attached. Please could you arrange payment for this invoice? If you have any queries, please do let me know.</t>
  </si>
  <si>
    <t>d-  22/01/2026 email from Eliza (dept) - I am unsure why there would be any issues with paying our invoice so I have contacted the PI about these and am still waiting to hear back. Will respond as soon as I do.  23/01/2026 email to various - Can I have an update on the payment status of the attached invoices.  25/01/2026 email from Du'aa -  I’ll check the projects related to me and get back to you asap.  03/02/2026 email from Du'aa - For 4669 can you submit the corresponding final technical report so we can release payment?  03/02/2026 email to Eliza (dept) - Please see the attached email regarding project DMR01940, can you help to supply to Du’aa the requested report, if so can I be copied into any correspondence.  04/02/2026 email from Eliza (dept) -  Apologies I have just emailed them and forgotten to copy you. I will copy you in the next email when I receive a response to keep you in the chain.  05/02/2026 email from Eliza to Du'aa - Please could you advise if the attached is what you are looking for? If so, could you please advise us of the payment status of the invoices my colleague Wayne has sent for these projects?  11/02/2026 email from Eliza (dept) to Du'aa -  Please could you let us know about my email below?  12/02/2026 email from Ayat Bwsha -   Thank you for submitting the final technical report. I’d like to inform you that the report has been approved by Prof. De Wolf, and the final invoice (attached) has just been forwarded to our Accounts Payable team. Payment is expected to be processed within the next two weeks. If you haven’t received it by then, please don’t hesitate to reach out, and I’ll follow up with our finance team. Thank you very much for your cooperation, and apologies for the delay.</t>
  </si>
  <si>
    <t>d- 01/08/25 chase to ap.  04/08/25 email from Karen Dolphin - We do not appear to have received copies in our system. Please send copies directly to apinvoices@contacts.bham.ac.uk so we can process without delay. We do not accept invoices in this query box.   04/08/25 email to the invoice mail box - Please find the attached invoices for processing.  06/08/25 email from ap - Thank you for submitting your invoice  210163193 received by Accounts Payable on 04/08/2025. Unfortunately, we are unable to process the invoice at this stage because it does not comply with the University of Birmingham purchasing policies. Reason for rejection: UOB604838 HAS BEEN FULLY UTILISED AGAINST INVOICE 210161472.   08/08/25 email to Anna - Please see the email below regarding invoice 210163193 – HFR07090, can you obtain a PO number and reissue the invoice letting me know when resent.  08/08/25 email to Anna - Please see the email below regarding invoice 210163193 – HFR07090, can you obtain a PO number and reissue the invoice letting me know when resent.  21/08/2025 email from Anna -  asked for a PO number.  01/09/25 email from Anna to Emma (dept) -  Invoice HFR07090 210163193 has been rejected due to an incorrect PO please could you provide me with one so that we can get the invoice paid?  13/11/2025 email from Anna to Stuart Bradley -  Invoice HFR07090 210163193 has been rejected due to an incorrect PO please could you help with providing me with one so that we can get the invoice paid?  13/11/2025 email from Anna -  chased dept for PO.  11/02/2026 email from Anna - sent funder updated invoice with correct PO.</t>
  </si>
  <si>
    <t>d- 60 day payment terms.  13/10/25 email from Heidi Morris - Thanks for reaching out. I heard from our finance team and they mentioned that the address on the invoice is incorrect and they are also awaiting 2025Q1 and 2025Q2 invoices. Please let me know if you have any follow up questions.  14/10/25 email to Junaid - Please see the email below regarding the above invoice on project A3R00180, can you reissue the invoice with the correct address see previous invoices and forward to Heidi copying me into the response, also can you advise Heidi regarding the next invoices.  12/11/2025 email from Junaid - My colleague Gavin Robertson is now the RA for Paediatric, therefore will transfer to him.  16/12/2025 email from Junaid to Heidi Morris - Please find attached Invoice 210163308 as requested.  The 2025Q2 invoice was sent on 28/11/2025.  22/01/2026 email from Liz (dept) to Gavin &amp; Christine Jost -   Just putting you in touch with each other, Gavin, Christine will be able to help you out with the NGSP invoices. Heidi has recently moved to a new job.   22/01/2026 email from Gavin to Christine -  Appreciate this. Christine, please see attached a further invoices as promised.</t>
  </si>
  <si>
    <t>g-  13/11/2025 email to ap -  Thanks for your email, would you be able to send me a copy of the remittance advise for the payment.  01/12/2025 email to the ap team -   With reference to the emails below regarding the above invoice, can you forward to me a copy of the remittance for the payment of the invoice as we have not received the payment.  19/01/2026 email to ap - Can I have a response to my emails below regarding payment of the attached invoice as we have not received payment.  09/02/2026 email to ap -  Further to various email below regarding the attached invoice, we have not yet received payment of the invoice and I have not received the requested remittance, can you please respond to my request so this can be looked into further.  09/02/2026 email from Joseph to Thien Ngo - Could I check if there has been any progress on this invoice?  23/02/2026 email from Thien to Joseph &amp; all - Thanks for following up on the pending payment. Due to the nature of the initial contract and the CTAA, in which IQVIA RDS Vietnam is designated solely for making payments to the Institution, we are currently unable to proceed with the remaining payment given its substantial amount. This issue has been escalated to the Contract Holding Offices of both IQVIA and Janssen for a CTA amendment to enable processing of the pending payment. The Contract Amendment (CTAA 2) wording is now under discussion with Janssen. We will keep you updated as progress is made. Thank you very much for your time and patience.</t>
  </si>
  <si>
    <t>d- 24/11/2025 email from Oscar to finance - Since submitting the final reconciliation for this award we have received a credit from 'NEB UK' for £349.60, which is currently sat on our recharges account. Can you please confirm if you would like us to return these funds to you? Also do you require an updated Final Rec?    25/11/2025 email from Kirsty Naylor to Oscar - Thank you for your email. I have returned the reconciliation report to you to add this additional expense, let me know once you re-submit and I will make sure to look through the report.    04/12/2025 email from Oscar to Kirsty - The Final Reconciliation has now been updated and resubmitted on Flexi Grant.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</si>
  <si>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d- 01/12/2025 email to John O'Brien - Can you or a colleague please advise on the payment status of the attached invoices or if there are any queries preventing payment.  03/03/2026 email to Sophia Grant -  Can you or a colleague advise on the payment status of the attached invoice or if there are any queries.</t>
  </si>
  <si>
    <t>d- 22/07/25 email from James B to various at OUH - Following on from this morning’s meeting, I’ve discussed the next steps with colleagues.  Our receivables team is split between project-related items (generally research, overseen by @Wayne Peters) and non-project items (overseen by @Mark Fyfe). •	@Wayne Peters will send a statement of all outstanding invoices related to projects. This will include the invoice number, invoice date, project name, amount owing, and any other details that may help identify the purpose of each invoice.  22/07/25 email to various -  Further to the email below lease see the attached list of outstanding invoices related to projects, if you require copies of the invoices please let me know.   17/09/25 list of outstanding invoices sent to various at OUP.  09/02/2026 chase to study finance.</t>
  </si>
  <si>
    <t>d- 27/01/2026 email from Matt Chart (grants) - I am writing to advise you that the sanctions for grant MR/V011979/1 have been removed following the MRC instructions and the Final Expenditure Statement (FES) has now been reconciled.   27/01/2026 email from Dean -  this is H7R00850, they are lifting the sanction so we will be paid in full.</t>
  </si>
  <si>
    <t>d-  20/08/25 email from Oscar - Final rec was not submitted, asked Jenny to submit.  11/09/25 email from Oscar -  Final rec submitted on portal now.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</si>
  <si>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f- 45 day payment terms.  d- 30/09/25 chase re payment status.  02/12/2025 email to Euken (dept) - Do you have a contact at Patronus Biotech PTE Ltd I can get in touch with regarding payment of invoices, we have Jingwen.qujingwen@luye.com but not getting a responses.  02/12/2025 email from Euken -  I’m looping in @Fay Nugent, who looks after Simon Draper’s portfolio. Fay, do you or someone in the team have a contact at Patronus Biotech PTE Ltd?  03/12/2025 email from Fay Nugent - I have a contact. She is in Australia so I might not be able to come back to you until tomorrow but I’m on it 😊  04/12/2025 email from Fay Nugent (dept)  - e-mail is qujingwen@luye.com - Known as Cici apparently!  04/12/2025 chase to Cici.  19/01/2026 email to Cici -  Can you or a colleague advise on the payment status of the attached invoice.  20/01/2026 email from CICI -  Apology for the delayed payment. We expect to cover the invoice by mid February.</t>
  </si>
  <si>
    <t>d-  10/09/25 email from Ciaran to Ali Ftaita - Looking into it I can confirm we have never received a PO number from Newcastle, I see we have received 3 previous payments, but these were paid directly by newcastle and Oxford never submitted an invoice. Looking at the contract it also never mentioned a PO number to quote just the grant reference: Please can you help to let Oxford know if this can be paid without  a PO, or if one is required who does Oxford need to speak to to obtain one?  08/10/25 email from Ciaran to Ali - Please can you let me know if you have had the chance to look into my previous e-mail.  13/10/25 email from Ali Ftait to Ciaran -  Apologies for the late reply. I’ve sent the invoice to the payment team, following the same process as with previous invoices.  13/10/25 email from Ciaran to Ali - Thank you very much for the updates, much appreciated.  02/12/2025 email to Ali Ftaita - Can you let me know if the attached invoice has been approved for payment.  03/12/2025 email from Ali Ftaita - The invoice is not paid. It is cancelled by our CFM team.  Please contact CFM Remittances cfm.remit@newcastle.ac.uk If you need further info.  03/12/2025 email to the CFM team -  With reference to the email below regarding the attached invoice, can you let know what the query is with the invoice?  05/12/2025 email from Rachel Hunter -  Apologies that your question has not been answered until now. The invoice is outstanding within my team, and will be paid once we get the funds in from the NIHR. I’m unsure when this will be. The FSTOX has been submitted and we’re waiting for this to be reconciled and final payment made.</t>
  </si>
  <si>
    <t>210169009</t>
  </si>
  <si>
    <t>b-  03/12/2025 chase to grants &amp; finance.  04/12/2025 email from Judith -  HJR02180 210167343; this one is being held as query on previous invoice (210164627) on this grant which has been rolled back for amendment. Pending re-submission.  04/12/2025 email to Judith - Regarding invoice 2104167343 checking our system my colleague has credited invoice 210164627 see credit 210168916 attached, replacement invoice 210169009 also attached.  10/12/2025 email from Judith -  Thank you for the update. Unfortunately, we are not quite there with resolving invoice 210164627.  We had rolled back invoice 210164627 on our grants management system, Grant Tracker, for your team to amend. We would be grateful if the revised invoice could be submitted via Grant Tracker for processing.  We are not able to process invoices emailed to us.  In addition, we were expecting to see a revised invoice for £21300.15 (e. £22231.83 less the overcharge of £931.68) but a further charge seems to have been added to the amended invoice. We would be grateful if the figures could be checked and a revised invoice together with an invoice breakdown uploaded to Grant Tracker for processing.  10/12/2025 email to Junaid -  Please see the email below regarding project HJR02180, can you look into this query and respond to Judith copying me into the response.</t>
  </si>
  <si>
    <t>b- 04/02/2026 comment from Ciaran - Lucy to confirm if FER has been submitted.  10/02/2026 email from Lucy - Chased David C for a response as FER is overdue.</t>
  </si>
  <si>
    <t>d- 23/09/25 email from Joseph (dept) - @Ciaran, could you please share invoice 1 from B9R05022? I don’t seem to find it from the downloads option on R12 reports. I could share the same as I respond to Steven.  23/09/25 email from Ciaran to Joseph - Ah looks like from the attached I asked Wayne to part pay it with the transfer from B9R05021 - that would explain why it hasn't been finalised and you couldn;t find it. Wayne - Please can you part pay 210163776 with 210166196 and I can finalise the invoice and Joseph can get it sent out to the funder.  03/12/2025 chase to Steven Krijtenburg.  09/02/2026 chase to various.  09/02/2026 email from Nancy Jansen-Roelofs -  Good morning, the invoice is unknown because it was returned. The invoice does not have a correct cost center or order number.     09/02/2026 email to Lucy - Please see the email below regarding the above invoice on B9R05022, can you look into the required cost centre and order number and reissue the invoice letting me know when resent.  09/02/2026 email from Lucy to various - Please see the updated version for B9R05022 210163776. Please do let me know if you have any queries.  16/02/2026 email from Joseph (dept) to Steven -  Would you know as to why this invoice is still un-paid from your side?</t>
  </si>
  <si>
    <t>b- 04/02/2026 comment from Ciaran - Tehseen to confirm if FER has been submitted.  12/02/2026 email from Tehseen - FER still in prgress, not submitted.</t>
  </si>
  <si>
    <t>d- 04/02/2026 comment from Ciaran - Dept will be looking into a FER extension request 04.02.26</t>
  </si>
  <si>
    <t>b- 23/02/2026 email from Ukeme to Gavin - I am only just catching up with my emails. Not sure I understand your email. Can you please clarify. All the invoice numbers I listed are for MED1781 – CovBoost. 23/02/2026 email from Gavin to Ukeme - Ok, so the list of invoices you gave were from 2 projects at our end. What you're suggesting is they are the same project. The project budget we're referring to is the one that's £1,618,772.90. The other project that some of the invoices were from have a different code at our end for a budget that was set up for £275k. I'm attaching the agreements for that project. Can you confirm this is the same project or if it is different as if they're the same then we've a big problem at our end that I'll need to escalate? If this project is different then we need to align the invoices between the two.  04/03/2026 email from Jade Rand to Gavin - Many thanks for your email, I just wanted to follow up to confirm receipt of your query. Thankyou for your patience whilst I get up to speed with the project. My initial suspicion is that issue with dual project numbers potentially stems from Oxford being involved from a collab POV as well as a participating site on this project (therefore 2 ‘budgets’), but I would like to verify this. I hope to have confirmation for you by early next week.  05/03/2026 email from Ukeme to Jade - Yes, correct to your suspicion. However, both are account as same transactions. Either way, both project amounts should equal the overall amounts we have paid to Oxford. If this is different, then I think is what to look into.</t>
  </si>
  <si>
    <t>b- 08/01/2026 email from the WAWF portal forwarded to Henry - Has been Rejected by Patricia Nee on 2026/01/06. Status is Rejected. Reason for rejection: all final reports are past due. Please submit reports before submitting a final voucher.  12/02/2026 email from Henry - James smith dealing with it - Ticket: KCW-ZXCWG-586 - Chase up with James</t>
  </si>
  <si>
    <t>d- 30/09/25 chase to various.   01/12/2025 chase to research finance.  09/03/2026 chase to various.</t>
  </si>
  <si>
    <t>d- 06/10/2025 chase to finance.  d- 12/11/2025 email to Zainab Camara - Thanks for your email, please see attached copies of the invoices.    12/11/2025 email fro Saba Kinate -  Can you please tell us the name of the person , who is responsible for this invoice for each invoice. With out this information we won't be able to process your invoice.   12/11/2025 email to Saba - Thanks for your email, the contact person for each invoice is below.    12/11/2025 email from Saba to all - Please check the attached invoices and send it back to us for a registration.  26/01/2026 chase to the invoice team.  09/03/2026 chase to various.</t>
  </si>
  <si>
    <t>d- 14/11/2025 email from Gareth to Gloria - Could I please chase up for clarification if my response on the 3rd November to your queries and with the travel form mean that these invoices have now been accepted?    10/12/2025 email from Gareth - 10.12.25 chased funder if response to queries on Nov 3rd means invoice can be rleased, or if there are other issues to resolve.  Emaill from Gareth -  12.01 chaser email sent to funder.  05/02/2026 email from Gareth to Gloria - Apologies for the delay in responding to this, I have amended the date on invoice 210163940 to reflect the costs period, as a credit note was issued on 21 Feb 2025, which threw off the dates completed automatically by the next invoice. Below are the responses from the department to your queries, please let me know if this has resolved the issues with this invoice, or if there any further problems you need me to look in to. Chan did leave to start on his BHF CRTF award which started 15-Jan-2025.  2354918 - this looks like it should be C Xie looking at our payroll report. They used to be on this grant before they left and these lines look like they relate to clinical salary uplift arrears. For Badi - looking again at the payroll I can see that she has been paid correctly at 1 FTE for these months but the previous invoice had some arrears on it and this invoice is the start of the removal of the Oxford Weighting which should account for the difference BHF are seeing.</t>
  </si>
  <si>
    <t>d-  03/12/2025 email from Mikka to Donna - My figures differ from the ones below, which are difficult to follow as some are debits and some are credits, we don’t recognise the category ‘miscellaneous’, and your table doesn’t show your starting budget to agree back to. Please see my breakdown of the figures, showing the DI Other budget being overspent by £226.47. Please check against Oxford’s invoices on the projects and let me know if you find any differences in our figures.  Email from Donna - 10 12 25 Cristina has updated transactions. Need to redo our side. I will work on this ASAP.  Email from Donna - 14-1-26 costs have been removed. I have offered to rais a creidt note. If department agree, I will reach out to the funder and ask if that will suffice. IN advance of the next invoice period.  15/01/2026 email from Donna to Mikka - I am hoping this will assist with this issue. I have raised a credit note which brings the invoice figures in line with actual updated costs. this is attached.    16/01/2026 email from Mikka to Donna -  Yes, this corrects the overspend. I have asked the department to pay your invoices.    12/02/2026 email from Ellie to Mikka -  Further to your email confirming you have requested for these invoices to be paid I wondered if you had an estimated payment date you could provide us with please?</t>
  </si>
  <si>
    <t>h- 03/12/2025 email from Sarah Edwards  (ap) - Thank you for contacting Accounts Payable. We are unable to process the attached invoice due to it missing a USC 8 digit purchase order number. Please contact the department that placed the order to obtain a purchase order. Once you’ve received a purchase order number, please submit the revised invoice to acctspay@usc.edu for processing.  04/12/2025 email to Matthew -  Please see the email below regarding the attached invoices, can you obtain a PO number and resubmit the invoices letting me know when resent.  08/12/2025 email from Matthew to ap -  Please could you kindly provide a PO for the two attached invoices? This hasn’t been a previous requirement for any of the other invoices we’ve submitted for payment. I’ve also attached a copy of the agreement for your reference.   12/12/2025 - Follow up email sent to funder.  Email from Matthew - 07/01/2026 - Follow up email sent to funder.  13/02/2026 - Need to review why attached invoice for 10/01/25 – 12/31/25, but my understanding is the subaward agreement ended 07/31/25.</t>
  </si>
  <si>
    <t>d- 09/01/2026 email from Dylan (dept) to Lucy &amp; Gloria - Apologies, looks like this was missing from the original travel claim form but I have updated this and attached.  09/01/2026 email from Gloria to Dylan - Many thanks for providing this. I can see that two conferences took place, one in December 2024 and another in January 2025. In order to reconcile the listed items on the travel claim form, could you please send me a breakdown (preferably in Excel) of the claims, separated for each conference, and giving a total for each conference. Also, could you mark on the receipts whether they are for December or January, so we know which receipt corresponds to which conference.    13/01/2026 email from Dylan to Gloria -  No problem, I have been working on this today but when splitting everything out it actually seems like there are 4 different conferences on this form.  I think it best that I split these out onto separate travel claim forms to make it easier. Does that work for you or is that a bit much for one invoice? I think because this claim period is a bit longer than usual it has pulled through a lot. Let me know what you think.  13/01/2026 email from Gloria to Dylan (dept) -   Thank you so much for looking into this for me. I appreciate the effort you're putting in! Yes, please go ahead and split these into separate travel claim forms. If you could also identify each receipt for each claim form, that would be extremely helpful.  14/01/2026 email from Dylan (dept) to Gloria &amp; Lucy -  Please find attached x4 travel claim forms and excel sheet. Each form has the relevant receipts included so hopefully that is clear for each but do let me know if anything looks like it is missing or if you have any questions.</t>
  </si>
  <si>
    <t>d-  02/12/2025 email from Ciaran to Karen (dept) &amp; Gabrielle - Thank you for getting in tocuh on this one, we'll be able to get a credit jnote sent out to BHF. Gabrielle - Please can you finalise the credit note as mentioned below that some more equipment costs have been rmeoved from the project. i have pulled through a draft invoice to Mar 23 and all looks as expected (in line with the initial invoice). Please can you release and create the credit note and as per the norm pass for approval.  Once approved please can you submit back to BHF in this chain (please strip out our internal chats) and they should then pay this. Also can you ask Wayne Peters to allocate the credit note against 210119067, as this will leave a revised balance due which will match to what BHF will pay.  09/12/2025 email from Ciaran - This is now formally with Gabrielle to look into (MRS-HMHGG-435) please can you transfer this one onto Gabrielle's list going forward.  13/02/2026 email from Gabrielle -  Credit note 210170465 to be applied against invoice 210137088. Credit note sent to BHF 13/02/2026</t>
  </si>
  <si>
    <t>b- 90 day payment terms.   03/12/2025 chase to ap.  03/12/2025 chase to Susan Wildman.  10/02/2026 email to Liz Steindl - we’ve been trying to get in touch with Susan Wildman regarding payment of the attached invoice but without a response, can you or a colleague help with this?  11/02/2026  email from Liz - Thank you for reaching out. I don’t have much direct interaction with the groups outside MICT but I will do a little investigation to see if I can find the right person to get you a response. I am sending some internal follow ups so please let me know if someone gets back to you!  12/02/2026 email from Liz -  I was informed that Susan is currently out of office through 13Feb and returning Monday. Is this inquiry urgent? Otherwise, I recommend sending her a follow up once she returned and if you do not have a reply next week, I can try to internally escalate.  12/02/2026 email to Liz - Thanks for your email, this can wait until Susan is back.  24/02/2026 email from Jo Stevens - Your e-mail below has finally made its way to me and I think I will be able to help! We have been trying to seek some information from Dr Fullerton to allow us to process this invoice.  We were under the impression that this study had been paused, however if the study has progressed to closure then we will require confirmation in writing from Dr Fullerton that both the 50% enrollment and 100% enrollment milestones have been reached. Maybe you can help us with that?  Once we have this we will be able to process the invoice attached.  25/02/2026 email to the dept -  Please see the email below regarding the attached invoice, can you advise Jo if the study in progressing and if Dr Fullerton can confirm this, can I be copied into the response.</t>
  </si>
  <si>
    <t>d-  02/10/25 email from Donetta - Thank you for checking. Yes, the checks can be cancelled and reissued. Our policy is to remit payment to the remit address on the invoice, though we can likely send to the address below; I’ll confirm. Could you please confirm if PO Box 1515, Oxford, OX1 2XN, United Kingdom is valid? Our records show previous payments were sent there.  03/10/25 email to Donetta -  Thanks for your email, I’ve had confirmation from our Cashiers Department that the PO Box 1515 and post code OX1 2XN are valid for the cheques to be reissued.  03/10/25 email from Donetta - Thank you for confirming with the Cashiers Department. I appreciate your assistance in ensuring the checks can be reissued. I will go ahead and have them reissued to the PO Box 1515, Oxford, OX1 2XN address.  09/10/25 email from Donetta -  I wanted to provide an update that the checks have been reissued to the PO Box 1515, Oxford, OX1 2XN address. The new check numbers are 5780058 and 5780057.  01/12/2025 email to Donetta - Thanks for your email, to confirm we received the two cheque numbers 5780058 and 5780057 for invoices 210160726 &amp; 210161395, can you let me know if cheques have been sent for the attached invoices.  19/12/2025 email from Donetta -  We are working to process invoice 210164215 and will follow up once it has been sent.  29/01/2026 email to Donetta -  re the attached invoice 210164215 has payment been made for this.  29/01/2026 email from Donetta -  Yes, invoice 210164215 shows that check# 5802045 was issued as of 1/28/26. Please expect to receive it soon.</t>
  </si>
  <si>
    <t>d- 16/10/25 email from Kirsty Naylor - This reconciliation has been submitted to us and is awaiting our review.    19/01/2026 email to finance - Can you let me know the payment status of the awards listed on the attached.  19/01/2026 email from Kirsty (fianance) -  Reconciliations for awards that have not been submitted to us yet.  19/01/2026 email to Oscar -  Please see the email below regarding projects H3R00640 – 210160462 &amp; H6R00440 – 210164271, can the requested reconciliations for the project be submitted to Kirsty copying me into the response.  19/01/2026 email to Anna - Please see the email below regarding project HFR02340 - 210162859, can the requested reconciliation for the project be submitted to Kirsty copying me into the response.  21/01/2026 email from Oscar to Kirsty - With regards to C53005/A27691 I can't see any reason why this wasn't submitted, I've now submitted the final reconciliation on FlexiGrant.</t>
  </si>
  <si>
    <t>d- 06/10/25 chase to finance.  07/10/25 email from Shaila Seneviratne - We have received the other two invoices 210164285 ad 210165639, but they are still with our Research team and have not been approved for payment yet. I have asked them for an update , and will let you know what they say as soon as possible.  23/10/25 email from Shaila -   Further to my previous email below, I just wanted to update you on invoices 210164285 and 210165639 which are both still outstanding. I have spoken to my Research team colleagues who have said the following : Invoice 210164285 -  This invoice for MRF-159-0005-ELP-CLAR-C0953 is on hold because we are awaiting a change request form. My research team colleague Kerry had been in touch with the PI about this in Late August but has not had the form from them yet. A copy of her last email to them is attached here. I would be grateful if you could follow this up with the PI and ask them to send the required form to our research team asap.  24/10/25 email to the dept - Please see the email below highlighted and the attached regarding the attached invoice, can you help Shaila with the request copying me into any correspondence.  09/12/2025 email to the dept - Further to my email regarding the attached invoice can you help with this.  26/01/2026 chase to finance.  23/02/2026 email from Shaila -  Thank you for your email. Apologies for the delay in getting back to you. Please be advised that we have recently paid invoices 210170087 and 210168665.  For invoice 210164285, we are currently processing a change request for the award to which it relates. If there are no issues with the request, then the invoice should be approved either this week or next week.</t>
  </si>
  <si>
    <t>d- 06/10/25 chase to ap.  13/10/25 email from Cammy Paxton - My colleague, James Burnett, will be looking into the other invoice.     01/12/2025 chase to ap.   03/12/2025 email from ap to grants - Thank you for your email. Please note both these invoices were sent to Research Grants previously as the POs on both invoices had been fully used and we require new POs to be raised. Until we have received invoices with the new POs quoted we are unable to process. Research Grants – please see the attached invoices which both require POs.   19/01/2026 email to ap &amp; grants - Can you let me know if PO numbers have been generated to allow payment of the attached invoices.   03/03/2026 email to all -  Can you let me know if the attached invoices have been approved for payment.  04/03/2026 email from AP -  We are unable to process invoice 210164336, 210168639 as the po’s quoted on the invoices have already been fully matched against other invoices. Maggie Pearson/James Burnett  can you please advise the supplier of the correct po number they should be quoting for the above invoices.</t>
  </si>
  <si>
    <t>d-  08/01/2026 email from Christian Rassi to Dani - as per my email before the holidays, we are still looking into this issue internally. We will get back to you once we have determined the facts. I'm copying Tom Heslop, Malaria Consortium's interim Finance Director.  20/01/2026 email from Tom Heslop to Dani (dept) plus -  We also note that the contract stipulates that the amounts stated are "inclusive of all associated taxes, duties, or other levies that may be incurred by the University in the performance of its obligations under the contract." On this basis, we consider that, in principle, the University would be liable for meeting the withholding tax requirement. However, as this requirement was not flagged by Malaria Consortium during the contracting process, and in recognition of the work undertaken by the University and our desire to maintain a constructive working relationship on ongoing and future projects, we have obtained approval from our Chief Executive to cover the withholding tax from our own funds on this occasion. We will therefore proceed with payment of USD 75,520.60 to your account over the coming days.  03/03/2026 email to Danielle - Re the emails below have you had any further emails from Tom we have not received the payment yet?  03/03/2026 email from Danielle to Tom - Please may I follow up on when we will receive this payment?  05/03/2026 email from Tom to Danielle - Please accept my apologies. I was under the impression this had been paid. I’m speaking to our team to get the transfer processed as soon as possible. Sorry for this situation.</t>
  </si>
  <si>
    <t>b- 90 day payment terms.  15/12/2025 email from Daniel to various - Please find attached the latest invoice ( 210170230 ) relating to Project AJR01260 as requested. The purchase order for project 2988 is 82443513 and is also detailed on the invoice. The invoice includes the request for Milestone 5, 6 and 7 as requested.  24/02/2026 chase to ap.  26/02/2026 email from Anjali Batra (ap) - Request you to please re-submit the invoices 210170230 and 210164376  with Prefix or suffix on Ariba Network, so that Invoice won't be marked as duplicate in the system.  27/02/2026 email to Daniel - Please see the email below regarding the two above invoices on project AJR01260, can both be submitted on the Ariba portal letting me know once submitted.  05/03/2026 email from Daniel to ap -  In respect of the two invoices for Project AJR01260, these are the final invoices for this project and the previous ones have been sent to you directly (email) as requested and paid - please could you consider doing this for these as well. I have looked at the contract for this project and it makes no reference to using a portal to submit invoices either. In the future for new projects we could certainly use the portal.</t>
  </si>
  <si>
    <t>82443513</t>
  </si>
  <si>
    <t>b- 02/10/25 email from Ciaran to Kelvin - Thank you. To confirm - we do need to send an invoice to claim what is owed? I ask as the first instalment was simply sent on by the lead, with no claim. Often then, the FSTOX triggers a final payment.  14/10/2025 email from Jamie to Kevin Glister -  A colleague at department level has passed on your contact details for this specific project. They have reconciled the award, and the attached FSTOX has been authorised.  09/12/2025 email to Kevin Glister-Byers -  With reference to the email below and the attached can you help with this?  09/12/2025 email from Kevin -  Is your query regarding final payment for this award? I have now left the team that deals with ASTOX submissions and partner payments. However, I see the project was extended to 31/03/2026 and the final payment will be on receipt of funds following publication of the final report, as per the CA Amendment (signed by Claire Prenter, Research Contracts Lead – Oxford, on 16th June 2025).  23/01/2026 email from Oscar to John (dept) - Can you confirm if this payment from Newcastle relates to the FSTOX submission for HJR03110 NIHR134145? We were expecting a final payment of £5,303.28, has any reason for this reduced figure been given? Will the remaining £4,503.73 still be paid?  27/02/2026 email from Oscar to the dept - Have you had a chance to look into my previous email? Please advise whether we can expect the remaining £4,503.73 FSTOX amount to be paid. Are you aware of anything holding up this final payment?</t>
  </si>
  <si>
    <t>b- 03/03/2026 chase to ap.  05/03/2026 email from Samrawit Geday (ap) - Thank you for your email. Invoices 210164683 and 210172278 are currently waiting to be receipted on the system. Please contact the end user for further information.  05/03/2026 email from Hollie Wagg to Oscar -  We are really having trouble matching the amounts owed to Oxford for the Stravinsky study. The last invoice sent to us was way over us and finance say we owe and what has left the budget. We have already paid £532,475.52 according to the finance reports, and adding this one in will take you up to £710,475.52 which is not what is on the collaboration agreement. Therefore by our calculations you are owed £42,268.67 and not 178k. Can you please confirm the attached amount is correct your end please, we only have another week of this budget being live so we really want to get this resolved asap.  05/03/2026 email from Oscar to Hollie - Could you please provide a list of payments you've made to us for this project? According to our system as per the breakdown attached we have invoiced for £574,629.09 on this award with £285,682.94 still outstanding.</t>
  </si>
  <si>
    <t>d- 16/10/25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</si>
  <si>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d-  01/12/2025 email to John O'Brien - Can you or a colleague please advise on the payment status of the attached invoices or if there are any queries preventing payment.   03/03/2026 email to Sophia Grant -  Can you or a colleague advise on the payment status of the attached invoice or if there are any queries.</t>
  </si>
  <si>
    <t>d- 16/10/25 chase to finance re award status.  16/10/25 email from Kirsty Naylor - This reconciliation has been submitted to us and is awaiting our review.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</si>
  <si>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h- 17/11/2025 chase to ap.  18/11/2025 email from Martina (ap) - Imperial College operates a 'no Purchase Order, no pay' policy.  Any invoices submitted without quoting an official College Purchase Order Number will be rejected and returned.  I am returning the attached invoice which we are unable to pay because it does not quote a College purchase order number.   18/11/2025 email to Henry - Please see the email below regarding the attached invoice, can you obtain a PO number and reissue the invoice letting me know when resent.  15/12/2025 email from Henry -  Sent in invoices to be paid to new contact at Imperial who said will take care of it. Haven’t been provided PO number.   07/01/2026 email from Henry - I am awaiting a PO for this invoice and for 210167753. I have chased it up. As soon as I hear back I will let you know.  Chased up 12.02.26</t>
  </si>
  <si>
    <t>d- 09/12/2005 email to various -  Can you let me know if the attached invoice has been approved for payment.  10/12/2025 email from the invoice team -   This needs to be receipted by the requisitioner before the accounts team can match for payment.  03/03/2026 chase to the query team.</t>
  </si>
  <si>
    <t>a- 06/08/25 email from Seun (dept) to Ann Mills Duggan - Many thanks for your response. Unfortunately, we did not hear from Wellcome about the report at that time, maybe due to the change of hands. All ethics approvals are in place, and an updated report will be forwarded. Please share a copy of the Third Amendment with me.   06/08/25 email from Ann to Seun - Thank you for the update and apologies on behalf of my predecessor that there was no response from us previously. We will need a Milestone Report setting out achievement of all the criteria for Milestone 4 so that we can begin the approval process here: funds can be released only after this approval. Here is what I have for Milestone 4: I will send the full Amendment through separately.  22/09/25 -  Waiting for dept to submit milestone report.  21/11/2025 comment from Ciaran -   LA ticket NBQ-TZHSB-657 from Aug states WT waiting on milestone report. One for Henry to chase.  15/12/2025 email from Henry -  Chased up with dept 15.12.25. Email from Henry chased dept again 19/01/2026.  Email 12/02/2026 from Henry -  This milestone not due yet, will forward on when its due.</t>
  </si>
  <si>
    <t>d- 10/10/25 email to various -  Can you let me know if there is any update regarding the status of the attached invoices.  27/10/25 email from Nicola Shrimpton (ap) to Emma Rutherford - Can you please confirm the p/o for the attached invoices.   24/11/2025 email from Nicola Shrimpton to Emma Rutherford - Can you please confirm the p/o’s for the attached invoices.   d- 09/12/2025 email to various - Can you let me know if the attached invoices have been approved for payment or if there are any queries.   09/12/2025 email from Nicola Shrimpton to Emma Rutherford - Can you please confirm the p/o for the attached invoices.    19/01/2026 email to various -  Can you let me know if PO numbers have been generated to allow payment of the attached invoices.   03/03/2026 email to all -  Can you let me know if the attached invoices have been approved for payment.</t>
  </si>
  <si>
    <t>210174197</t>
  </si>
  <si>
    <t>d- 10/10/25 chase to ap.   01/12/2025 chase to various.  23/01/2026 chase to research. 26/01/2026 email from ap -  All other invoice have been forwarde to our processing team.</t>
  </si>
  <si>
    <t>b- 13/02/2026 email from Gavin - Unsure why the invoice balance is only partly paid. Department confirmed in December that the reporting for this period was only just done. Do you know when the part payment was made?  23/02/2026 email to Gavin - re project HNR03220 we received a payment of $52,809.69 on 28/02/2024 part applied to invoice 210146668 $36,116.00 &amp; $16,693.69 to 210165026, then on 07/05/2024 we received $96,121.06 part applied to invoice 210158351 - $70,474.65 with the balance of $25,646.41 to invoice 210165026.  25/02/2026 email from Gavin - Ok, that's a bit complex. Is there any reason why they've done this or do we need to query? Also, any action to amend things on my side?  25/02/2026 email to Gavin -  Can the dept confirm with CEPI how much has been paid for this project?  25/02/2026 email from Gavin to Euken (dept) -  Euken, can you please take a look at the email trail below?</t>
  </si>
  <si>
    <t>g- 31/10/25 email from Laura to James B - I will take a look into this.  I will be honest it is unlikely to be today.  But I will look early next week.  19/11/2025 email from James B to Laura - Thanks Laura. @Stephen Barker we may need to take this centrally. Should I write back to Heidi accordingly? I’ve added this as a specific (non-departmental) provision for Q1.  01/12/2025 email from James B to Heidi (dept) - For BWR01540, we have created a central provision for this debt. Once the funder’s debt restructuring is complete, and we have been notified of any debt recovery, we will write off any unrecovered funds centrally.  01/12/2025 email from Heidi to James -  Many thanks for both of your replies, much appreciated. The dept is happy to accept your suggestions re both debts. Please let us know if you need us to do anything else, pending any provision we add to our Q2 figures.   02/12/2025 email from James to Heidi -  Many thanks for getting back to me Heidi. We’ll create the agreed provisions during our usual quarterly BDP process, in early Feb 2026 (for the Jan-26 books). No further action required from you on this point.</t>
  </si>
  <si>
    <t>210169452</t>
  </si>
  <si>
    <t>DUR00902</t>
  </si>
  <si>
    <t>QUaCR FS Eng Sci</t>
  </si>
  <si>
    <t>Ballance, Dr Christopher</t>
  </si>
  <si>
    <t>W911NF-20-1-0038-P00004</t>
  </si>
  <si>
    <t>b- 26/01/2026 chase to payments.  03/03/2026 email to Anna - Re invoice 210165052 looking at Liveagent invoices should be sent to the University of Birmingham, can this invoice be cancelled and reissued can you let me know when resent.</t>
  </si>
  <si>
    <t>d- Payment expected end of March 2026</t>
  </si>
  <si>
    <t>d- 29/12/2025 email from Alison - I attach the invoice as received with the total value of £99,999.79 hence this was the amount paid.  05/01/2026 email to Gavin - Please see the emails below regarding the attached invoice, the invoice sent out excludes VAT the invoice on Oracle includes VAT, can you raise a further invoice for the VAT only and send this to Alison copying me into the response.  14/01/2026 email from Gavin -  Do you know how I should go about doing this? I can check with someone in my team if need be. There'll be a balance of the £19k left outstanding on that invoice so presumably this new invoice would then have to be cancelled afterwards?  14/01/2026 email to Gavin -  You either send a further invoice for the VAT only - £19,999.96 with a note relates to original invoice 210165056 payment of £99,999.79 already received, or send a credit note for the incorrect invoice and send a revised invoice including VAT with a note payment of £99,999.79 already received VAT only needs to be paid, check with the funder which they would prefer.  21/01/2026 email from Gavin - I've raised the invoice for the VAT only and will get it sent to them once approved.  04/03/2026 chase to ap.  04/03/2026 email to Alison -   Thanks for your email, sorry about this my colleague who raised the invoice stated the wrong invoice number please see the correct invoice attached.  04/03/2026 email from Alison -  For some reason, you didn't charge VAT on your invoice 210165056 and then we were invoiced and paid the VAT separately on invoice 210172259 which I have attached. Does that reconcile with your records?  04/03/2026 need to correct allocation re invoice 210172259 move part cash to 210165056 and get 210172259 cancelled.</t>
  </si>
  <si>
    <t>b- With Ellie</t>
  </si>
  <si>
    <t>b-  14/01/2026 email from Jonasus to the dept -  May I please kindly chase up on this? - May I ask for a response by the end of today?    14/01/2026 email from Sulma to Jonasus - Thank you for the email following up.  An update- this week I’ve been in contact with the collaborator as it appears the invoice needs to be looked at/changed, this has lead to the delay in getting this sorted. I’m sure this will be sorted soon, I’ll keep you in the loop/ let you know when we can go ahead.  29/01/2026 email from Jonasus to the dept -  Sorry to chase up on this. Please may I ask if there is an update regarding this?  02/02/2026 email from Sulma (dept) to Jonasus -  re invoice 210169430 - I’m still waiting on the Cambridge Babraham collaborators to get back to us with the signed collaboration agreement. We need this before the invoice can be paid.  I appreciate the delay is taking longer than expected.  09/02/2026 email from Jonasus to the dept - May I kindly chase up on this? - have we progressed further with the collaboration agreement?</t>
  </si>
  <si>
    <t>e- 04/03/2026 awaiting approval by Stephen.</t>
  </si>
  <si>
    <t>d- 09/12/2025 chase to various.  09/12/2025 email from Elin Meek - Thank you for your email. We have not received these funds from ESA. We hope to have these soon and will process your invoice as soon as we can. Apologies for the delay.  04/03/2026 emaill to Elin -  Thanks for your email, can you let me know if you have received from ESA yet?  04/03/2026 email from Elin -  Our finance team raised the invoice for this payment with ESA a couple of weeks ago, so we should have the funds. I have forwarded your invoice to our finance department again, so it is at the top of their email. They should get back to you this week. Any issues please let me know.</t>
  </si>
  <si>
    <t>b-  01/12/2025 chase to research finance.  02/12/2025 email from Paul Linford - Invoice No 210165397 has been raised to Warwick in error .. UHCW are the contractual lead for this award, and all invoices should be raised to them (The attached e-mail contains a copy of the Collaboration Agreement which details the invoicing requirements). Please confirm the cancelling of this invoice.  02/12/2025 email to Anna - Please see the email below and attached regarding the attached invoice this will also apply to invoice 210169540, can you reissue the invoices as requested letting Paul know when cancelled copying me into the response.  11/02/2026 email from Anna - query with NIHR</t>
  </si>
  <si>
    <t>d- 11/09/25 email from Tehseen to Janine Carter -  Apologies for the delay in coming back to you. Please find the credit note for invoice 210134599 attached.  I have had a look and it seems that this was sent to ResearchFinance@gmmh.nhs.uk on the 15th November 2023. Also We have had many subsequent invoices that have all been paid so it would seem that this was resolved at the time. The only invoice we have outstanding for this project is invoice 210165429 which was sent on 18/08/2025.  09/12/2025 chase to finance.  26/01/2026 chase to various.  04/03/2026 chase to Tony Morrison.  05/03/2026 email from Jo Bryant -  I’ve liaised with our Head of R&amp;I to confirm the invoice is fine to apporove so this should be cleared in the next couple of days.</t>
  </si>
  <si>
    <t>e- Refund March 2026</t>
  </si>
  <si>
    <t>b- 09/02/2026 email from Oscar to Jonida (dept) - I've now received a response from the funder as per below, please advise how you would like me to respond?  10/02/2026 email from Jonida to Oscar - I’m expecting the travel invoices soon  as the site are being a bit slow. I will also get the Trial manager to comment on the figures.  I will update you accordingly.  27/02/2026 email from Oscar to Jonida - Has there been any progress with this?  02/03/2026 email from Jonida to Imoen - Further to the previous conversation regarding site invoices for patient travel, could you please advise when should we expect this invoices? Given that 50 patients have been recruited so far, clarification on the comparatively low level of expenditure would be appreciated. As previously discussed, the funder has requested a report on actual costs incurred. It would be beneficial to include appropriate justification to accompany the reported figures.  03/03/2026 email from Imogen North to Jonida -  Thank you for your email. Following our call last month, I contacted all sites requesting invoices for both the participant visit fees and participant travel costs.  I have had responses from 5 of the 8 sites that have recruited participants, all of which have requested to invoice for participant visit fees and not any participant travel costs.  I am going to raise the claiming of participant travel costs at our upcoming TMG on Monday 9th March, and will hope to have some feedback on this by the end of next week.  05/03/2026 email from Steph to Jonida - The hospital site lead doctors will be attending the TMG meeting, so they should be able to either comment on why these aren’t being claimed, or ensure that this occurs.</t>
  </si>
  <si>
    <t>b- 09/12/2025 email to finance -  Further to my email below we have invoice 210165540 outstanding for payment the amount due is £52,279.03, can you let me know if this invoice has been approved for payment.  25/02/2026 email to Sharmila - I don’t know what the CAD amount is as we can only see the amount in GBP paid by the funder, the funder may have sent us the correct amount of $56,667.00 in CAD but we can’t see this.   Re invoice 210165540 you should be able to credit this and no payments have been applied to this.</t>
  </si>
  <si>
    <t>b- 09/12/2025 chase to finance.  11/12/2025 email from Deb Sowden - Can you please confirm that this invoice has been fully submitted to Flexigrant (this is how all medical grant invoices are processed for payment). I have just checked and there is an invoice from yourselves which is in progress.  You need to press the final submission button so it can be processed for payment.  11/12/2025 email to Junaid - Please see the email below regarding the above invoice on project HJR01910, can you check if the invoice has been submitted on the portal and if the final submission button has been pressed, and respond to Deb copying into the response.  04/03/2026 email to Junaid -  Re my email below has the invoice been submitted on the portal and have you responded to Deb?</t>
  </si>
  <si>
    <t>f- 45 day payment terms.   09/12/2025 chase to ap.  04/03/2026 chase to various.  05/03/2026 email from Irem Mueed to Jonathan Lachica -  Can u please proceed with the attached invoice from Oxford for Bernice`s PPM5 project?</t>
  </si>
  <si>
    <t>d-  24/09/25 email from Justin (dept) to James B -  I spoke with Lewis (now left the University) and thought this case had been closed,  could you follow up with the Research Accounts grants team ? The final expenditure statement should have been submitted.   25/09/25 email from James B to Ops - @UAS Research Accounts Operations do we have any update on when the outstanding debt on HQR01630 will be paid by the funder? Apparently there should be no further queries on this and we are just waiting for payment, is this as we understand it?  30/09/25 email from James to Justin (dept) - Just picking this up as Lewis has left but FYI the Research Accounts contact for HQ will be Gareth Hemmings from tomorrow. As per a previous email (excerpt below), it appears that the final statement has been approved and the penultimate and final payments will be released once the project results are published. Could you confirm if there is a timescale for when this is expected to happen?  01/10/25 email from Justin to James - The NIHR asked for some final formatting changes to the report.  I will let you know as soon as it is submitted.  01/10/25 email from Justin (dept) to James - Further to below,  the PI just checked with NIHR – all our tasks are complete. The main report was uploaded in July and accepted. Will be published in a week or so.    09/02/2026 chase to academy awards.</t>
  </si>
  <si>
    <t>d- 29/10/25 chase to finance.  01/12/2025 chase to finance.  04/03/2026 supplier query form submitted online.</t>
  </si>
  <si>
    <t>d- 09/12/2025 chase to Gail Stone.  10/12/2025 email from Gail - I was surprised to receive your email since I thought that we were up to date before Felix's 3month Fellowship over the Summer. However, as soon as I  get home from work this evening I 'll check and get back to you.  04/03/2026 email to Gail Stone - Can you let me know the payment status of the attached invoices or if there are any queries.</t>
  </si>
  <si>
    <t>d- 09/02/2026 chase to academy awards.</t>
  </si>
  <si>
    <t>d- 09/12/2025 chase to finance.  04/03/2026 chase to finance &amp; Mark Goulding.</t>
  </si>
  <si>
    <t>d- 09/12/2025 chase to Kate Jones.  10/12/2025 email from Kate Jones - Sorry I thought someone had gotten back to you regarding the queries we had on these invoices. The original grant agreement with Oxford Uni was for £47,880 so I was expecting invoices for £11,970 per quarter, the invoices you have sent for Q1 and Q2 are significantly less than expected, could you let me know why this is?   10/12/2025 email to Donna - Please see the email below regarding the invoices on project BZR07050, can you look into this and respond to Kate copying me in.  10/12/2025 email from Donna to Kate - I have asked the research department to provide an explanation of the lower figures. As soon as they get back to me I shall forward what they say.  Email from Donna -  4-1-25 chased department again with urgent tag.  03/02/2026 email from Donna to Kate - There has been a delay in allocating cost to this project but this will balance out as the project progresses. The department  have forecast and expect to be to be fully spent by the end of the project I hope this explanation is of assistance and is good enough for you to release the payment of the invoices. Please let us know if you need additional confirmation.  12/02/2026 email from Ellie to Kate - Please can you confirm whether invoices 210165591 and 210168716 are now approved for payment? If not, please can you let me know what else you require from us in order to release payment?</t>
  </si>
  <si>
    <t>b- 30/10/25 email from Fiona Karimjee to Gavin - My apologies if Wayne (cc’d) has asked you to send me some detail about the above when you’ve already sent the detail I originally requested. [That detail I need is for inv 210164059 relating to Dr Colin Reveley (£11,400.08).] What I’m after for the attached invoice (Dr Katherine Coldwell) is a list of the Consumables (£116.50) &amp; Other Direct Costs (£899.31) with invoices/ receipts for line items &gt; £100.  14/11/2025 email from Gavin - Chased department who need to provide receipts for expenses to the funders.  Email from Gavin -  14/1/26 - Chased department to see if backup has been sent.  13/02/2026 email from Gavin -  Department has provided backup as requested, have chased funder on whether this is sufficient and if payment has now been made.</t>
  </si>
  <si>
    <t>d- Had prefinance from Imperial, reports have been resubmitted pending payment from the commission end of January 2026</t>
  </si>
  <si>
    <t>h- 06/11/25 email from Gareth -  Have we had anything paid for invoice 210165708 for project HQR03220, as the department is chasing.    06/11/25 email to Gareth - Please see attached email has this been resolved?  13/11/2025 email from Ann-Marie Stratham forwarded to Gareth - Please find attached an invoice raised by Research Accounts that has been returned from the Trust.  Email from Gareth -  14.11 emailed dept query on PO code.  10/12/2025 email from Gareth to Justin &amp; Julie (dept) -  Could I please chase up my previous email if you are aware of a different payables code for this project, or if you have any contact details for someone with the funder who may be able to help.  06/01/2026 Email from Gareth to Tracey Shepherd -- The attached invoice for project HQR03220 was submitted in November, but returned for not having the correct PO number referenced. I have checked with the department and invoicing section in the project agreement, and can only find a requirement that the reference NIHR 204413 be quoted on invoices, which has been done and the invoice returned again.  Email from Gareth -  23.02 chased funder for PO.</t>
  </si>
  <si>
    <t>NIHR 204413</t>
  </si>
  <si>
    <t>b-  18/12/2026 email from Mark Grundy - So, it turns out that this project wasn’t so straightforward after all. We have received income for our partners that we have to pay. As such, I don’t think that credit note 210165709 needs to be refunded to Innovate. We have cash on the balance sheet and I think that this credit now belongs there too. I’ll check it with Dean in the New Year, I can’t get it to add up. As you can see, they paid us exactly what was needed to close down our award.  13/01/2026 email from James - I wanted to check to see whether the refund had been placed on hold while Mark investigates the issue on the project.  13/01/2026 email to James -  I’ll not process the refund until I hear more.  Mark to speak to Dean for advice on this one. Have asked for an update 13/02/26</t>
  </si>
  <si>
    <t>b- 25/02/2026 email to James - Thanks for the update, re project DUR01380 and invoice 210165715 I think the outstanding balance against the invoice needs to be cancelled?</t>
  </si>
  <si>
    <t>d-  23/02/2026 email to Ellie - Please see the email below regarding the invoices on project HMR05210, can you forward to Claire the breakdown of costs for invoice 210169643, also can you look into the invoice for the value of £113,541.25, can I be copied into the response to Claire.  03/03/2026 email from Ellie to Claire Vignard - The breakdown was included pages 2 onwards on the invoice. I can confirm staff costs and consumables are correct. As the project is coming to an end the department still has to finalise spend before we issue the final invoice. This will capture any additional staff costs but it is likely that the staff costs decrease as the project winds down. In regards to consumables, we were under the impression that virement between budget headings was permitted as per page 3 of the fully executed agreement which reads 'virements between budget category shall be permitted by and in accordance with the Head Terms'. Therefore, as staff is underspent it would seem an overspend of consumables would be allowed. In regards to invoices on this grant, I can confirm there is no invoice for the value £113,541.25. I have attached a spreadsheet of all invoices on this grant in case it is helpful.  04/03/2026 email from Claire Vignard to Ellie - That’s all clear now, I will deal with the invoice at my end and make sure it is passed onto our payment team.</t>
  </si>
  <si>
    <t>d- 15/12/2025 email from Stacey (finance) to Gareth - I’m just following up on the email thread below again as haven’t received any response. We are due to pay you for two recent claims but need invoices to be submitted via the Coupa purchase to pay system in order for payment to be made against PO number #MDC00003096.  Please could somebody advise if you are able to please upload invoices or let me know if you would like the email address changing that was initially registered. (headresacc@admin.ox.ac.uk). If there a different email address that you would like to use to receive link’s to the PO and submit invoices please let me know and I can facilitate that change.  Our last payment run will be on the 19th December so I would like to get any invoices due paid by then if possible and resolve this outstanding issue.  27/02/2026 PO received with Jenny.  09/03/2026 email from Jenny - RA has access to portal now, invoices submitted to funder last week. We are now working on access to the funder sharepoint in order to upload our backing documents.</t>
  </si>
  <si>
    <t>b- 15/12/2025 chase to ap.  04/03/2026 chase to finance &amp; ap.  05/03/2026 email from Rachel Cahrleston - Invoice 210165819 is currently on a receipting hold. Please reach out to your end user at DSIT to resolve this.  05/03/2026 email to Tehseen - Please see the email below regarding the attached invoice, it seem a new PO is required for this invoice can you obtain a new PO and reissue the invoice letting me know when resent.</t>
  </si>
  <si>
    <t>d- Payment expected end of February 2026</t>
  </si>
  <si>
    <t>d- 15/12/2025 chase re payment status. 19/12/2025 email from Liyana -  At present, we are still awaiting reimbursement from the funder. There has been a delay in the release of these funds, which has consequently affected our ability to process reimbursements. Until the funds are received, we are unfortunately unable to provide a confirmed timeline for when the claim can be processed. On the Universiti Malaya side, the ongoing upgrade of the UM financial system has affected multiple accounts, resulting in discrepancies and system-related glitches in the account. Please be assured that once reimbursement from the funder has been received and the financial system issues have been resolved, we will immediately proceed with processing your claim from the April–June cycle and invoice number 210167417.  04/03/2026 email to Liyana (admin) -  Thanks for your email,  would you be able to let me know if there is any update regarding the payment status of the attached invoices.  05/03/2026 email from Liyana - I am currently processing the claims from An Luu, Giang, and the other awardees in sequence. As for Invoice No. 210169843, it falls under Q3 and will be submitted to the funder later this month. If you do not hear from me earlier, please feel free to follow up by 12 March regarding the status of the first two attached invoices.</t>
  </si>
  <si>
    <t>b-  15/12/2025 chase to payments.  15/12/2025 email from George Kearse -    Unfortunately, we are unable to make payment for the attached invoice because ‘training costs’ expenses do not fall within the terms of the OHSRC grant that was approved. It may be that the wording on the invoice needs amending, as I can see from the backing/description that this relates to the “transfer of data analysis R course expenses”. This does not sound like it should be classified as a training cost, but I appreciate that I could be wrong, so please advise. Otherwise please could we ask that the invoice be credited, many thanks.  15/12/2025 email to Junaid -  Please see the email below regarding the attached invoice, can you look into this and respond to George copying me into the response.  15/12/2025 email from Catherine Lovegrove (dept) - This has already been addressed, I thought? Please see the attached email.    15/12/2025 email from George -  Thank you for forwarding the information.  Wayne, please credit this invoice.  15/12/2025 email to Junaid -  Please see further emails below and attached re the above invoice, can you raise the requested credit.</t>
  </si>
  <si>
    <t>d-   01/12/2025 chase to ap queries.   02/12/2025 email from Kelly Kieu -  invoices have been received and processed. They are currently with the requester Andrew Lee (a.lee.6@bham.ac.uk) to be receipted.   09/02/2026 email to Kelly (ap) - Thanks for your email, can you let me know if the attached invoices have been receipted.  10/02/2026 email from Kelly (ap) - 210165919 – invoices have been received and processed. They are currently with the requester Andrew Lee (a.lee.6@bham.ac.uk) to be receipted.  To all cc’d in, can you please advise Wayne on the status of the attached invoices which are still awaiting receipt of the PO.</t>
  </si>
  <si>
    <t>f- 90 day payment terms.  30/10/25 email from Pooja Chaudhary -  Please be informed that the invoices are not visible in our system. Kindly submit your invoices to BMSInvoices.NA@bms.com.  31/10/25 email to the invoice team -  Please find the two attached invoices for processing.   23/01/2026 chase to various ap.    26/01/2026 email from Simran (ap) - Kindly submit your invoice to BMSInvoices.NA@bms.com.   26/01/2026 email to Simran - please see attached email invoices were sent in October.  26/01/2026 resubmitted to the invoice team.</t>
  </si>
  <si>
    <t>d- 15/12/2025 chase to reserach.  15/12/2025 email from Martine Walmsley - Thank you for getting in touch. Unfortunately we have been unable to get hold of the researcher, who hasn't submitted the required progress report. Are you able to assist at all?  06/03/2026 email to Martine -  Can you let me know if you’ve received the requested report to allow payment of the attached invoice.</t>
  </si>
  <si>
    <t>f- 90 day payment terms.  09/12/2025 chase to ap.  11/12/2025 emailf rom Shivani Rana (ap) - As per checking invocie # 210166050 is nor visible in our system and PO # 82173118 has been close for invocie posting kindly request you to reach out to your BMS requestor to create new PO for invocies processing.  12/12/2025 email to Lucy -  Please see the email below regarding the above invoice, can you obtain a new PO number and resubmit the invoice letting me know when resent.  15/12/2025 email from Lucy -  I have spoken to the funder and they have confirmed they will re-open the PO to pay the invoice.   23/01/2026 chase to various ap.  26/01/2026 email from Simran (ap) - Po is closed. We request you to please reach out to your BMS requester for the new PO.    26/01/2026 email to Lucy -  Please see the email below regarding the above invoice on project HSR01520, can you obtain a new PO and resubmit the invoice letting me know when resent.  10/2/2026 email from Lucy - Bernadette Nguyen stated that she would ask the AP team to reopen the PO and process invoice.  06/03/2026 email to Bernadette Nguyen - Thanks for your email below to Lucy, can you let me know if the invoice has been approved for payment.  06/03/2026 email from Bernadette - Sorry for the delay on this one. I will follow up with our AP team ASAP.</t>
  </si>
  <si>
    <t>d- 15/12/2025 chase to the query team.  18/12/2025 email from Shiva Shankar to the payment team - Could you please find the below request pertaining to University of Oxford- 209372.  06/01/2026 resent invoice to ap.  06/03/2026 chase to ap.</t>
  </si>
  <si>
    <t>b- 16/09/25 chase to the invoice team.  22/09/2025 email from Gloria Sankey - Please can you find out what the ‘software’ charges stated on the attached invoice relate to on the awarded items.  22/09/25 email to Varun - Please see the email below regarding the attached invoice, can you respond to Gloria copying me into the response.  With Jenny.  14/11/2025 email from Lucy to Gloria -  I apologise for the delay with this invoice, I am now picking this up.  I have spoken to the department and they cannot see that they have specifically applied for any software costs budget on the project. Please could you confirm whether these costs will need to be credited from this invoice 210162448?  14/11/2025 email from Gloria to Lucy - Many thanks for getting back to me. Unfortunately as software costs were not applied for a credit will be required.  10/12/2025 email from Lucy -  LP to raise the credit for the software costs.  12/01/2026 email from Lucy -  Once I have raised the credit for 210162448, this will therefore be looked at by BHF.  10/02/2026 email from Lucy -  This should therefore be looked at now by BHF</t>
  </si>
  <si>
    <t>d- 09/12/2025 email to various - Can you let me know if the attached invoices have been approved for payment or if there are any queries.    09/12/2025 email from Nicola Shrimpton to Emma Rutherford - Can you please confirm the p/o for the attached invoices.   19/01/2026 email to various -  Can you let me know if PO numbers have been generated to allow payment of the attached invoices. 03/03/2026 email to all -  Can you let me know if the attached invoices have been approved for payment.</t>
  </si>
  <si>
    <t>210167859</t>
  </si>
  <si>
    <t>d- 15/12/2025 chase to ap.  06/03/2026 chase to the help desk.</t>
  </si>
  <si>
    <t>e- Refund March 2026 -  16/10/25 email from Mark Grundy - As discussed, these are the credit notes I’ve created so far to capture the audit findings that need to be refunded.  Will keep you posted on any future ones.    23/01/2026 email to Li He -  Thanks for your email, the attached invoice 210147569 was the final invoice we do have the attached credit note outstanding which was raised after an audit, we need to refund this amount would you or a colleague be able to let me have your bank details on headed paper?  30/01/2026 email from Li He - Pls see the email below. Let me know if you need anything else.</t>
  </si>
  <si>
    <t>b- 15/12/2025 chase to Shayeni re payment status.  15/12/2025 email from Dan Dan - Thanks for reaching out. The payment has not been made. Ciaran reached out to us on the 3rd milestone payment some time ago, please see attached the email.   Joey, our monitor is in the midst of working with site on data verification. As Joey is new to the monitoring process and there is a relatively high recruitment numbers, the monitoring took some time on our end. We aim to complete data verification by this month.      Upon completion of the data verification, we will proceed to initiate the payment process and keep you updated. Thank you.  06/03/2026 email to Dan Dan -  Thanks for your email, can you let me know if there is any update?  09/03/2026 email from Dan Dan - The data verification has completed last week per attached email.  Could you please share with us an updated invoice with the current date for processing?  09/03/2026 email to Lucy - Please see the email below regarding the attached invoice, can you reissue the invoice with a current date and forward it to Dan Dan plus coping me into the response.</t>
  </si>
  <si>
    <t>d- 04/02/2026 comment from Ciaran - WT Comments: We have reviewed the FER for this grant and we sent out a query regarding this to David Kidd.</t>
  </si>
  <si>
    <t>d-   01/12/2025 chase to ap queries.  02/12/2025 email from Kelly Kieu - invoice has been received and processed. It is currently with the requester Conor Sheridan (c.sheridan@bham.ac.uk) to be receipted.    09/02/2026 email to Kelly (ap) - Thanks for your email, can you let me know if the attached invoices have been receipted.  10/02/2026 email from Kelly (ap) - 210166257 – invoice has been received and processed. It is currently with the requester Conor Sheridan (c.sheridan@bham.ac.uk) to be receipted.  To all cc’d in, can you please advise Wayne on the status of the attached invoices which are still awaiting receipt of the PO.</t>
  </si>
  <si>
    <t>d- 09/02/2026 email to Kelly (ap) - Thanks for your email, can you let me know if the attached invoices have been receipted.  10/02/2026 email from Kelly (ap) -  210166289 – invoice has been received and processed. It is currently with the requester Cheryl Perkins (C.L.Perkins@bham.ac.uk) to be receipted.  To all cc’d in, can you please advise Wayne on the status of the attached invoices which are still awaiting receipt of the PO.  To all cc’d in, can you please advise Wayne on the status of the attached invoices which are still awaiting receipt of the PO.</t>
  </si>
  <si>
    <t>h- 15/12/2025 chase to payments.  15/12/2025 email from payments - Please resend with PO numbers to apinvoices@cardiff.ac.uk so that payment can be made.  15/12/2025 email to Jonasus -  Please see the email below regarding the attached invoice, can you obtain a PO and reissue the invoice letting me know when resent.  12/01/2026 email from Jonasus to the dept - The invoices attached remain unpaid as the funder is requesting for a PO.  See email below: At the moment, the PO is set as 523521. Please advise if there is a new PO for this project? - DFR10720.  13/01/2026 email from Ross (dept) to Jonasus - There is no new PO for this project.  523521 is the number on the Collaboration agreement.  Please push back to them.  If they insist on a purchase order number they’ll need to tell us how to source one.  14/01/2026 email from Jonasus to the payment team -   My colleagues have kindly reviewed the project and according to the extract (from the award letter) below the reference is 523521: Please kindly advise on how to retrieve the PO?  10/02/2026 email from Jonasus to payments -  The invoice remains outstanding. Please advise on the PO for this project/invoice.</t>
  </si>
  <si>
    <t>e-  Refund March 2026 - 25/09/25 Ellie &amp; Jenny to obtain bank details on headed paper.  04/12/2025 email to Gareth - Re the emails below regarding the attached credit can you obtain the bank details from the sponsor for the refund?  10/12/2025 email from Gareth to Jen Atkinson -  Could I please chase up my previous email requesting the bank details on headed paper for the account you wish the return of funds to be issued to.  10/12/2025 email from Jen to Gareth -  Apologies for the delay in replying. Is it possible to please share the credit note details with me as I am not sure which client this refers to?  11/12/2025 email from Gareth to Jen - Please find the credit note reattached.</t>
  </si>
  <si>
    <t>d- 15/12/2025 chase to ap. 09/03/2026 chase to Sofia Apollonov.  09/03/2026 email from Sofia - Apologies it looks like it has been processed but stuck somewhere in our approvals system. We are in the processes of getting that moved on so I will keep you updated.</t>
  </si>
  <si>
    <t>e- Refund March 2026 - 16/10/25 email from Mark Grundy - As discussed, these are the credit notes I’ve created so far to capture the audit findings that need to be refunded.  Will keep you posted on any future ones.</t>
  </si>
  <si>
    <t>OConnor - MRC IAA</t>
  </si>
  <si>
    <t>d- 01/12/2025 chase to finance.  08/12/2025 email from finance - The LSTM group has a No Purchase Order, No Payment policy. We cannot accept your invoice for payment without a valid purchase order number.  Please include the order number on your invoice and re-submit it for payment to invoices@lstmed.ac.uk.  08/12/2025 email to Gavin - Please see the email below regarding the attached invoice, can you obtain a PO number and resubmit the invoice to the invoice email address letting me know when resent.  18/12/2025 email from Gavin to Alison Lawton - We've had this invoice bounce back due to lack of a PO number on it. Would you be able to help acquire one so we can resend with a valid PO number on it please?  Email from Gavin -   14/1/26 - PO acquired. Invoice resent with PO.   09/03/2026 chase to finance.</t>
  </si>
  <si>
    <t>100482.R.149 #PPLS000272</t>
  </si>
  <si>
    <t>d- 60 day payment terms.  22/12/2025 chase to finance.  07/01/2026 email from ap - The rest of the invoices - Following our thorough review, we found no record of the invoices in our Accounts Payable system. Please confirm when this invoice was sent to AstraZeneca, providing proof of submission, by rejecting the case solution, so we can follow up with our Accounts Payable Team?  07/01/2026 email to Gavin - Please see the email below regarding the above invoice on project HNR02660, can you confirm if the invoice was submitted on the Coupa portal if not can it be submitted letting me know when sent.  20/01/2026 email from Gavin -  I don't think it was but I've done so now.</t>
  </si>
  <si>
    <t>b-  21/01/2026 email from Ellis to Jonasus - Your PO number for this project is 4993458, please see attached.  Your contact for this grant is Nishali Benton (cc’d), please send any future queries to her.  27/01/2026 email from Jonasus to the team -  Please find attached our invoices relating to the above-mentioned project. Now with the PO number. Thank you for your advise. I have sent the invoices with the corresponding PO.  27/01/2026 email from Nishali Benton to Jonasus - Many thanks for send the invoices through – I have forward to accounts payable for payment and copied you in.  b- 09/03/2026 chase to ap.  09/03/2026 email from ap - Please amend invoices to state: Imperial College London, Exhibition Road, London, SW7 2AZ - All invoices received, need to be addressed to Imperial College London, Exhibition Road, London, SW7 2AZ.  10/03/2026 email to Jonasus - Please see the email below highlighted yellow regarding the attached invoice, can you reissue the invoice as requested to apinvoices@imperial.ac.uk letting me know once resent.</t>
  </si>
  <si>
    <t>EP/Y036484/1 PB0051 #4993458</t>
  </si>
  <si>
    <t>210166895</t>
  </si>
  <si>
    <t>WIMM-Celgene FShip 21-2</t>
  </si>
  <si>
    <t>f-  90 day payment terms. 02/02/2026 email from Shivani Rana to Matthew - Upon internal verifications, your profile is currently setup to post invoice Electronically. Kindly post the invoices directly from [Ariba Network (NA) / Tungsten] as the instructions. Invoice # 210169806 PO # 8217008. invoice # 210166895 PO # 82170081.  13/02/2026 email from Matthew to Shivani -  I’m still experiencing issues when trying to upload the invoices due to the following: The PO number is not being recognised, The supplier, Celgene Corporation, is not being recognised - Could you please confirm which account/email address my profile is currently set up against, in case this is causing the issue?  25/02/2026 email from Matthew to Shivani -   I just wanted to follow up on the below query regarding the issues with uploading the invoices. Would you be able to provide an update when you have a moment? We’re still unable to proceed due to the PO number and supplier not being recognised, so any clarification would be much appreciated.  26/02/2026 email from Shivani to Matthew - Please be informed that, as per our records, both invoices #210169806 and #210166895 have been successfully processed in our system and are open for payment. Below are the details: Invoice #210166895: Open for payment, net due date 04/03/2026.</t>
  </si>
  <si>
    <t>#82170081</t>
  </si>
  <si>
    <t>d- 04/12/2025 email from Dani (dept) - Please could you confirm if we received any money for B9R06010 for $7800 USD.  05/12/2025 email to Dani - no we have not received payment yet.  09/03/2026 email to Dani (dept) - Have you had any update from the funder re payment re project B9R06010?  09/03/2026 email from Dani -  Not that I am aware of, but I will give them PI a message now.  09/03/2026 email from Wan -  Did we sent an invoice to the funder?   09/03/2026 email from Dani - Yes, the invoice was sent out ages ago. I am writing an email to Audrey now .</t>
  </si>
  <si>
    <t>210169045</t>
  </si>
  <si>
    <t>d- 04/02/2026 comment from Ciaran - CORE Grant, expecting some form of payment</t>
  </si>
  <si>
    <t>210166888</t>
  </si>
  <si>
    <t>CWR00020</t>
  </si>
  <si>
    <t>CHSB</t>
  </si>
  <si>
    <t>e- Refund March 2026 -  16/10/25 email from Mark Grundy - As discussed, these are the credit notes I’ve created so far to capture the audit findings that need to be refunded.  Will keep you posted on any future ones.</t>
  </si>
  <si>
    <t>U54AI170752</t>
  </si>
  <si>
    <t>210166884</t>
  </si>
  <si>
    <t>H9R00290</t>
  </si>
  <si>
    <t>STOPFOP</t>
  </si>
  <si>
    <t>Bullock, Prof Alexander</t>
  </si>
  <si>
    <t>821600</t>
  </si>
  <si>
    <t>210173852</t>
  </si>
  <si>
    <t>A4R00170</t>
  </si>
  <si>
    <t>OStone_BHF_Investigating</t>
  </si>
  <si>
    <t>PG/25/12338</t>
  </si>
  <si>
    <t>210171693</t>
  </si>
  <si>
    <t>d-  03/12/2025 email from Mikka to Donna - My figures differ from the ones below, which are difficult to follow as some are debits and some are credits, we don’t recognise the category ‘miscellaneous’, and your table doesn’t show your starting budget to agree back to. Please see my breakdown of the figures, showing the DI Other budget being overspent by £226.47. Please check against Oxford’s invoices on the projects and let me know if you find any differences in our figures.  Email from Donna - 10 12 25 Cristina has updated transactions. Need to redo our side. I will work on this ASAP.  Email from Donna - 14-1-26 costs have been removed. I have offered to rais a creidt note. If department agree, I will reach out to the funder and ask if that will suffice. IN advance of the next invoice period.  15/01/2026 email from Donna to Mikka - I am hoping this will assist with this issue. I have raised a credit note which brings the invoice figures in line with actual updated costs. this is attached.    16/01/2026 email from Mikka to Donna -  Yes, this corrects the overspend. I have asked the department to pay your invoices.    12/02/2026 email from Ellie to Mikka -  Further to your email confirming you have requested for these invoices to be paid I wondered if you had an estimated payment date you could provide us with please?   09/03/2026 chase to various.</t>
  </si>
  <si>
    <t>210167284</t>
  </si>
  <si>
    <t>HMR03710</t>
  </si>
  <si>
    <t>BMS project</t>
  </si>
  <si>
    <t>Fugger, Prof Lars</t>
  </si>
  <si>
    <t>f- 90 day payment terms.  23/01/2026 chase to various ap.  26/01/2026 email from Simran (ap) - Invoice is open for payment and is due on : 03/04/2026</t>
  </si>
  <si>
    <t>S2275#CLG5524117</t>
  </si>
  <si>
    <t>210167227</t>
  </si>
  <si>
    <t>HMR02990</t>
  </si>
  <si>
    <t>Integrative imaging</t>
  </si>
  <si>
    <t>Smith, Prof Stephen</t>
  </si>
  <si>
    <t>215573/Z/19/Z</t>
  </si>
  <si>
    <t>210167063</t>
  </si>
  <si>
    <t>210167230</t>
  </si>
  <si>
    <t>HMR03300</t>
  </si>
  <si>
    <t>Okell - SHDF</t>
  </si>
  <si>
    <t>Okell, Dr Thomas</t>
  </si>
  <si>
    <t>220204/Z/20/Z</t>
  </si>
  <si>
    <t>210167218</t>
  </si>
  <si>
    <t>HBR03680</t>
  </si>
  <si>
    <t>O Bannard - WT</t>
  </si>
  <si>
    <t>Bannard, Dr Oliver</t>
  </si>
  <si>
    <t>d- 27/02/2026 email from Oscar - FER submitted 19/02/2026</t>
  </si>
  <si>
    <t>220219/Z/20/Z</t>
  </si>
  <si>
    <t>210167103</t>
  </si>
  <si>
    <t>210167228</t>
  </si>
  <si>
    <t>210167053</t>
  </si>
  <si>
    <t>H5R02032</t>
  </si>
  <si>
    <t>Computational Genomics Yr 3</t>
  </si>
  <si>
    <t>Kelleher, Dr Jerome</t>
  </si>
  <si>
    <t>d- 18/12/2025 email from Donna to the project team - As requested, please find attached our amended invoices relating to the above-mentioned project.  18/12/2025 email from Sam Shaver to Donna -  Thank you very much for your quick response and for sending these updated invoices! It is much appreciated!  09/03/2026 email to Sam - Thanks for your email below to Donna, can you let me know if the attached invoices have been approved for payment.</t>
  </si>
  <si>
    <t>218050A</t>
  </si>
  <si>
    <t>210167052</t>
  </si>
  <si>
    <t>DFR10790</t>
  </si>
  <si>
    <t>HumBug II</t>
  </si>
  <si>
    <t>Roberts, Prof Stephen</t>
  </si>
  <si>
    <t>d-  01/12/2025 chase to various.  23/01/2026 chase to research.  26/01/2026 email from AP - Invoice 21067052 has been rejected by @Marie Bennett saying as per email by Kay. @Marie Bennett could you please attac the email for rejection.  09/03/2026 chase to ap.  09/03/2026 email from ap to Marie - Both these invoices are waiting for approval. @Marie Bennett you rejected transaction number 31306742 saying wrong PO used. Could you please give us the PO number so we can match it off for payment. Also transaction number 31271445 has been rejected. Could you please contact the supplier and let them know the reason.</t>
  </si>
  <si>
    <t>RE24166</t>
  </si>
  <si>
    <t>210168478</t>
  </si>
  <si>
    <t>210167113</t>
  </si>
  <si>
    <t>B9R04193</t>
  </si>
  <si>
    <t>Thai-Cheah-WT-1795</t>
  </si>
  <si>
    <t>b- 04/02/2026 comment from Ciaran - Lucy to confirm if FER has been submitted.  10/02/2026 email from Lucy - Sent FER to Dani to complete. Due back 01.03</t>
  </si>
  <si>
    <t>228176/Z/23/Z CORE</t>
  </si>
  <si>
    <t>210167122</t>
  </si>
  <si>
    <t>B9R05050</t>
  </si>
  <si>
    <t>Viet-Duy Pham-Training Fellow</t>
  </si>
  <si>
    <t>b- 04/02/2026 comment from Ciaran - Lucy to confirm if FER has been submitted.  10/02/2026 email from Lucy - FER is with Joseph to complete. Due on portal 01.04.</t>
  </si>
  <si>
    <t>222983/Z/21/Z</t>
  </si>
  <si>
    <t>210167030</t>
  </si>
  <si>
    <t>210167054</t>
  </si>
  <si>
    <t>d- 01/12/2025 chase to Adam Butler.  09/03/2026 chase to the post award team.</t>
  </si>
  <si>
    <t>210167344</t>
  </si>
  <si>
    <t>210167355</t>
  </si>
  <si>
    <t>ALR02320</t>
  </si>
  <si>
    <t>hNOTCH RECEPTOR</t>
  </si>
  <si>
    <t>Handford, Prof Penelope</t>
  </si>
  <si>
    <t>MR/V008935/1</t>
  </si>
  <si>
    <t>210167343</t>
  </si>
  <si>
    <t>210167384</t>
  </si>
  <si>
    <t>HSR01850</t>
  </si>
  <si>
    <t>IOCYTE AMI 3</t>
  </si>
  <si>
    <t>b- 22/12/2025 chase to study finance.  03/03/2026 email to Tara - Thanks for forwarding this, I’m trying to reconcile this as one of my invoices has an outstanding balance, re the 3 credits 411001863, 451007782 &amp; 451007843 (£7,533.08) these credits were not included when Cashiers applied the payment can these be made available, also re your invoice 141013524 payment of £4,562.53 but only £517.79 was applied so you should still have £4,044.74 not applied.  03/03/2026 email to the billing team -  Thanks for the below remittance, with regards to invoice number 210167557 -£61,421.17 this credit was raised to cancel invoice 210166837 (copies attached), the invoice was cancelled as was raised incorrectly, can you look into this and let me know if the amount of £61,421.17 can be repaid. (also look at 210164373 - HSD00336 as on the remit).</t>
  </si>
  <si>
    <t>PID 16017</t>
  </si>
  <si>
    <t>210167440</t>
  </si>
  <si>
    <t>Cleaner Futures</t>
  </si>
  <si>
    <t>d- 14/11/2025 email from Jessica Skotnicki to Laura - I have reviewed the invoices that we have paid and summarised as per the below: Can you please check the consumables that you have as the amount that we have paid is considerably higher. I have mapped the above based on invoice categorisations in the invoices, Other Direct costs and exceptional items will be claimed as DI: Other. I assume that you may have included some items that have not yet been invoiced. In regards to the  £6.55 claimed as equipment on invoice 210141887 – would it be appropriate to recategorize this as DI: Other/Consumables? I assume the DA/indirects will fix themselves before the end of the project so as long as we stay within budget on this it shouldn’t be a problem.  16/01/2026 email from Laura - We will be creating another statement.  Once done I would hope that this invoice will be paid.  13/02/2026 email from Laura - this has been done.</t>
  </si>
  <si>
    <t>EP/V038117/1 CCR11091#100842439</t>
  </si>
  <si>
    <t>210167468</t>
  </si>
  <si>
    <t>210167422</t>
  </si>
  <si>
    <t>d-  03/12/2025 email from Mikka to Donna - My figures differ from the ones below, which are difficult to follow as some are debits and some are credits, we don’t recognise the category ‘miscellaneous’, and your table doesn’t show your starting budget to agree back to. Please see my breakdown of the figures, showing the DI Other budget being overspent by £226.47. Please check against Oxford’s invoices on the projects and let me know if you find any differences in our figures.  Email from Donna - 10 12 25 Cristina has updated transactions. Need to redo our side. I will work on this ASAP.  Email from Donna - 14-1-26 costs have been removed. I have offered to rais a creidt note. If department agree, I will reach out to the funder and ask if that will suffice. IN advance of the next invoice period.  15/01/2026 email from Donna to Mikka - I am hoping this will assist with this issue. I have raised a credit note which brings the invoice figures in line with actual updated costs. this is attached.    16/01/2026 email from Mikka to Donna -  Yes, this corrects the overspend. I have asked the department to pay your invoices.    12/02/2026 email from Ellie to Mikka -  Further to your email confirming you have requested for these invoices to be paid I wondered if you had an estimated payment date you could provide us with please?     09/03/2026 chase to various.</t>
  </si>
  <si>
    <t>210167406</t>
  </si>
  <si>
    <t>b-  03/12/2025 chase to grants &amp; finance.  04/12/2025 email from Judith -  HJR01590 210167406: we rolled this invoice back for amendment and are waiting for this invoice to be resubmitted by the University.  The original invoice included salary costs for D Whipp but they are not included in this grant award so these costs were to be removed from the invoice and the invoice resubmitted.  We have not received the resubmission.  04/12/2025 email to Junaid -  Please see the email below regarding the above invoice on project HJR01590 highlighted, can you look into this query and reissue the invoice to Judith copying me into the response.  16/12/2025 email from Junaid to the dept -  Please review the email trail below and the attached Invoice 210167406 (which includes a staff cost breakdown on page 2) relating to project HJR01590, for your information.  The invoice includes salary costs for D. Whipp; however, these costs are not included in the grant award and should therefore be removed. Could you please arrange for the costs relating to D. Whipp to be removed/reallocated so that I can raise a revised invoice and resubmit it? I would appreciate it if this could be actioned as soon as possible.  16/12/2025 email from Dave (dept) to Junaid - Could you check again?  Please see the email chain from the PI that Danielle Whipp’s salary costs should be on this project which is why they are there! The total on the project is £39,173.36.</t>
  </si>
  <si>
    <t>210167425</t>
  </si>
  <si>
    <t>HJR02330</t>
  </si>
  <si>
    <t>ART 15 year follow up</t>
  </si>
  <si>
    <t>Taggart, Prof David</t>
  </si>
  <si>
    <t>a- 14/10/2025 email from Jodie Walker to Ciaran - Thank you for confirming. Just to let you know, the final invoice can only be paid until we have received the final report from the PI – this is due by 31.12.25 as an extended deadline. Please note that the invoice will be placed on hold until then.  06/01/2026 email from Jodie Walker to Ciaran - Just to let you know that the PI has requested an extension to the final report deadline, which we have approved to be due on 31 March 2026. Please note that the invoice will be placed on hold until then.</t>
  </si>
  <si>
    <t>CS/F/21/190041</t>
  </si>
  <si>
    <t>210167407</t>
  </si>
  <si>
    <t>210167444</t>
  </si>
  <si>
    <t>210167490</t>
  </si>
  <si>
    <t>DLR01040</t>
  </si>
  <si>
    <t>Ana Inacio NIF</t>
  </si>
  <si>
    <t>Biller, Prof Steven</t>
  </si>
  <si>
    <t>NIF\R1\221392</t>
  </si>
  <si>
    <t>2519</t>
  </si>
  <si>
    <t>210167497</t>
  </si>
  <si>
    <t>HNR02360</t>
  </si>
  <si>
    <t>Typhoid, Cockles and Terrorism</t>
  </si>
  <si>
    <t>Vanderslott, Dr Samantha</t>
  </si>
  <si>
    <t>AH/W002035/1</t>
  </si>
  <si>
    <t>British Society for Surgery of the Hand</t>
  </si>
  <si>
    <t>43759</t>
  </si>
  <si>
    <t>210167543</t>
  </si>
  <si>
    <t>HFR04250</t>
  </si>
  <si>
    <t>JW - BSSH</t>
  </si>
  <si>
    <t>94168</t>
  </si>
  <si>
    <t>210167533</t>
  </si>
  <si>
    <t>NIH - Parkkinen</t>
  </si>
  <si>
    <t>Parkkinen, Dr Laura</t>
  </si>
  <si>
    <t>b-  15/01/2026 email from Tehseen -  Emailed 15/12/2025, no response yet.  12/02/2026 email from Tehseen to Sara -  Sorry to bother, I just wanted to check if there was any update on the progress of this extension?  04/03/2026 email from Sara to Tehseen - We have been granted the carried forward funds. However, the restrictions on foreign subawards remain intact. The subaward cannot be extended and no additional funds are allowed to be sent through that mechanism. We are working with Dr. Parkkinen, Ken Bedding, and Kerry Antcliffe to establish a consulting agreement and fee for service agreement instead.  05/03/2026 email from Tehseen to Ciaran - I have received an updated regrading HMR04870. My interpretation is that they will be able to use the unused funds (so pay the invoice) but not through the current project and whenever the follow up project has been agreed/set up we can claim it through that project. Do you think that is correct? So at some stage we would have to raise an invoice on the new project for the of this unpaid invoice?  06/03/2026 email from Ciaran to Tehseen -  Thank you for persisting on this and encouraging to see the lead are trying to accommodate the issue.  In regards to the outcome of the unused funds, will have to see what comes out of it where they mention new award mechanism. I’m assuming as this is rolled over unused budget it could be a linked project, which if so we can claim off the existing project. Until then if you can please keep in close and timely contact with them to maintain being updated with the unused funding/new award.</t>
  </si>
  <si>
    <t>SC-00077</t>
  </si>
  <si>
    <t>210167514</t>
  </si>
  <si>
    <t>e- 22/12/2025 chase to study finance.  06/03/2026 remit received.</t>
  </si>
  <si>
    <t>210167565</t>
  </si>
  <si>
    <t>HFR03460</t>
  </si>
  <si>
    <t>DPA-SRF-2017</t>
  </si>
  <si>
    <t>SRF-2018-11-ST2-004#543852</t>
  </si>
  <si>
    <t>210167693</t>
  </si>
  <si>
    <t>JTR00120</t>
  </si>
  <si>
    <t>EPSRC Core Equipment 2022</t>
  </si>
  <si>
    <t>Grant, Prof Patrick</t>
  </si>
  <si>
    <t>EP/X034984/1</t>
  </si>
  <si>
    <t>210167558</t>
  </si>
  <si>
    <t>b- 11/12/2025 email to Tara - Can you help re the below remit, re invoice 210166837 for £61,421.17 this invoice has not been paid there is £39,122.50 left on account (receipt 051225-45), is what’s left on account plus something else the amount I need?</t>
  </si>
  <si>
    <t>210167680</t>
  </si>
  <si>
    <t>d- 09/03/2026 chase to various.  09/03/2026 email from Nick Burd to Affy - Please can you submit urgent PO request for the attached Oxford invoices. I forwarded the earlier invoice back in December. Both are for 565698.</t>
  </si>
  <si>
    <t>School of Oriental &amp; African Studies, University of London</t>
  </si>
  <si>
    <t>9150</t>
  </si>
  <si>
    <t>210167719</t>
  </si>
  <si>
    <t>CDR01700</t>
  </si>
  <si>
    <t>PACT.</t>
  </si>
  <si>
    <t>Cole, Dr Nicholas</t>
  </si>
  <si>
    <t>b- 14/01/2026 email from Donna to Tameka - Thank you for waiting. The issue with this invoice seems to be around the matter of virement. SOAS appears to be working on the premise that staff costs cannot be vired to non-staff costs. Hence your invoice amendment request to remove consultancy costs and reduce T&amp;S and Other Costs. Oxford feels that this is in contrast with the Arts and Humanities Research Council T&amp;Cs on Use of Grant RGC 4.4 on P7 of the award letter  which, we believe, allows transfer of funds between all DI categories, including staffing, so long as the expenditure is for meeting the agreed objectives of the project. The Oxford department has based their final costs/invoice claims on this understanding of the T&amp;Cs and, with this in mind, the consultancy cost and T&amp;S being claimed on the invoice can be met in full from the staffing underspend of £9,896.48 and still leaves an underspend of £1,679.33 in Oxford’s budget. Could you look into this from the SOAS perspective, please?  If you are interpreting the agreement differently, I would be grateful to hear your thoughts to enable us to move this invoice forward.  22/01/2026 email from Tameka to Donna -  Happy to cover the consultancy from DI staff. Before doing so could you confirm if this is Oxford's final invoice?     Funder happy to pay invoice based on explaination of budgets - just waiting the deliverable report from PI to enable payment of the invoice .12.02.26 - Hi Sandy Just wondered if you had any luck with the deliverables report? If you send it directly to Tameka please can you confirm to us once done (or CC us in). Alternatively, you can provide the report to us and we can send it on to Tameka. Do let me know what is going to be best for you.</t>
  </si>
  <si>
    <t>R433</t>
  </si>
  <si>
    <t>210167709</t>
  </si>
  <si>
    <t>CVR00620</t>
  </si>
  <si>
    <t>HEY BABY</t>
  </si>
  <si>
    <t>771468</t>
  </si>
  <si>
    <t>210167724</t>
  </si>
  <si>
    <t>d- 12/01/2026 chase to finance.  14/01/2026 email from Angeline -  We do not appear to have previously received invoice 210167724 so I will arrange for this to be processed.    09/03/2026 chase to finance.</t>
  </si>
  <si>
    <t>210167753</t>
  </si>
  <si>
    <t>210167757</t>
  </si>
  <si>
    <t>e- 13/01/2026 email to Emma Greenland - Can you let me know if the attached invoices have been approved for payment.  20/01/2026 email from Emma to the billing team.    Please pay the attached invoices.   06/03/2026 remit received.</t>
  </si>
  <si>
    <t>Peace Research Institute Oslo (PRIO)</t>
  </si>
  <si>
    <t>84505</t>
  </si>
  <si>
    <t>210167772</t>
  </si>
  <si>
    <t>LER01150</t>
  </si>
  <si>
    <t>RCN PRIO</t>
  </si>
  <si>
    <t>Akande, Prof Dapo</t>
  </si>
  <si>
    <t>d- 23/01/2026 chase to Catarina Barbieri.  09/03/2026 further chase to Catarina.</t>
  </si>
  <si>
    <t>325238</t>
  </si>
  <si>
    <t>Coolbrook Technologies Ltd</t>
  </si>
  <si>
    <t>125375</t>
  </si>
  <si>
    <t>210167771</t>
  </si>
  <si>
    <t>DFR11240</t>
  </si>
  <si>
    <t>Rotor Dynamic Reactor</t>
  </si>
  <si>
    <t>Rosic, Prof Budimir</t>
  </si>
  <si>
    <t>d- 23/01/2026 chase re payment status.  09/03/2026 chase to various.</t>
  </si>
  <si>
    <t>R94887/CN001</t>
  </si>
  <si>
    <t>Precision BioSciences</t>
  </si>
  <si>
    <t>121435</t>
  </si>
  <si>
    <t>210167849</t>
  </si>
  <si>
    <t>AJR01360</t>
  </si>
  <si>
    <t>McKeating - Precision Aug - 24</t>
  </si>
  <si>
    <t>Mckeating, Prof Jane</t>
  </si>
  <si>
    <t>d- 23/01/2026 chase to Surya Narasimhan.  04/02/2026 email from Daniel to Satish Kumar -  Please find attached USD bank details as requested.  09/03/2026 email to Satish - Can you let me know if the attached invoice has been approved for payment.</t>
  </si>
  <si>
    <t>210167947</t>
  </si>
  <si>
    <t>d-  26/01/2026 chase to the invoice team.  09/03/2026 chase to various.</t>
  </si>
  <si>
    <t>210167908</t>
  </si>
  <si>
    <t>b- 03/11/2025 email from Tara Witted - Invoices and payments related to your Subaward with Duke University must be in compliance with the Subaward’s terms and conditions. It is our procedure to return unpaid non-compliant invoices and request that the subrecipient resubmit a revised invoice. The attached invoice from your organization is being returned unpaid for the following reason(s): ☒  The Owning Duke department has rejected the invoice indicating the following.   11/11/2025 email from Lucy to David Cothier -  Please see the email from Duke University. Do you agree that the three costs mentioned are ineligible and should be removed from the project? I will action points 2 and 3.    07/01/2026 email from Lucy to David -   Please can I check whether you have been able to look into my query for me?</t>
  </si>
  <si>
    <t>210167929</t>
  </si>
  <si>
    <t>e-  17/09/25 list of outstanding invoices sent to various at OUP.  19/01/2026 chase to Emma Greenland.  21/01/2026 email from Emma to the billing team - Please process the attached invoices.   06/03/2026 remit received.</t>
  </si>
  <si>
    <t>210167966</t>
  </si>
  <si>
    <t>ATR04210</t>
  </si>
  <si>
    <t>OMS Rapid Response Fund</t>
  </si>
  <si>
    <t>Milner-Gulland, Prof Eleanor</t>
  </si>
  <si>
    <t>210168038</t>
  </si>
  <si>
    <t>e- 09/12/2025 chase to study finance.  05/01/2026 email from Emma Greenland - Apologies I missed the PI's coming back with approval these I have sent them for payment today.     06/03/2026 remit received.</t>
  </si>
  <si>
    <t>210167984</t>
  </si>
  <si>
    <t>e-  19/01/2026 email to Emma Greenland.  21/01/2026 email from Emma to the billing team  - Please process the attached invoices.  06/03/2026 remit received.</t>
  </si>
  <si>
    <t>210168012</t>
  </si>
  <si>
    <t>210168033</t>
  </si>
  <si>
    <t>210168063</t>
  </si>
  <si>
    <t>HSR01211</t>
  </si>
  <si>
    <t>CureHeart</t>
  </si>
  <si>
    <t>d- 20/01/2026 email from Rachel Cates - We haven't received an invoice for BBC/F/21/220106 for a while now, with invoices only paid up to 09/05/2025. I appreciate that you'll have been busy preparing the annual report, but finance are very keen to get this up to date. Please could you send the outstanding invoices in the next 2 weeks.  20/01/2026 email from Ruth (dept) to Rachel -  I am so sorry about this. Melissa Fanous (Research Grants manager in CVM) and I prepared the Q3 (May – Aug) and Q4 invoices (Aug to Nov) for year 3 and sent them to Research Accounts to submit to you. We assumed they had been submitted. We are chasing them up as a priority! I will keep you posted. If it is any help, I can send you the completed templates for Q3 and Q4?    20/01/2026 email to Rachel &amp; Ruth - I’ve checked our system and see my colleagues who looks after the award have raised the attached two invoices.  22/01/2026 email from Rachel to various - Thanks for sending the invoices and associated documents, I'll check them through and let you know if I have any queries.</t>
  </si>
  <si>
    <t>BBC/F/21/220106</t>
  </si>
  <si>
    <t>210168032</t>
  </si>
  <si>
    <t>210167988</t>
  </si>
  <si>
    <t>d- 03/03/2026 email to Sophia Grant -  Can you or a colleague advise on the payment status of the attached invoice or if there are any queries.</t>
  </si>
  <si>
    <t>210168170</t>
  </si>
  <si>
    <t>HFR06080</t>
  </si>
  <si>
    <t>Big BOSS</t>
  </si>
  <si>
    <t>Theologis, Mr. Tim</t>
  </si>
  <si>
    <t>d- 09/12/2025 email to various - Can you let me know if the attached invoices have been approved for payment or if there are any queries.  09/12/2025 email from Nicola Shrimpton to Emma Rutherford - Can you please confirm the p/o for the attached invoices.   19/01/2026 email to various -  Can you let me know if PO numbers have been generated to allow payment of the attached invoices.  03/03/2026 email to all -  Can you let me know if the attached invoices have been approved for payment.</t>
  </si>
  <si>
    <t>NIHR131176 – BIGBOSS</t>
  </si>
  <si>
    <t>210168168</t>
  </si>
  <si>
    <t>CKR00370</t>
  </si>
  <si>
    <t>GHOST -Niyazioglu Djagalov-ERC</t>
  </si>
  <si>
    <t>Niyazioglu-Djagalov, Dr Asli</t>
  </si>
  <si>
    <t>b- Invoice sent to Foundation for Research and Technology.  14/11/2025 email from Sharmila to Giannis Dashalakis - Please find the signed form and the invoice attached.  26/11/2025 email from Giannis to Sharmila - Thanks for that-but you should re-issue the invoice since the cost is not the right one. Please check the following table. The right invoiced amount should be 4.263,30 euro, which corresponds to the formula Total Costs - Total Payments (the one already sent is based on the calculation total budget-total payments) Please act accordingly as soon as possible.  09/02/2026 email to Sharmila -  This is regarding payment for EC project; forwarded to Tequila to check.</t>
  </si>
  <si>
    <t>771766</t>
  </si>
  <si>
    <t>210168195</t>
  </si>
  <si>
    <t>DFR06960</t>
  </si>
  <si>
    <t>MOIRA</t>
  </si>
  <si>
    <t>955681</t>
  </si>
  <si>
    <t>210168296</t>
  </si>
  <si>
    <t>d- 09/12/2025 email to various - Can you let me know if the attached invoices have been approved for payment or if there are any queries.    09/12/2025 email from Nicola Shrimpton to Emma Rutherford - Can you please confirm the p/o for the attached invoices.   19/01/2026 email to various -  Can you let me know if PO numbers have been generated to allow payment of the attached invoices.  03/03/2026 email to all -  Can you let me know if the attached invoices have been approved for payment.</t>
  </si>
  <si>
    <t>210168285</t>
  </si>
  <si>
    <t>BZR04060</t>
  </si>
  <si>
    <t>SPCR TIV</t>
  </si>
  <si>
    <t>d- 26/01/2026 chase to payments.  03/03/2026 email to the query team.</t>
  </si>
  <si>
    <t>210168349</t>
  </si>
  <si>
    <t>e- 16/01/2026 email to Emma Greenland - Can you or a colleague advise on the payment status of the attached invoices.     21/01/2026 email from Emma to the billing team -  Please pay the attached invoices.   06/03/2026 remit received.</t>
  </si>
  <si>
    <t>210168374</t>
  </si>
  <si>
    <t>HFR06130</t>
  </si>
  <si>
    <t>AW Kennedy</t>
  </si>
  <si>
    <t>Wiberg, Mr Akira</t>
  </si>
  <si>
    <t>d- 26/01/2026 chase to finance.  27/01/2026 email from Danny Sheehan - -	210168374: I have double-checked our systems and we’ve not received this invoice before. Please would you be able to provide the transaction list for this and we’ll look to process it accordingly.  27/01/2026 email to Anna -  Please see the highlighted email below regarding the above invoice, can you supply to Danny the requested transaction list cc me into the response.  11/02/2026 email from Anna to Danny - Please find the breakdown attached alongside the invoice.</t>
  </si>
  <si>
    <t>KENN 23 24 02</t>
  </si>
  <si>
    <t>210168342</t>
  </si>
  <si>
    <t>DUR00960</t>
  </si>
  <si>
    <t>AION (+ MAGIS)  QTFP WP3</t>
  </si>
  <si>
    <t>Foot, Prof Christopher</t>
  </si>
  <si>
    <t>ST/T006633/1</t>
  </si>
  <si>
    <t>210168375</t>
  </si>
  <si>
    <t>210168328</t>
  </si>
  <si>
    <t>210168326</t>
  </si>
  <si>
    <t>DTR00040</t>
  </si>
  <si>
    <t>Superconducting Spectrometer</t>
  </si>
  <si>
    <t>ST/V000837/2</t>
  </si>
  <si>
    <t>210168586</t>
  </si>
  <si>
    <t>d-  26/01/2026 email to Tim Cibula -  Thanks for your email we have still not received the cheque, would you be able to send payment of the attached invoices as a wire transfer?  03/02/2026 email from Tim - Thank you for your patience. I wanted to give you a summary of the status of these invoices: Inv 210168586. I processed this for payment through our Procurement department, but it was rejected because the associated bursaries, consumable purchases, and staff costs detailed on the second page do not match the total $39,748.00 on the first page. Is it possible that the total on the first page is in US Dollars, and the calculations on the second page are in UK Pounds? Please supply a revised second page with subtotals of bursaries, consumable purchases, and staff costs equaling the total amount invoiced on the first page, and I will re-submit for approval.  11/02/2026 email from Ellie to Tim - Please find attached corrected breakdown on page 2 of the invoice for ease. If you have any questions please do let me know.  11/02/2026 email from Tim to Ellie -  Thank you for providing this revised invoice. I entered it into our procurement system for processing.</t>
  </si>
  <si>
    <t>210168587</t>
  </si>
  <si>
    <t>DJR03180</t>
  </si>
  <si>
    <t>Photocentrics</t>
  </si>
  <si>
    <t>A4i Round 14 – Pure 396467403</t>
  </si>
  <si>
    <t>210168390</t>
  </si>
  <si>
    <t>FZR00142</t>
  </si>
  <si>
    <t>CRUK OA Block grant 2022-23</t>
  </si>
  <si>
    <t>Bodleian Digital Library Syste</t>
  </si>
  <si>
    <t>How, Mrs Laura</t>
  </si>
  <si>
    <t>d- 19/01/2026 email to finance - Can you let me know the payment status of the awards listed on the attached.  19/01/2026 email from Kirsty (finance) - SEBSTF-2022/100008 is the award for the Oxford open access block grant, the end date for this award has been extended, in the first instance to the end of February. The grant holder is aware.</t>
  </si>
  <si>
    <t>SEBSTF-2022/100008</t>
  </si>
  <si>
    <t>210168590</t>
  </si>
  <si>
    <t>Centre Samy Maroun</t>
  </si>
  <si>
    <t>81883</t>
  </si>
  <si>
    <t>210168603</t>
  </si>
  <si>
    <t>DUR00891</t>
  </si>
  <si>
    <t>QISS Renewal</t>
  </si>
  <si>
    <t>Vedral, Prof Vlatko</t>
  </si>
  <si>
    <t>62312</t>
  </si>
  <si>
    <t>210168598</t>
  </si>
  <si>
    <t>HQR03470</t>
  </si>
  <si>
    <t>Negative cognitive biases</t>
  </si>
  <si>
    <t>O'Shea, Prof Jacinta</t>
  </si>
  <si>
    <t>b- 09/03/2026 chase to ap.  09/03/2026 email from ap - Please amend invoices to state: Imperial College London, Exhibition Road, London, SW7 2AZ - All invoices received, need to be addressed to Imperial College London, Exhibition Road, London, SW7 2AZ.  10/03/2026 email to Gareth - Please see the email below highlighted yellow regarding the attached invoices, can you reissue the invoice as requested to apinvoices@imperial.ac.uk letting me know once resent.</t>
  </si>
  <si>
    <t>BMPF_PSM694 # BM / 4809607</t>
  </si>
  <si>
    <t>210168639</t>
  </si>
  <si>
    <t>d- 19/01/2026 email to ap &amp; grants - Can you let me know if PO numbers have been generated to allow payment of the attached invoices.   03/03/2026 email to all -  Can you let me know if the attached invoices have been approved for payment.    04/03/2026 email from AP -  We are unable to process invoice 210164336, 210168639 as the po’s quoted on the invoices have already been fully matched against other invoices. Maggie Pearson/James Burnett  can you please advise the supplier of the correct po number they should be quoting for the above invoices.</t>
  </si>
  <si>
    <t>Camden and Islington NHS Foundation Trust</t>
  </si>
  <si>
    <t>84352</t>
  </si>
  <si>
    <t>210168687</t>
  </si>
  <si>
    <t>HQR03820</t>
  </si>
  <si>
    <t>EPICare pgfar</t>
  </si>
  <si>
    <t>Upthegrove, Prof Rachel</t>
  </si>
  <si>
    <t>b- 06/01/2026 email from Rita Virmani to Gareth - kindly forward the new supplier form duly completed and signed by the head of the department or Director of the department along with trust letterhead(blank).  Email from Gareth - 24.02 emailed funer to ask whey invoice not paid or if there are issues with the invoice.</t>
  </si>
  <si>
    <t>NIHR206807</t>
  </si>
  <si>
    <t>210168677</t>
  </si>
  <si>
    <t>CMR00170</t>
  </si>
  <si>
    <t>AZ Helicase</t>
  </si>
  <si>
    <t>d- 60 day payment terms.  22/12/2025 chase to finance.  07/01/2026 email from ap - The rest of the invoices - Following our thorough review, we found no record of the invoices in our Accounts Payable system. Please confirm when this invoice was sent to AstraZeneca, providing proof of submission, by rejecting the case solution, so we can follow up with our Accounts Payable Team?  07/01/2026 email to Anna -  Please see the email below regarding the above invoice on project CMR00170, can you confirm if the invoice was submitted on the Coupa portal if not can it be submitted letting me know when sent.  26/01/2026 email from Anna -  I have now submitted the invoice onto the portal.</t>
  </si>
  <si>
    <t>7100955840</t>
  </si>
  <si>
    <t>210168630</t>
  </si>
  <si>
    <t>M1R00030</t>
  </si>
  <si>
    <t>Enslaved Womens Emotional Exp</t>
  </si>
  <si>
    <t>Wilson, Dr Beth</t>
  </si>
  <si>
    <t>d- 09/03/2026 email to finance re payment of statement.</t>
  </si>
  <si>
    <t>PF21\210110</t>
  </si>
  <si>
    <t>210168635</t>
  </si>
  <si>
    <t>d- 26/01/2026 chase to various.  26/01/2026 email from Frederic Belanger - I have asked questions with accounting department, and they confirmed the invoiced was paid on October 16th, 2025. Will it be possible to double check on your end.  26/01/2026 email to Frederic -  see we did receive a payment of £10,000.00 on 16/10/2025 our Cashiers department applied this to invoice 210167023 copy attached.  09/03/2026 email to Frederic &amp; Paul -  Can you let me know if the attached invoice has been approved for payment.</t>
  </si>
  <si>
    <t>210172708</t>
  </si>
  <si>
    <t>DLR00920</t>
  </si>
  <si>
    <t>I.FAST</t>
  </si>
  <si>
    <t>101004730</t>
  </si>
  <si>
    <t>210172901</t>
  </si>
  <si>
    <t>DKR01150</t>
  </si>
  <si>
    <t>PERSEPHONe</t>
  </si>
  <si>
    <t>956270</t>
  </si>
  <si>
    <t>210172903</t>
  </si>
  <si>
    <t>210168718</t>
  </si>
  <si>
    <t>BAR01230</t>
  </si>
  <si>
    <t>IOLTAs</t>
  </si>
  <si>
    <t>Mulcahy, Prof Linda</t>
  </si>
  <si>
    <t>d- 22/12/2025 chase to grants.  23/12/2025 email from Ellen - Invoice reference 210168718 has now been processed however, we do require a budget tracker be provided as to how this invoice should be assigned to the grant.  Please update column J in the budget tracker.  23/12/2025 email to Sharmila -   Please see the email below regarding the attached invoice, can you update the attached tracker and forward to Ellen copying me into the response.  20/01/2026 email from Sharmila - Asked department to update tracker.  20/01/2026 email from Ellen -  Please can I ask when we might receive the budget tracker for invoice 210168718? It would be good to process this invoice for payment.  20/01/2026 email to Sharmila -  Please see a further email below regarding invoice 210168718 – BAR01230, would you be able to get an update from the department and respond to Ellen copying me into the response.  22/01/2026 email from Sharmila to Ellen -  Please find the updated budget tracker for invoice BAR01230 210168718 attached. Please do let me know if you have any questions.</t>
  </si>
  <si>
    <t>JUS/FR-000025072</t>
  </si>
  <si>
    <t>210168716</t>
  </si>
  <si>
    <t>Northwestern University</t>
  </si>
  <si>
    <t>31554</t>
  </si>
  <si>
    <t>210168995</t>
  </si>
  <si>
    <t>CZR01340</t>
  </si>
  <si>
    <t>Network Canvas 2.0  Mar23Jan24</t>
  </si>
  <si>
    <t>Hogan, Dr Bernard</t>
  </si>
  <si>
    <t>e- 28/01/2026 chase to finance.  payment 05/03/2026</t>
  </si>
  <si>
    <t>60064800 OX</t>
  </si>
  <si>
    <t>210168715</t>
  </si>
  <si>
    <t>CVR01260</t>
  </si>
  <si>
    <t>A Bhatia - CANVAS</t>
  </si>
  <si>
    <t>d- 12/11/2025 email to Zainab Camara - Thanks for your email, please see attached copies of the invoices.   12/11/2025 email fro Saba Kinate -  Can you please tell us the name of the person , who is responsible for this invoice for each invoice. With out this information we won't be able to process your invoice.   12/11/2025 email to Saba - Thanks for your email, the contact person for each invoice is below.  12/11/2025 email from Saba to all - Please check the attached invoices and send it back to us for a registration.   26/01/2026 chase to the invoice team.   09/03/2026 chase to various.</t>
  </si>
  <si>
    <t>101770PH</t>
  </si>
  <si>
    <t>210168717</t>
  </si>
  <si>
    <t>b- 26/01/2026 chase to finance.  03/03/2026 email to Tony Zemaitis with copy invoice.  03/03/2026 email from Tony - Could I please ask you to send it, along with a statement of expenditure to e-invoice@turing.ac.uk   with myself in CC as well?  03/03/2026 email to Sharmila -  Please see a further email below regarding project BLR03680, can the requested invoicing up to March and statement of expenditure be forwarded as requested cc in Tony.</t>
  </si>
  <si>
    <t>210168723</t>
  </si>
  <si>
    <t>HMR06170</t>
  </si>
  <si>
    <t>MNDA - Miller/Turner</t>
  </si>
  <si>
    <t>Miller, Prof Karla</t>
  </si>
  <si>
    <t>d- 26/01/2026 chase to the grants team.  09/03/2026 chase to research.</t>
  </si>
  <si>
    <t>Miller/Sep24/2456-793</t>
  </si>
  <si>
    <t>210174198</t>
  </si>
  <si>
    <t>210173782</t>
  </si>
  <si>
    <t>210168719</t>
  </si>
  <si>
    <t>BAR01220</t>
  </si>
  <si>
    <t>Mobilizing human rights &amp; resi</t>
  </si>
  <si>
    <t>Kubal, Dr Agnieszka</t>
  </si>
  <si>
    <t>d- 26/01/2026 chase to the query team.  09/03/2026 chase to ap.</t>
  </si>
  <si>
    <t>PolProj002</t>
  </si>
  <si>
    <t>210168862</t>
  </si>
  <si>
    <t>CWR00080</t>
  </si>
  <si>
    <t>CompBioMedEE</t>
  </si>
  <si>
    <t>EP/Y008766/1</t>
  </si>
  <si>
    <t>210168816</t>
  </si>
  <si>
    <t>d- 26/01/2026 chase to Lovepreet.  28/01/2026 email from Lovepreet -  We are yet to process the payment for these invoices, as we had encountered some technical issues earlier. Please expect the payment transfer to be completed by the end of this week.  31/01/2026 email from Lovepreet - Regarding the second invoice, we are currently finalizing the details and expect to have it processed shortly.  09/03/2026 email to Lovepreet - Thanks for your email, can you let me know if there is any update regarding the attached invoice.</t>
  </si>
  <si>
    <t>210168852</t>
  </si>
  <si>
    <t>d- 05/01/2026 email to Ellie to ap - The attached invoice was sent via email by my colleague on 4th November. Please see invoice attached again for ease.  09/03/2026 chase to ap.</t>
  </si>
  <si>
    <t>20626052</t>
  </si>
  <si>
    <t>210168836</t>
  </si>
  <si>
    <t>210168841</t>
  </si>
  <si>
    <t>210168854</t>
  </si>
  <si>
    <t>Microsoft Corporation</t>
  </si>
  <si>
    <t>41633</t>
  </si>
  <si>
    <t>210168871</t>
  </si>
  <si>
    <t>DFR09380</t>
  </si>
  <si>
    <t>MS Research project</t>
  </si>
  <si>
    <t>f- 60 day payment terms. 19/11/2025 email from Debanjan - Could you please provide your vendor id so that we can check and assist further.  21/11/2025 email from Jonasus to P2P -  The vendor ID should be 0002133906. Please let us know of a solution so we are able to submit DFR09380 on the portal.  24/11/2025 email from Debanjan to Jonasus -  Thanks for contacting AP.  Could you please alias which alias you are using while navigating the portal as we could see below users are having access on to the supplier web portal.  Please confirm, based on that we will proceed further.  28/11/2025 email from Jonasus to the team - My team will use the stephen.barker@admin.ox.ac.uk.  01/12/2025 email from Debanjan to Jonasus - Could you please check why below user alias is facing issue while log in to the supplier web portal - He is one of the admin of the supplier id 0002133906.  03/12/2025 email from the help desk -  We believe we have a solution for your issue see below.  04/12/2025 email from M Kumar to Jonasus - Please find below the instructions from our technical team to assist you with your issue. Kindly follow these steps and let us know if you encounter any problems. If possible, please provide any error messages or screenshots you receive during the process.  07/01/2026 email from Jonasus - Funder has agreed that submission does not need to be onto the portal - a portal we didn't have access to! I have amended the invoice comment to reflect the new instructions.  09/03/2026 chase to various.</t>
  </si>
  <si>
    <t>2019-0xx#101281119</t>
  </si>
  <si>
    <t>210168853</t>
  </si>
  <si>
    <t>d-  09/03/2026 chase to ap.</t>
  </si>
  <si>
    <t>210168893</t>
  </si>
  <si>
    <t>HFR07220</t>
  </si>
  <si>
    <t>THRIVE</t>
  </si>
  <si>
    <t>d- 28/01/2026 chase to study finance.  28/01/2026 email from Emma - This was approved for payment on 6 January. I have copied in AP so they can advise on payment.  30/01/2026 email from the billing team - I can confirm that invoice 210168893has been validated and will be included in the next available BACS run.</t>
  </si>
  <si>
    <t>NIHR 207903 - THRIVE</t>
  </si>
  <si>
    <t>210168883</t>
  </si>
  <si>
    <t>HFR06401</t>
  </si>
  <si>
    <t>RDN 24/25.</t>
  </si>
  <si>
    <t>d- 28/09/2026 email to Emma Greenland - Can you let me know if the attached invoice has been approved for payment.  28/01/2026 email from Emma -  This invoice was approved for payment on 11 December.  Copying in our AP team who will be able advise on payment.  29/01/2026 email from Flavia Vlad (billing team) -  The invoice has been validated in the system and should be included in the next available BACS run.  09/03/2026 email to the billing team -   Thanks for your email, can you let me know if the invoice has been paid?</t>
  </si>
  <si>
    <t>210168896</t>
  </si>
  <si>
    <t>H5R02140</t>
  </si>
  <si>
    <t>Lynchvax Moderna</t>
  </si>
  <si>
    <t>Church, Prof David</t>
  </si>
  <si>
    <t>d- 15/12/2025 chase to the query team.  18/12/2025 email from Shiva Shankar to the payment team - Could you please find the below request pertaining to University of Oxford- 209372.  06/01/2026 resent invoice to ap.  18/02/2026 email from Chloe Moss -   No issues on our end now it's been clarified. It's pending final approval internally, but should be completed this week or early next (a lot of people are off during half term).  06/03/2026 email from to Chloe -   Can you let me know if the attached invoice has been approved for payment.</t>
  </si>
  <si>
    <t>N/A#7700083202</t>
  </si>
  <si>
    <t>210168922</t>
  </si>
  <si>
    <t>210168976</t>
  </si>
  <si>
    <t>d- 08/08/25 chase to the helpdesk.  21/08/25 email from Solja Hoeft to Laura Frizzel -  Oxford University is chasing three invoices, all against PO UOE1375511, which needs to be increased to cover all three invoices.  I am adding the buyer on this order to help you with amendments.  21/08/25 email from Jennifer Fee to Laura Frizzel -  PO needs increased by - Are you happy for your budget holder to approve this additional spend.   06/10/25 chase the the help desk.  08/10/25 email from Nicole Robertson - Thank you for your email.  We are currently resolving this issue under ticket I250522-1942 an will update accordingly.  If you have any queries please quote 'I250522-1942' to avoid any duplicate tickets and possible delays.  01/12/2025 chase to finance.  28/01/2026 urgent chase to the query team.  09/03/2026 chase to the helpdesk.</t>
  </si>
  <si>
    <t>210168905</t>
  </si>
  <si>
    <t>DCR01110</t>
  </si>
  <si>
    <t>NextGEMS LC-CLA-18-2020</t>
  </si>
  <si>
    <t>101003470</t>
  </si>
  <si>
    <t>210168950</t>
  </si>
  <si>
    <t>H4R01660</t>
  </si>
  <si>
    <t>WIMM - Psaila - CRUK ACSF</t>
  </si>
  <si>
    <t>Psaila, Prof Bethan</t>
  </si>
  <si>
    <t>d- 19/01/2026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</si>
  <si>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C67633/A29034</t>
  </si>
  <si>
    <t>210168911</t>
  </si>
  <si>
    <t>H4R02640</t>
  </si>
  <si>
    <t>WIMM - Higgs-MRC MCMB -Jan22</t>
  </si>
  <si>
    <t>MR/X001210/1</t>
  </si>
  <si>
    <t>Ishrat Husain Pakistan Institute of Living and Learning (PILL)</t>
  </si>
  <si>
    <t>125229</t>
  </si>
  <si>
    <t>210168973</t>
  </si>
  <si>
    <t>HQR03850</t>
  </si>
  <si>
    <t>Integrated Psychosocial Care P</t>
  </si>
  <si>
    <t>b- 23/01/2026 email from Syed Noor Ali to Gareth - Please find attached the QSTOX template for the Moving on ABC project, as referenced in the earlier emails.  23/01/2026 email from Gareth to Justin (dept) - The funder has sent me the template for the QSTOX for this project, I have attempted to complete the quarterly figures on the sheet. I noticed the PA is off for some of the figures, according to the set up it should be 20% on everything, could you please check the figures and let me know if any headings should be exempt or at a different rate, and complete the forecast section and return to me for approval.  Email from Gareth - 24.02 chased dept for QSTOX to send to funder to release invoices.</t>
  </si>
  <si>
    <t>NIHR205561</t>
  </si>
  <si>
    <t>210168965</t>
  </si>
  <si>
    <t>d-  19/01/2026 email to Emma Greenland.  21/01/2026 email from Emma to the billing team  - Please process the attached invoices.</t>
  </si>
  <si>
    <t>210168961</t>
  </si>
  <si>
    <t>d- 28/01/2026 chase to Barbara Fuller.  02/03/2026 email from Leigh Hannam to Ross (dept) - We don’t appear to have the attached invoice on our finance system, so I will get this forwarded for processing now.</t>
  </si>
  <si>
    <t>210168926</t>
  </si>
  <si>
    <t>H5R02100</t>
  </si>
  <si>
    <t>EDENT1FI</t>
  </si>
  <si>
    <t>10112483</t>
  </si>
  <si>
    <t>210168949</t>
  </si>
  <si>
    <t>H9R00370</t>
  </si>
  <si>
    <t>EUbOPEN 1</t>
  </si>
  <si>
    <t>Elkins, Dr Jonathan</t>
  </si>
  <si>
    <t>d- Payment expected end of April 2026</t>
  </si>
  <si>
    <t>875510</t>
  </si>
  <si>
    <t>210168997</t>
  </si>
  <si>
    <t>210170542</t>
  </si>
  <si>
    <t>KES</t>
  </si>
  <si>
    <t>B9R05901</t>
  </si>
  <si>
    <t>Kenya Core KSH</t>
  </si>
  <si>
    <t>227131/A/23/Z</t>
  </si>
  <si>
    <t>210169007</t>
  </si>
  <si>
    <t>HFR05491</t>
  </si>
  <si>
    <t>WHITE-DECI 21</t>
  </si>
  <si>
    <t>d- 02/02/2026 chase to study finance.  02/02/2026 emai received - Its me Nigel Byng. We haven’t had this invoice very long (the original didn’t get to us). We know about it , but we cant pay it until the final tranche of NIHR funds are released. We need to complete the final return template but we haven’t received it yet to unblock the remaining funds. Sarah Keenan in NDORMS is trying to the template for us. I’ll make note to send you an update in a month, but the good news is that we have it.</t>
  </si>
  <si>
    <t>NIHR203127 #</t>
  </si>
  <si>
    <t>210169002</t>
  </si>
  <si>
    <t>d- 02/02/2026 chase to ap.  09/03/2026 chase to various.</t>
  </si>
  <si>
    <t>210170544</t>
  </si>
  <si>
    <t>B9R05903</t>
  </si>
  <si>
    <t>PE Core KSH</t>
  </si>
  <si>
    <t>227131/C/23/Z</t>
  </si>
  <si>
    <t>210169024</t>
  </si>
  <si>
    <t>HJR02760</t>
  </si>
  <si>
    <t>VASCUL-AID</t>
  </si>
  <si>
    <t>10079480</t>
  </si>
  <si>
    <t>210169077</t>
  </si>
  <si>
    <t>210169078</t>
  </si>
  <si>
    <t>Snaith DSIT May 2023</t>
  </si>
  <si>
    <t>210169113</t>
  </si>
  <si>
    <t>HSR01620</t>
  </si>
  <si>
    <t>CRTF_O.Rider_J.Pan_2021</t>
  </si>
  <si>
    <t>b-  21/11/2025 email from Rianna to Lucy - Please note that we have rejected the invoice above due to not receive the invoice backing. Please could you provide us with the equipment receipt and detail what Equipment item the cost relates to. For the invoice to be paid, the query must be resolved in 2 weeks. As per our Standard Terms and Conditions of Grant, if we do not receive clarification of any outstanding queries on this claim within two weeks, we will remove the invoice from our system.  21/11/2025 email from Lucy to Rianna - Thanks for your email. I have contacted our grants team so will be in touch soon.  10/12/2025 email from Lucy -  sent receipts to Rianna on Nov 24. Currently awaiting reply.  12/01/2026 email from Lucy -  Will be looked at once previous invoices have been processed.  22/01/2026 email from Lucy to Rianna - Please could you let me know the outstanding issues for 210159186, 210169241 and 210169113 and I will work with the grants' team to resolve these.  10/02/2026 email from Lucy - Waiting for a response from Rianna at BHF.</t>
  </si>
  <si>
    <t>FS/CRTF/22/24293</t>
  </si>
  <si>
    <t>210169120</t>
  </si>
  <si>
    <t>d- 13/01/2026 email from Gloria Sankey to Lucy - I hope this message finds you well. Apologies for the delay in processing the attached invoice. Unfortunately, this invoice has been placed on hold due to an overdrawn amount in the consumables budget. This issue needs to be rectified before we can proceed with processing any further invoices. Below is the budget summary for your reference.  14/01/2026 email from Lucy to Gloria - I have spoken to the grants team and they have removed a total of £23,458 off of consumables as there were some charges that were incorrectly categorised. These were in January-25 and again in March-25 as shown in the 2 invoices attached.  They do not believe that these have been factored into the BHF's calculation.  09/03/2026 email to Gloria -  Can you let me know if the attached invoice has been approved for payment or if there are any queries.</t>
  </si>
  <si>
    <t>Georgetown University</t>
  </si>
  <si>
    <t>69249</t>
  </si>
  <si>
    <t>210169112</t>
  </si>
  <si>
    <t>LER01410</t>
  </si>
  <si>
    <t>STARS scale-up</t>
  </si>
  <si>
    <t>AWD7775337-GR296182</t>
  </si>
  <si>
    <t>44255</t>
  </si>
  <si>
    <t>210169135</t>
  </si>
  <si>
    <t>Wearable technology for PD</t>
  </si>
  <si>
    <t>d-  16/02/2026 email from Ellie to research - For the period 01/01/25 - 31/03/25 the staff cost breakdwn for the collaborator is: I hope this answers all queries but if you have any further questions please do let me know.  16/02/2026 email from Ellie to Ellie - Thanks for sending this through – that’s helpful. Please can I just check the period of the claim? In the breakdown attached and below the costs incurred are from 1/10/2023-30/04/2025, which is what we are expecting in line with the project work. However, on the invoice attached the period claim is 01/03/2025-30/04/2025. Please can this be updated with the correct period and then we should be able to process with our finance department.  17/02/2026 email from Ellie to Ellie - The period dates on this claim appear to be correct from what I can see. The previous invoice (210158731) period was 1st October 2024-28th Feb 2025 so this new claim is 1st March 2025 to 30th April 2025. The costs that appear on this invoice are back dated as they were posted to the project after the previous invoice was raised and so were not captured on that invoice and instead appear on here. I hope that makes sense but if you have any further questions please do let me know.  17/02/2026 email from Ellie to Ellie - Thank you for confirming I will process this with our finance department for payment and let you know if there are any further questions.</t>
  </si>
  <si>
    <t>BY-MH01</t>
  </si>
  <si>
    <t>210169140</t>
  </si>
  <si>
    <t>DEFINE (was FeNO)</t>
  </si>
  <si>
    <t>Wang, Dr Kay</t>
  </si>
  <si>
    <t>d- 09/02/2026 chase to Julie Barker.  09/02/2026 email from Joo - I’m afraid it has just come to light that we haven’t actually received the payment for this quarters grant from DHSC. We have been assured by Rachel Orsei (Programme Manager at NIHR) that we should receive it by the end of the month. I will confirm when we have received it and passed the invoice for processing. Please do get back to me if this causes any issues.  26/02/2026 email from Joo -  I can also confirm we have received the delayed funding for the grant …20002 – Wang, and the invoice we already have (210169140) has been passed for payment today.</t>
  </si>
  <si>
    <t>RP-PG-0618-20002</t>
  </si>
  <si>
    <t>210169314</t>
  </si>
  <si>
    <t>B9R04191</t>
  </si>
  <si>
    <t>Thai - CORE THB PPE</t>
  </si>
  <si>
    <t>220211/A/20/Z CORE</t>
  </si>
  <si>
    <t>210169183</t>
  </si>
  <si>
    <t>DFR10180</t>
  </si>
  <si>
    <t>Supporting Ukraines recovery</t>
  </si>
  <si>
    <t>Martinez-Paneda, Prof Emilio</t>
  </si>
  <si>
    <t>d- 10/12/2025 email from Jonasus to Georgina Clarke - I have now re-submitted this invoice.  10/12/2025 email from Georgina to Jonasus -  Thank you for your email. Thank you for providing the documentation as requested. Please be assured that your claim will be reviewed shortly.  06/03/2026 email from Jonasus to Sarah Smalley -  Please find the two invoices for S3ROU attached.</t>
  </si>
  <si>
    <t>10097027</t>
  </si>
  <si>
    <t>210169186</t>
  </si>
  <si>
    <t>210169315</t>
  </si>
  <si>
    <t>210169266</t>
  </si>
  <si>
    <t>1P01CA257904-01A1#5639045</t>
  </si>
  <si>
    <t>210169313</t>
  </si>
  <si>
    <t>Vattenfall Duurzame Energie NV</t>
  </si>
  <si>
    <t>115182</t>
  </si>
  <si>
    <t>210169263</t>
  </si>
  <si>
    <t>CBR01310</t>
  </si>
  <si>
    <t>Blade painting as mitigation a</t>
  </si>
  <si>
    <t>Taylor, Dr. Graham</t>
  </si>
  <si>
    <t>b- 03/02/2026 chase to ap.  05/03/2026 email from ap - This letter is to notify you that attached document cannot be processed due to lack of information . Please be aware that below noted information is required for the processing of your document. Documents. that do not meet these requirements will not be processed. Additional information needed: Vattenfal reference person (Last name, first nameand email address ) is incorrect or missing for invoices without Purchase Order.  05/03/2026 email to Ciaran -   Please see the email below and attached regarding invoice 210169263 – CBR01310, can you amend with the requested and obtain a PO an reissue the invoice letting me know when resent.</t>
  </si>
  <si>
    <t>PO# 450547785</t>
  </si>
  <si>
    <t>UK Space Agency</t>
  </si>
  <si>
    <t>62123</t>
  </si>
  <si>
    <t>210169289</t>
  </si>
  <si>
    <t>DCR01024</t>
  </si>
  <si>
    <t>MIRMIS 22-25</t>
  </si>
  <si>
    <t>Bowles, Prof Neil</t>
  </si>
  <si>
    <t>d- FES - STFC</t>
  </si>
  <si>
    <t>ST/X002365/1</t>
  </si>
  <si>
    <t>210169254</t>
  </si>
  <si>
    <t>DFR08540</t>
  </si>
  <si>
    <t>ASPECTS (RIA)</t>
  </si>
  <si>
    <t>Ares, Prof Natalia</t>
  </si>
  <si>
    <t>10058287</t>
  </si>
  <si>
    <t>210169261</t>
  </si>
  <si>
    <t>DFR08680</t>
  </si>
  <si>
    <t>HEAVEN</t>
  </si>
  <si>
    <t>10064212</t>
  </si>
  <si>
    <t>210169290</t>
  </si>
  <si>
    <t>AMR00510</t>
  </si>
  <si>
    <t>Cucuringu - GCHQ-Turing</t>
  </si>
  <si>
    <t>Cucuringu, Prof Mihai</t>
  </si>
  <si>
    <t>d- 27/11/2025 email from Chiara Sbruazzo to Henry - We are currently awaiting confirmation from the Contracts team at Oxford to proceed with signing the amendment agreement related to the deliverables covered by this invoice. Once the amendment is fully executed, we will raise a corresponding Purchase Order and send it to you to match it with the invoice. Once you have matched the invoice to the PO, please send it to e-invoice@turing.ac.uk.  03/02/2026 email to Chiara - Thanks for your email below to Henry, can you let me know if a PO has been issued for the invoice.  03/02/2026 chase to finance.</t>
  </si>
  <si>
    <t>TIL-R-DST-SNE/G2007/Oxford</t>
  </si>
  <si>
    <t>210169349</t>
  </si>
  <si>
    <t>HCR01323</t>
  </si>
  <si>
    <t>NIPAH WP2</t>
  </si>
  <si>
    <t>d- 30/01/2026 email from Euken (dept) including Ellie - As discussed yesterday, under CEPI instructions I have submitted payment requests on Salesforce for the below projects. The payment requests are calculated directly on Salesforce based on cash availability (as per CEPI records of payments to date vs reported expenditure) and the projected expenditure for the following period. Hope this will help with the income allocation: HCR01320 payment request calculation done by SF: HCR01323 + HNR03730 , same programme and paid at the same time,  payment request calculation done by SF ($4,256,459.83).</t>
  </si>
  <si>
    <t>PADOVAX Nipah WP2 # P-001003</t>
  </si>
  <si>
    <t>210169325</t>
  </si>
  <si>
    <t>ANR01880</t>
  </si>
  <si>
    <t>High LET Particles</t>
  </si>
  <si>
    <t>Hill, Dr Mark</t>
  </si>
  <si>
    <t>1003136 #UOB638961</t>
  </si>
  <si>
    <t>GE Precision Healthcare LLC</t>
  </si>
  <si>
    <t>103276</t>
  </si>
  <si>
    <t>210169339</t>
  </si>
  <si>
    <t>HSR02000</t>
  </si>
  <si>
    <t>GE Healthcare</t>
  </si>
  <si>
    <t>Piechnik, Dr Stefan</t>
  </si>
  <si>
    <t>f- 90 day payment terms.   03/02/2026 chase to Wajiha Ahmad.  06/02/2026 email from Wajiha - •	Invoice 210169339 on 25 March 2026</t>
  </si>
  <si>
    <t>210169354</t>
  </si>
  <si>
    <t>CFR01590</t>
  </si>
  <si>
    <t>A.Armitage- IMPRINT</t>
  </si>
  <si>
    <t>Armitage, Mr Andrew</t>
  </si>
  <si>
    <t>104516IR-14</t>
  </si>
  <si>
    <t>210169352</t>
  </si>
  <si>
    <t>210169350</t>
  </si>
  <si>
    <t>HNR03730</t>
  </si>
  <si>
    <t>NIPAH Supplement - WP3</t>
  </si>
  <si>
    <t>Angus, Prof Brian</t>
  </si>
  <si>
    <t>d- 30/01/2026 email from Euken (dept) Gavin &amp; Ellie - As discussed yesterday, under CEPI instructions I have submitted payment requests on Salesforce for the below projects. The payment requests are calculated directly on Salesforce based on cash availability (as per CEPI records of payments to date vs reported expenditure) and the projected expenditure for the following period. Hope this will help with the income allocation: HCR01320 payment request calculation done by SF: HCR01323 + HNR03730 , same programme and paid at the same time,  payment request calculation done by SF ($4,256,459.83).</t>
  </si>
  <si>
    <t>PADOVAX Nipah WP3</t>
  </si>
  <si>
    <t>210169327</t>
  </si>
  <si>
    <t>d- 03/02/2026 email to Emma Greenland - Can you let me know if the attached invoice has been approved for payment.  04/02/2026 email from Emma to the billing team -  I can't see this invoice on Fusion that I sent on 5th January.   Please can it be processed asap.</t>
  </si>
  <si>
    <t>8915</t>
  </si>
  <si>
    <t>210169370</t>
  </si>
  <si>
    <t>BXR01520</t>
  </si>
  <si>
    <t>ADILA</t>
  </si>
  <si>
    <t>Pouwels, Dr Koen</t>
  </si>
  <si>
    <t>d- 03/02/2026 chase to ap.</t>
  </si>
  <si>
    <t>222051/Z/20/Z#28008339</t>
  </si>
  <si>
    <t>210169371</t>
  </si>
  <si>
    <t>DGR02020</t>
  </si>
  <si>
    <t>PaleoGradPhan</t>
  </si>
  <si>
    <t>Robinson, Prof Stuart</t>
  </si>
  <si>
    <t>d- 22/12/2025 chase to purchasing.  03/02/2026 chase to the team.  05/02/2026 email from Cat (ap) - Invoice 210169371 is with @Dan Lunt for Budget Holder Approval.</t>
  </si>
  <si>
    <t>R102962-101</t>
  </si>
  <si>
    <t>210169418</t>
  </si>
  <si>
    <t>210169421</t>
  </si>
  <si>
    <t>HNR02111</t>
  </si>
  <si>
    <t>NOD Y4</t>
  </si>
  <si>
    <t>b- 28/01/2026 email to Lorraine -  Can you let me know if the attached invoice has been approved for payment, the outstanding balance is $5,805.81 as the balance we had on account $2,412.64 has been applied to it.  25/02/2026 email from Lorraine - That invoice was rejected because it exceeds the available funds of $5821.97.  26/02/2026 email to Gavin -  Please see the email below regarding invoice 210169421 – HNR02111, can you look into if the invoice needs to be revised and respond to Lorraine copying me into the response.  26/02/2026 email from Gavin to Lorraine -  Please see below the invoices we have sent. The budget we have for this project is $259,857.16 and this final invoice only takes us to claiming $259,841 so should be within budget. The final invoice has been partially paid as Wayne has mentioned. Is this what is causing the confusion as there's only a balance of $5805.81 due on that which falls within the $5821.97 you've suggested is available?  26/02/2026 email from Lorraine to Gavin -  What is meant by "partially paid"?  26/02/2026 email from Gavin to Lorraine -  As Wayne mentioned a few emails back, there was a payment of $2412.64 made against this invoice, that's why only $5805.81 remains outstanding. Does that make sense?  26/02/2026 email from Lorraine to Gavin - OK, yes that makes sense, but then the invoice being presented now should only be for that amount, $5805.81, and not $8219.37. The invoice for $8219.37 was rejected because it exceeds the available PO balance. Can a revised invoice for $5805.81 be submitted?  You can email it to me.</t>
  </si>
  <si>
    <t>PID 835050 SUB 2912 #PO25746444</t>
  </si>
  <si>
    <t>210169413</t>
  </si>
  <si>
    <t>B9R05930</t>
  </si>
  <si>
    <t>Warimwe - Wright &amp; Pirbright</t>
  </si>
  <si>
    <t>Warimwe, Prof George</t>
  </si>
  <si>
    <t>b- 04/02/2026 chase to ap.  05/02/2026 email from ap - The attached invoice 210169413 is currently on hold. @Claire raised a query on this invoice to David Cothier at the beginning of January but we haven’t received a response. Please see attached email trail for more details. We would be very grateful if you could review and advise us on the query.  05/02/2026 email to David Cothier (dept) - Please see the email below and attached regarding the attached invoice can you help with this.</t>
  </si>
  <si>
    <t>2023-0253#103245</t>
  </si>
  <si>
    <t>US Department of Defence</t>
  </si>
  <si>
    <t>62449</t>
  </si>
  <si>
    <t>210169444</t>
  </si>
  <si>
    <t>AJR01130</t>
  </si>
  <si>
    <t>Fraydoon DOD KCRP</t>
  </si>
  <si>
    <t>Rastinejad, Prof Fraydoon</t>
  </si>
  <si>
    <t>W81XWH2210821</t>
  </si>
  <si>
    <t>210169422</t>
  </si>
  <si>
    <t>d-  04/02/2026 chase to ap.  04/02/2026 email from ap - Your invoice has been returned to you as you have not quoted a Purchase Order number on it. **Please note Accounts Payable do not provide Purchase Orders number(s) – you must liaise with your contact at the UoR. Please email invoices directly to invoices@reading.ac.uk.  04/02/2026 email to Daniel - Please see the email below regarding the attached invoice, can you obtain a PO number and reissue the invoice letting me know when resent.  04/02/2026 email from Khaula Dar to various - The invoice would have been sent to the school for a PO to be raised, to go along with the stamped invoice (see attached) -  @Cecilia Asplund can you kindly follow up with SBS please?</t>
  </si>
  <si>
    <t>210169430</t>
  </si>
  <si>
    <t>Institution of Structural Engineers</t>
  </si>
  <si>
    <t>106954</t>
  </si>
  <si>
    <t>210169438</t>
  </si>
  <si>
    <t>DFR09340</t>
  </si>
  <si>
    <t>EEFIT 2023 Research Grant</t>
  </si>
  <si>
    <t>Acikgoz, Prof Mehmet</t>
  </si>
  <si>
    <t>f-  07/01/2026 email from Jonasus to the dept - The invoice DFR09340 210169438 remains outstanding. As per Sinan's email below, there was a presentation outstanding, please advise if this has been completed?  07/01/2026 email from Ross (dept) to Sinan -  Are you able to confirm on the below, please?  07/01/2026 email from Sinan - Yes all fine now.  Email from Jonasus -  14-01-2025 PI has confirmed deliverables have been completed.  03/02/2026 email from Jonasus to various -  The invoice attached remains outstanding. Please may I kindly ask if there are issues with the project?  10/02/2026 email from Jonasus to various -  Sorry to chase on this. Please note the invoice DFR09340 210169438 remains outstanding.  11/02/2026 email from Ross (dept) to Sinan - Please can you advise on whether there is a reason this isn’t being paid.  Do you have a key contact at the Institution of Structural Engineers who can assist with this?  11/02/2026 email from Sinan to all -  I have not dealt with the finances in relation to grants so unsure why this is.  Is this the ICE or the IStructE? If it is the ICE, our contact is Samantha Wood at rdefund@ice.org.uk. They confirmed that the project is completed.  If it is the IStructE, our contact is "Allan Brereton" &lt;allan.brereton@istructe.org&gt;. They confirmed our report and we have a day for final presentation. I don't see why they would not pay.  04/03/2026 email from Jonasus to Sinan - The contact that I have been sending the claims to is Allan.Brereton@istructe.org. Please see below form:  The invoices remain unpaid today.  04/03/2026 email from Sinan to Jonasus -   the final presentation is on the 18th . May be they were waiting for this for the payment.</t>
  </si>
  <si>
    <t>210169435</t>
  </si>
  <si>
    <t>d- 23/01/2023 email from Jonasus to ap - The invoice attached was returned due to incorrect VAT. The invoice VAT number is DE452581964, corresponding to the line highlighted below: Please advise on the correct VAT for this invoice?  23/01/2026 email from Tanja Laudon - the given Sony VAT DE452581964 on PO is the correct one . I assume as the VAT is not mentioned directly underneath Sony’s address the payment team overlooked it and has taken inadvertently the VAT No Uni Oxford. I already raised a service ticket and escalated it today. Coming back to you asap. Sorry for the inconvenience.  02/02/2026 email from Jonasus to various - Please find the invoice attached. Aldo, please note that the GB VAT has been added onto the invoice as per advise below.</t>
  </si>
  <si>
    <t>n/a #PO 4300144801</t>
  </si>
  <si>
    <t>210169451</t>
  </si>
  <si>
    <t>DUR00901</t>
  </si>
  <si>
    <t>Quantum US - Extension</t>
  </si>
  <si>
    <t>W911NF-20-1-0038</t>
  </si>
  <si>
    <t>210169454</t>
  </si>
  <si>
    <t>210169449</t>
  </si>
  <si>
    <t>DUR01400</t>
  </si>
  <si>
    <t>Lucas USAF Jan 24</t>
  </si>
  <si>
    <t>W911NF2410380</t>
  </si>
  <si>
    <t>210169450</t>
  </si>
  <si>
    <t>DUR01420</t>
  </si>
  <si>
    <t>Ballance US Jan 24</t>
  </si>
  <si>
    <t>W911NF2510010</t>
  </si>
  <si>
    <t>210169453</t>
  </si>
  <si>
    <t>210169455</t>
  </si>
  <si>
    <t>CQR02450</t>
  </si>
  <si>
    <t>A day in the life.</t>
  </si>
  <si>
    <t>Staresina, Prof Bernhard</t>
  </si>
  <si>
    <t>NIF\R1\221006</t>
  </si>
  <si>
    <t>210169486</t>
  </si>
  <si>
    <t>d- 02/12/2025 email from Donna to Christine Weaver - I can arrange for an updated invoice to be sent to you. It does look like Gavin Robertson has sent an invoice, updated with the PO number,  on 3 11 25 but it seems to have a different postal address to the one I have used.  Is this the correct address? Do you want me to amend the previous invoice to match this?    02/12/2025 email to Christine to Donna - Before I give you a new PO number to cover period 01.07.25 – 30.09.25 I’m still waiting on an invoice for the last period.   Please refer to the attached email I SENT TO Anna on 21.10.2025. Can you please check this and get back to me?  Email from Donna -  10 12 2025 no repsonse fomr Glasgow yet. Need address confirmed.  Emaill from Donna -  14 1 26 email to funder Would you be able to send me the correct PO number for the most recent invoice, please?  14/01/2026 email from Donna to Christine Weaver - I can see that the invoice for the previous period of this project has been processed and paid.  Would you be able to send me the correct PO number for the most recent invoice, please?   I shall be raising the next invoice in a few days and I am keen to have this invoice out the door fully before I do so.    20/01/2026 email from Christine to Donna -  Gavin has already responded with an amended invoice.</t>
  </si>
  <si>
    <t>210169457</t>
  </si>
  <si>
    <t>210169465</t>
  </si>
  <si>
    <t>DJR03060</t>
  </si>
  <si>
    <t>4D-NMR</t>
  </si>
  <si>
    <t>Nellist, Prof Peter</t>
  </si>
  <si>
    <t>10071463</t>
  </si>
  <si>
    <t>210169466</t>
  </si>
  <si>
    <t>B9R04310</t>
  </si>
  <si>
    <t>PhotoBoost</t>
  </si>
  <si>
    <t>Fuller, Dr Sebastian</t>
  </si>
  <si>
    <t>862127</t>
  </si>
  <si>
    <t>210169504</t>
  </si>
  <si>
    <t>DKR01470</t>
  </si>
  <si>
    <t>RAIMM Yuan</t>
  </si>
  <si>
    <t>EP/Y029135/1</t>
  </si>
  <si>
    <t>210169541</t>
  </si>
  <si>
    <t>DMR02100</t>
  </si>
  <si>
    <t>NATBIO</t>
  </si>
  <si>
    <t>Burton, Prof Jonathan</t>
  </si>
  <si>
    <t>EP/Y026888/1</t>
  </si>
  <si>
    <t>210169525</t>
  </si>
  <si>
    <t>CYR00420</t>
  </si>
  <si>
    <t>CHRONO</t>
  </si>
  <si>
    <t>835079</t>
  </si>
  <si>
    <t>210169539</t>
  </si>
  <si>
    <t>BZR02930</t>
  </si>
  <si>
    <t>GBS3</t>
  </si>
  <si>
    <t>d- 09/03/2026 chase to the post award team.</t>
  </si>
  <si>
    <t>210169517</t>
  </si>
  <si>
    <t>CSR00181</t>
  </si>
  <si>
    <t>CGCV.</t>
  </si>
  <si>
    <t>Slade, Dr. Ingrid</t>
  </si>
  <si>
    <t>d- 26/01/2026 chase to ap.  26/01/2026 email from Andrea Soloman - The other invoice referred to our research accountant for checking before we can add it on the system.</t>
  </si>
  <si>
    <t>DGECATAAI</t>
  </si>
  <si>
    <t>210169520</t>
  </si>
  <si>
    <t>210169515</t>
  </si>
  <si>
    <t>d- 06/01/2026 email from Emma Greenland to Gareth - It was the detailed breakdown (ie all the transations) I need.  I already have the invoices.  06/01/2026 email from Gavin to Emma - Please see attached breakdown split across two sheets. I'll send you something similar for the other project.</t>
  </si>
  <si>
    <t>210169518</t>
  </si>
  <si>
    <t>d- 06/01/2026 email from Emma Greenland - As with the previous one I need the detailed breakdown not copy invoices.  06/01/2026 email from Gavin to Emma - Here's the backup for this projects invoices.</t>
  </si>
  <si>
    <t>210169510</t>
  </si>
  <si>
    <t>HNR02532</t>
  </si>
  <si>
    <t>NIH Grant, Tulane University..</t>
  </si>
  <si>
    <t>d- 04/02/2026 chase to Christopher Lyon.</t>
  </si>
  <si>
    <t>5R01HD103511-02</t>
  </si>
  <si>
    <t>210169523</t>
  </si>
  <si>
    <t>210169546</t>
  </si>
  <si>
    <t>d- 28/01/2026 chase to the post award team.  30/01/2026 email from Sarah Gillies - Apologies for the delay in getting these paid. I’ve just passed the ones ending 8908 and 5495 for payment so they should go in next week’s payment run and be in your account on Friday 6th.  A colleague is dealing with the other one.</t>
  </si>
  <si>
    <t>210169540</t>
  </si>
  <si>
    <t>210169526</t>
  </si>
  <si>
    <t>HNR03000</t>
  </si>
  <si>
    <t>ALT</t>
  </si>
  <si>
    <t>Rose, Dr Anna</t>
  </si>
  <si>
    <t>b- 26/02/2026 email from Zachary to Gavin -  I’m afraid I don’t have access to this information for OHSRC Grants, so I will have to refer to Michele. She’s currently on annual leave but will be back on Monday, I will ask her to double-check the expenditures and amounts and get back to you as soon as she can.  02/03/2026 email from Michele Tombs to Gavin -  I have investigated this and can see that we made a mistake and paid £3183.47 against invoice 210146502, which should have been £3138.47, so the remaining amount on the grant is £3608.74. Sorry for the confusion.  02/03/2026 email from Gavin to Michele - Thanks for this. Wayne, is what Michele has said correct and is there therefore an amount of £45 sat somewhere that we can allocate to this project? Michele, would you rather pay £3589.85 from invoice 210169526 based on the £45 overpayment previously or will your system not allow that and need me to credit that and raise an invoice for the reduced amount?  03/03/2026 email to Gavin - Yes this is correct I’ve found the payment of £45 I can get this allocated to the project.  03/03/2026 email from Michele to Gavin -  Please can we have a credit note for the overpayment to set against invoice 210169526.</t>
  </si>
  <si>
    <t>Unique cost centre 8452</t>
  </si>
  <si>
    <t>210169506</t>
  </si>
  <si>
    <t>DKR01450</t>
  </si>
  <si>
    <t>SEALPTSC Wang</t>
  </si>
  <si>
    <t>EP/Y029216/1</t>
  </si>
  <si>
    <t>210169607</t>
  </si>
  <si>
    <t>210169591</t>
  </si>
  <si>
    <t>BBR00350</t>
  </si>
  <si>
    <t>MyLiverCancer</t>
  </si>
  <si>
    <t>BRC4Y3supp-13</t>
  </si>
  <si>
    <t>210169613</t>
  </si>
  <si>
    <t>d- 09/12/2025 chase to study finance.  09/12/2025 chase to study finance.  05/01/2026 email from Emma Greenland forwarded to Ellie - I have been passed this invoices which I hadn't received previously.   They haven't got a breakdown attached which is required by the NIHR.   Please could you provide this asap.  05/01/2026 email from Ellie to Emma - Please find attached the breakdowns for these invoices. If you have any further queries please do let me know.   06/01/2026 email from Emma to the billing team - Please process the attached invoice.</t>
  </si>
  <si>
    <t>210169586</t>
  </si>
  <si>
    <t>DFR11180</t>
  </si>
  <si>
    <t>RAB</t>
  </si>
  <si>
    <t>d- 21/11/2025 email from Andrew Semenenko (dept) - Please quote P.O 2674906 on all future invoices in relation to this project. Could you please let me know once the invoice has been raised and forward it to me?  10/12/2025 email from Jonasus to the dept -  Please find the invoice and the breakdown of the DI costs (as advised in the email below).   06/03/2026 chase to the help desk.</t>
  </si>
  <si>
    <t>R129861 #PO 2674906</t>
  </si>
  <si>
    <t>210169609</t>
  </si>
  <si>
    <t>AER01100</t>
  </si>
  <si>
    <t>ID/ISCA/AHRC Disobedient</t>
  </si>
  <si>
    <t>Daniels, Prof Inge</t>
  </si>
  <si>
    <t>AH/T000082/1</t>
  </si>
  <si>
    <t>210169669</t>
  </si>
  <si>
    <t>HJR02392</t>
  </si>
  <si>
    <t>BRC 4 SITE Theme Year 2</t>
  </si>
  <si>
    <t>d- 02/12/2025 email from James - FYI - please see credit for BRC are you happy for me to share this with our contact who liaises with them and they will offset it against a future payment?  02/12/2025 email to James - Yes happy for you to share is it Nigel Byng? Can you copy me in when you send it.  03/12/2025 email from James to Nigel -  Please find attached credit for offsetting against a future payment.</t>
  </si>
  <si>
    <t>210169659</t>
  </si>
  <si>
    <t>Glioblastoma</t>
  </si>
  <si>
    <t>Ebner, Mr Daniel</t>
  </si>
  <si>
    <t>b- 04/02/2026 chase to the helpdesk.  06/02/2026 email lfrom Jan Branley - Invoice 210169659 advises purchase order UOE1449924, unfortunately this is incorrect as the PO was made complete in payment of two invoice dated 2024. Please contact originator of this payment to confirm the correct purchase order we should use to issue payment.  06/02/2026 email  to Daniel -  Please see the email below regarding invoice 210169659 on project AJR00910, can you obtain a new PO number and reissue the invoice letting me know once sent.  Email from Daniel -  9.2.26 - emailed dept re: PO number as no mention in project file, once receive will update and resubmit invoice.</t>
  </si>
  <si>
    <t>R46117/7054685 # UOE1449924</t>
  </si>
  <si>
    <t>210169618</t>
  </si>
  <si>
    <t>YDR01100</t>
  </si>
  <si>
    <t>WIDW</t>
  </si>
  <si>
    <t>Crisp, Prof Roger</t>
  </si>
  <si>
    <t>EP/Y027973/1</t>
  </si>
  <si>
    <t>210169657</t>
  </si>
  <si>
    <t>d- 20/01/2026 email from Jodie Walker to Oscar - Please can you confirm the overall claim period? The invoice states the claim period as 01 September 2025 – 31 August 2025. Apologies for the second email, please can you also confirm the claim periods for L Philips, and A Timadjer? We have recorded both of their start dates from 01.08.25.  21/01/2026 email from Oscar to Jodie -  Apologies for the error on the invoice, the period relates to 01-Jun-2025 to 31-Aug-2025. See attached for the corrected invoice. I can confirm that costs currently claimed for L Philips, and A Timadjer fall within the August month only.</t>
  </si>
  <si>
    <t>210169643</t>
  </si>
  <si>
    <t>210169672</t>
  </si>
  <si>
    <t>H4R02420</t>
  </si>
  <si>
    <t>WIMM - MRC CRTF - Tseu 21</t>
  </si>
  <si>
    <t>MR/W015846/1</t>
  </si>
  <si>
    <t>Merck Sharp &amp; Dohme (UK) Ltd</t>
  </si>
  <si>
    <t>210169675</t>
  </si>
  <si>
    <t>h- 90 day payment terms.  15/12/2025 chase to ap.  16/12/2025 email from Chandan Panda - This is regarding Inv#210166699, As per checked we are not able to find the invoice in system, So, we request you to kindly share the invoice copy with PO to check further with request.  16/12/2025 email to Chandan - Please find attached a copy of the invoice.  22/12/2025 email from Chandan - This is regarding Inv#210166699, As per checked we are not able to find the invoice in system, So, we request you to kindly share the invoice copy with PO to check further with request.    23/12/2025 email to Gavin - Please see the email below regarding invoice 210166699 this will also relate to invoice 210169675 – HNR03870, can you obtain a PO number and resubmit the invoices letting me know when resent.  14/01/2026 email from Gavin to lucia Giabroni (dept) -  Do you know if we have a PO number for HNR03870? We're being asked to include that on our invoices but I don't have a copy of one. If not, do you have a contact at the funder who can provide one?  12/02/2026 email from Gavin to Lucia - Do you have any info on the PO for this yet? We have two invoices outstanding on the project and I don't think they'll pay either of them until we provide them invoices with the PO on it.  13/02/2026 email from Lucia to Gavin - Sorry for my delayed response. I could not find this among the award documents. I’ll ask the team and get back to you.  13/02/2026 email from Gavin to Chandan - The PO that we were given and has been confirmed by the PI is 101865 and is visible on both invoices. I'm attaching for you here. Is this all you need?</t>
  </si>
  <si>
    <t>210169670</t>
  </si>
  <si>
    <t>DFR09900</t>
  </si>
  <si>
    <t>SYN3D</t>
  </si>
  <si>
    <t>EP/Z001811/1</t>
  </si>
  <si>
    <t>210172215</t>
  </si>
  <si>
    <t>210169705</t>
  </si>
  <si>
    <t>CQR02380</t>
  </si>
  <si>
    <t>Amazonian Perspectives.</t>
  </si>
  <si>
    <t>Da Silva Sinha, Dr Vera</t>
  </si>
  <si>
    <t>PF21\210035</t>
  </si>
  <si>
    <t>210169703</t>
  </si>
  <si>
    <t>BKR02520</t>
  </si>
  <si>
    <t>4001</t>
  </si>
  <si>
    <t>Liu, Dr Shiwei</t>
  </si>
  <si>
    <t>NIF\R1\231918</t>
  </si>
  <si>
    <t>210169712</t>
  </si>
  <si>
    <t>AVR03090</t>
  </si>
  <si>
    <t>NIH_Transfer-in</t>
  </si>
  <si>
    <t>Carlyle, Dr Becky</t>
  </si>
  <si>
    <t>R01AG062306 # Fund Number 233344</t>
  </si>
  <si>
    <t>210169795</t>
  </si>
  <si>
    <t>210169785</t>
  </si>
  <si>
    <t>CQR02660</t>
  </si>
  <si>
    <t>MEMORI.</t>
  </si>
  <si>
    <t>EP/Y02818X/1</t>
  </si>
  <si>
    <t>210169798</t>
  </si>
  <si>
    <t>210169768</t>
  </si>
  <si>
    <t>DFR10660</t>
  </si>
  <si>
    <t>Gemini</t>
  </si>
  <si>
    <t>10131571</t>
  </si>
  <si>
    <t>210169769</t>
  </si>
  <si>
    <t>DFR08420</t>
  </si>
  <si>
    <t>IntelLiGent</t>
  </si>
  <si>
    <t>10038031</t>
  </si>
  <si>
    <t>Stichting Radboud Universitair Medische Centrum</t>
  </si>
  <si>
    <t>101960</t>
  </si>
  <si>
    <t>210169771</t>
  </si>
  <si>
    <t>B9R06210</t>
  </si>
  <si>
    <t>VN_Raph_HARVEST-PK</t>
  </si>
  <si>
    <t>Hamers, Dr Raph</t>
  </si>
  <si>
    <t>R01AI177101</t>
  </si>
  <si>
    <t>210169799</t>
  </si>
  <si>
    <t>DKR01050</t>
  </si>
  <si>
    <t>ISABEL 2019</t>
  </si>
  <si>
    <t>Coldea, Prof Amalia</t>
  </si>
  <si>
    <t>d- 28/01/2026 email from Paul Fernandez to various &amp; Tequila - Our payment of RP1 (€2,996.78) for the European Project ISABEL - GRANT AGREEMENT 871106 - Improving the sustainability of the European Magnetic Field Laboratory - has been returned unclaimed. Can you please confirm: - That you are still participating in the project and that this amount is owed to you - That your bank details on the attached document are correct If this is indeed the case, this amount will be paid to you upon receipt of the final balance of this contract.</t>
  </si>
  <si>
    <t>871106</t>
  </si>
  <si>
    <t>210169814</t>
  </si>
  <si>
    <t>A5R00110</t>
  </si>
  <si>
    <t>SUMO - 1</t>
  </si>
  <si>
    <t>10145749</t>
  </si>
  <si>
    <t>210169824</t>
  </si>
  <si>
    <t>DGR02400</t>
  </si>
  <si>
    <t>VOLCANIC FORCING FOR CMIP</t>
  </si>
  <si>
    <t>Aubry, Dr Thomas</t>
  </si>
  <si>
    <t>4000148873</t>
  </si>
  <si>
    <t>210169826</t>
  </si>
  <si>
    <t>d- 24/11/2025 email from Oscar to finance - Since submitting the final reconciliation for this award we have received a credit from 'NEB UK' for £349.60, which is currently sat on our recharges account. Can you please confirm if you would like us to return these funds to you? Also do you require an updated Final Rec?    25/11/2025 email from Kirsty Naylor to Oscar - Thank you for your email. I have returned the reconciliation report to you to add this additional expense, let me know once you re-submit and I will make sure to look through the report.    04/12/2025 email from Oscar to Kirsty - The Final Reconciliation has now been updated and resubmitted on Flexi Grant.  19/01/2026 email to finance - Can you let me know the payment status of the awards listed on the attached.   19/01/2026 email from Kirsty Naylor (finance) -  For the other awards listed, these have been submitted to us. We currently have a backlog of reconciliations, and these will be processed in due course. We appreciate your patience and understanding while we work through them.</t>
  </si>
  <si>
    <t>210169829</t>
  </si>
  <si>
    <t>EPR01720</t>
  </si>
  <si>
    <t>REES: Childrens Information</t>
  </si>
  <si>
    <t>Feinstein, Prof Leon</t>
  </si>
  <si>
    <t>SFS /FR-000022921</t>
  </si>
  <si>
    <t>210169818</t>
  </si>
  <si>
    <t>CQR02290</t>
  </si>
  <si>
    <t>If and When to Act</t>
  </si>
  <si>
    <t>Khalighinejad, Dr Nima</t>
  </si>
  <si>
    <t>BB/W008947/1</t>
  </si>
  <si>
    <t>210169806</t>
  </si>
  <si>
    <t>f- 90 day payment terms. 02/02/2026 email from Shivani Rana to Matthew - Upon internal verifications, your profile is currently setup to post invoice Electronically. Kindly post the invoices directly from [Ariba Network (NA) / Tungsten] as the instructions. Invoice # 210169806 PO # 8217008. invoice # 210166895 PO # 82170081.  13/02/2026 email from Matthew to Shivani -  I’m still experiencing issues when trying to upload the invoices due to the following: The PO number is not being recognised, The supplier, Celgene Corporation, is not being recognised - Could you please confirm which account/email address my profile is currently set up against, in case this is causing the issue?  25/02/2026 email from Matthew to Shivani -   I just wanted to follow up on the below query regarding the issues with uploading the invoices. Would you be able to provide an update when you have a moment? We’re still unable to proceed due to the PO number and supplier not being recognised, so any clarification would be much appreciated.  26/02/2026 email from Shivani to Matthew -  Please be informed that, as per our records, both invoices #210169806 and #210166895 have been successfully processed in our system and are open for payment. Below are the details: Invoice #210169806: Open for payment, net due date 03/28/2026.</t>
  </si>
  <si>
    <t>210169916</t>
  </si>
  <si>
    <t>ACR01250</t>
  </si>
  <si>
    <t>DRIFT</t>
  </si>
  <si>
    <t>MR/V022008/1</t>
  </si>
  <si>
    <t>210169834</t>
  </si>
  <si>
    <t>d- 05/03/2026 email from Andrew forwarded to Gareth - It looks like we are missing Quarter 10. As the invoice receives is for Quarter 11 (Year 3 Quarter 3). Do you agree on this. If so, then can you please send us this and the invoice attached when you have received this.  05/03/2026 email from Gareth to various - Please find attached the missing quarter invoice as requested.</t>
  </si>
  <si>
    <t>210169884</t>
  </si>
  <si>
    <t>DMR01920</t>
  </si>
  <si>
    <t>Redox efficiency</t>
  </si>
  <si>
    <t>Donohoe, Prof Timothy</t>
  </si>
  <si>
    <t>EP/W02246X/1</t>
  </si>
  <si>
    <t>210169887</t>
  </si>
  <si>
    <t>HBR04900</t>
  </si>
  <si>
    <t>METHYLOMIC</t>
  </si>
  <si>
    <t>10065237</t>
  </si>
  <si>
    <t>210169842</t>
  </si>
  <si>
    <t>e- payment 09/03/2026</t>
  </si>
  <si>
    <t>210169920</t>
  </si>
  <si>
    <t>JQR00210</t>
  </si>
  <si>
    <t>CEMENT</t>
  </si>
  <si>
    <t>Chung, Dr Jinho</t>
  </si>
  <si>
    <t>ES/X005313/1</t>
  </si>
  <si>
    <t>210169915</t>
  </si>
  <si>
    <t>AZR03630</t>
  </si>
  <si>
    <t>SS - Airport</t>
  </si>
  <si>
    <t>Sansom, Dr Stephen</t>
  </si>
  <si>
    <t>d- 02/02/2026 chase the query team.</t>
  </si>
  <si>
    <t>RG.RMEX.125194</t>
  </si>
  <si>
    <t>210169873</t>
  </si>
  <si>
    <t>210169870</t>
  </si>
  <si>
    <t>210169837</t>
  </si>
  <si>
    <t>GL - PCAF</t>
  </si>
  <si>
    <t>Lucas, Ms Georgina</t>
  </si>
  <si>
    <t>NIHR304975</t>
  </si>
  <si>
    <t>210169860</t>
  </si>
  <si>
    <t>210169843</t>
  </si>
  <si>
    <t>210169917</t>
  </si>
  <si>
    <t>210169876</t>
  </si>
  <si>
    <t>HMR06590</t>
  </si>
  <si>
    <t>Jbabdi/Miller - UMINN funding</t>
  </si>
  <si>
    <t>b- 10/12/2025 email from Jonasus to Tehseen - The invoice attached has been automated and the email in the invoice comments have returned the email/invoice. The email was undelivered. Please advise if there is a new email to send the invoice to?  14/01/2026 email from Tehseen to Jonasus -  I have just had a look and there is the following email address - mdschoolcluster@UMNEDU. I have updated the invoice comments section.  Would you like me to send it out?    14/01/2026 email from Jonasus - Yes please Tehseen!  15/01/2026 email from Tehseen to Jonasus - Just to confirm it has been sent.  12/02/2026 email from Nicole Wilkinson forwarded to Ellie - I am reaching out regarding the attached invoice # 210169876 The Contract agreement is to cover direct payroll costs only. The attached invoice includes an unallowable charge "Research Overheads"  Please submit the corrected invoice to mdschoolcluster@umn.edu .</t>
  </si>
  <si>
    <t>CPS # 0002831551</t>
  </si>
  <si>
    <t>210169853</t>
  </si>
  <si>
    <t>d- 04/02/2026 chase to ap.</t>
  </si>
  <si>
    <t>69928</t>
  </si>
  <si>
    <t>210169833</t>
  </si>
  <si>
    <t>Penine NHS HS&amp;DR</t>
  </si>
  <si>
    <t>Wong, Prof Geoffrey</t>
  </si>
  <si>
    <t>PO RT2N400058213 NIHR158509</t>
  </si>
  <si>
    <t>210169883</t>
  </si>
  <si>
    <t>HMR03330</t>
  </si>
  <si>
    <t>Ox QUIP</t>
  </si>
  <si>
    <t>Antoniades, Prof Chrystalina</t>
  </si>
  <si>
    <t>f- 90 day payment terms.   04/12/2025 email from Tehseen to various - I can confirm that an invoice has been submitted on the portal.</t>
  </si>
  <si>
    <t>NONE#8200185915</t>
  </si>
  <si>
    <t>210169938</t>
  </si>
  <si>
    <t>PSR00110</t>
  </si>
  <si>
    <t>Lassa WP2</t>
  </si>
  <si>
    <t>PADOVAX Lassa WP2</t>
  </si>
  <si>
    <t>210169936</t>
  </si>
  <si>
    <t>SEASWALLOWS</t>
  </si>
  <si>
    <t>Adcock, Prof Thomas</t>
  </si>
  <si>
    <t>d- 04/02/2026 chase to payments.</t>
  </si>
  <si>
    <t>20-05969  [EP/V050079/1] # RC-AR1211</t>
  </si>
  <si>
    <t>45280</t>
  </si>
  <si>
    <t>210169948</t>
  </si>
  <si>
    <t>HSR02480</t>
  </si>
  <si>
    <t>Novartis - Raman</t>
  </si>
  <si>
    <t>f- 60 day payment terms.  02/03/2026 chase to the invoice team.</t>
  </si>
  <si>
    <t>210169947</t>
  </si>
  <si>
    <t>210169998</t>
  </si>
  <si>
    <t>d- 08/01/2026 email from Laura - Im doing some tidying up from last year.  I had a meeting just before leave with Gem Brown and a number of other people from NDM regarding the big awards: CNR00050, CNR00051, CNR00052, CNT00020 and CNT00021. In a nutshell these fund the unit.  These are funds from the Chinese government. The department have a very close relationship with the funder and are looking to help manage any debt (not that it should arise).  They have requested whether rather than you contact the funder regarding any debt, that you contact the department first (Karen Valentine, and Lorraine Donaldson.  CC Gem) to help manage.  13/02/2026 email from Laura to various in the dept - During our meeting you asked whether we could notify you of outstanding debt, and not chase this up ourselves.  Please see the list below.  Can I ask you to get in touch with the funder and provide us with an update as to when the outstanding will be paid please?  13/02/2026 email from Karen Valentine to Laura - Many thanks for the email, and yes, we’re awaiting further updated from CAMS about the payments timeline as they are governed by the Chinese Ministry of Finance. The new fiscal year is due to open soon as it is currently the Chinese New Year period. We will update you when we know more, but please be assured that the payments will arrive, but there will be a delay.</t>
  </si>
  <si>
    <t>210169990</t>
  </si>
  <si>
    <t>BAR00810</t>
  </si>
  <si>
    <t>consent in post-metoo world</t>
  </si>
  <si>
    <t>Greasley, Dr Kate</t>
  </si>
  <si>
    <t>AH/W011484/1</t>
  </si>
  <si>
    <t>210169997</t>
  </si>
  <si>
    <t>210170006</t>
  </si>
  <si>
    <t>210170005</t>
  </si>
  <si>
    <t>210169977</t>
  </si>
  <si>
    <t>210170004</t>
  </si>
  <si>
    <t>210169993</t>
  </si>
  <si>
    <t>210169988</t>
  </si>
  <si>
    <t>DFR07320</t>
  </si>
  <si>
    <t>CoE in Hypersonics</t>
  </si>
  <si>
    <t>d- 10/12/2025 email from Jonasus to Kathryn Scott (dept) - Please find the attached invoice and credit. I have attempted to submit this on the Exostar portal but the PO doesn't seem to be on there. Please advise if there is an alternative way to submit these? (perhaps a direct email address).  12/12/2025 email from Kathryn Scott to Jonasus - I have spoken with my contact at MOD, who has said: Can you confirm that these are being raised against PO number 31158942 – Reference should be 61200811. The documents attached are referencing 61180463 – which is the old, cancelled requirement. Let me know once this has been checked as there should not be any issues if the correct PO is being used.  The system will be down over the weekend from 17.00 on the 12/12 but back up again on Monday morning.  15/12/2025 email from Jonasus to Kathryn -  Thank you for letting me know. The invoice has been submitted on the Exostar portal. See below. 09/03/2026 chase to ap.</t>
  </si>
  <si>
    <t>0061180463 #PO 31158942</t>
  </si>
  <si>
    <t>210169973</t>
  </si>
  <si>
    <t>60769</t>
  </si>
  <si>
    <t>210170043</t>
  </si>
  <si>
    <t>BZR07430</t>
  </si>
  <si>
    <t>INTEGRATE.</t>
  </si>
  <si>
    <t>62432</t>
  </si>
  <si>
    <t>210170064</t>
  </si>
  <si>
    <t>d- 03/03/2026 email to all -  Can you let me know if the attached invoices have been approved for payment.  04/03/2026 email from AP - Maggie Pearson  - Can you please return invoice 210170064 advising which lines on the po to match against which line on the invoice so that it can be processed.</t>
  </si>
  <si>
    <t>210170054</t>
  </si>
  <si>
    <t>210170041</t>
  </si>
  <si>
    <t>BKR01610</t>
  </si>
  <si>
    <t>1910</t>
  </si>
  <si>
    <t>Wade, Dr Richard</t>
  </si>
  <si>
    <t>URF\R1\201297</t>
  </si>
  <si>
    <t>210170039</t>
  </si>
  <si>
    <t>Critical Path Institute</t>
  </si>
  <si>
    <t>71615</t>
  </si>
  <si>
    <t>210170061</t>
  </si>
  <si>
    <t>B9R04630</t>
  </si>
  <si>
    <t>IDDO - C-PATH</t>
  </si>
  <si>
    <t>2U18FD005320</t>
  </si>
  <si>
    <t>210170100</t>
  </si>
  <si>
    <t>LBR00140</t>
  </si>
  <si>
    <t>UKRI Ageing Dev Research Award</t>
  </si>
  <si>
    <t>Harper, Prof Sarah</t>
  </si>
  <si>
    <t>MR/Y010922/1</t>
  </si>
  <si>
    <t>210170078</t>
  </si>
  <si>
    <t>BKR01300</t>
  </si>
  <si>
    <t>861</t>
  </si>
  <si>
    <t>EP/S026347/1</t>
  </si>
  <si>
    <t>210170068</t>
  </si>
  <si>
    <t>210170080</t>
  </si>
  <si>
    <t>210170075</t>
  </si>
  <si>
    <t>210170106</t>
  </si>
  <si>
    <t>DUR00961</t>
  </si>
  <si>
    <t>AION 24-25</t>
  </si>
  <si>
    <t>ST/Y004566/1</t>
  </si>
  <si>
    <t>210170092</t>
  </si>
  <si>
    <t>b- 26/01/2026 chase to grants.  26/01/2026 email from Charlotte Hart - Thank you for your email. The attached email is dealt with by the grants team so I can let you know that the project this relates to (RICP-R4-100173) is lead by Nanoprint Innovations Ltd and, as such all invoices are paid to this company. As a partner in this project, Oxford should invoice Nanoprint for their eligible costs. Nanoprint are responsible for claiming the funds from Royce and then flowing this to Oxford.  26/01/2026 email to Matthew -  Please see the email below regarding the attached invoice, can you look into this and reissue to invoice as requested letting me know when resent.   13/02/2026 need to issue a invoice to Nano check with JS on how to get this resolved.</t>
  </si>
  <si>
    <t>210170084</t>
  </si>
  <si>
    <t>210170138</t>
  </si>
  <si>
    <t>CVR00980</t>
  </si>
  <si>
    <t>rEUsilience</t>
  </si>
  <si>
    <t>Daly, Prof Mary</t>
  </si>
  <si>
    <t>10042527</t>
  </si>
  <si>
    <t>210170128</t>
  </si>
  <si>
    <t>HMR06151</t>
  </si>
  <si>
    <t>EXPERT-ALS - BRC element</t>
  </si>
  <si>
    <t>BRC funding: EXPERTS-ALS BRC</t>
  </si>
  <si>
    <t>210170155</t>
  </si>
  <si>
    <t>DFR06560</t>
  </si>
  <si>
    <t>Exaggeration on-line</t>
  </si>
  <si>
    <t>Pierrehumbert, Prof Janet</t>
  </si>
  <si>
    <t>EP/T023333/1</t>
  </si>
  <si>
    <t>210170152</t>
  </si>
  <si>
    <t>DGR01640</t>
  </si>
  <si>
    <t>SK_NERC-NSF_July2020</t>
  </si>
  <si>
    <t>NE/W007258/1</t>
  </si>
  <si>
    <t>The University of West London Higher Education Corporation</t>
  </si>
  <si>
    <t>126307</t>
  </si>
  <si>
    <t>210170117</t>
  </si>
  <si>
    <t>DFR11470</t>
  </si>
  <si>
    <t>Cheddar Sandpit</t>
  </si>
  <si>
    <t>Zilberman, Prof Noa</t>
  </si>
  <si>
    <t>EP/X040518/1</t>
  </si>
  <si>
    <t>210170154</t>
  </si>
  <si>
    <t>BAR01030</t>
  </si>
  <si>
    <t>Policy fellowship - policing</t>
  </si>
  <si>
    <t>Hoeger, Dr Katharine</t>
  </si>
  <si>
    <t>ES/Y003969/1</t>
  </si>
  <si>
    <t>210170122</t>
  </si>
  <si>
    <t>ACR01780</t>
  </si>
  <si>
    <t>ESRC Grand Union DTP.</t>
  </si>
  <si>
    <t>Platt, Dr Benjamin</t>
  </si>
  <si>
    <t>ES/Z503940/1</t>
  </si>
  <si>
    <t>210170110</t>
  </si>
  <si>
    <t>210170119</t>
  </si>
  <si>
    <t>b- 09/03/2026 chase to ap.  09/03/2026 email from ap - Please amend invoices to state: Imperial College London, Exhibition Road, London, SW7 2AZ - All invoices received, need to be addressed to Imperial College London, Exhibition Road, London, SW7 2AZ.  10/03/2026 email to Gavin - Please see the email below highlighted yellow regarding the attached invoice, can you reissue the invoice as requested to apinvoices@imperial.ac.uk letting me know once resent.</t>
  </si>
  <si>
    <t>210170163</t>
  </si>
  <si>
    <t>d- 04/03/2026 chase to Kathryn Baysdon.</t>
  </si>
  <si>
    <t>Clario</t>
  </si>
  <si>
    <t>117628</t>
  </si>
  <si>
    <t>210170169</t>
  </si>
  <si>
    <t>HMR06260</t>
  </si>
  <si>
    <t>Antoniades - Clario</t>
  </si>
  <si>
    <t>210170182</t>
  </si>
  <si>
    <t>DFR08260</t>
  </si>
  <si>
    <t>SESTOSENSO</t>
  </si>
  <si>
    <t>Maiolino, Prof Perla</t>
  </si>
  <si>
    <t>10037855</t>
  </si>
  <si>
    <t>210170165</t>
  </si>
  <si>
    <t>AER01520</t>
  </si>
  <si>
    <t>MIrreM</t>
  </si>
  <si>
    <t>Vargas-Silva, Prof Carlos</t>
  </si>
  <si>
    <t>10051818</t>
  </si>
  <si>
    <t>79396</t>
  </si>
  <si>
    <t>210170246</t>
  </si>
  <si>
    <t>6 in 1 stage 2</t>
  </si>
  <si>
    <t>210170240</t>
  </si>
  <si>
    <t>AFR01740</t>
  </si>
  <si>
    <t>The FOSTER Academy</t>
  </si>
  <si>
    <t>10053826</t>
  </si>
  <si>
    <t>4891</t>
  </si>
  <si>
    <t>210170244</t>
  </si>
  <si>
    <t>HBR05730</t>
  </si>
  <si>
    <t>ELEPHANTS</t>
  </si>
  <si>
    <t>94301101</t>
  </si>
  <si>
    <t>210170223</t>
  </si>
  <si>
    <t>HCR02080</t>
  </si>
  <si>
    <t>UltiMalVax</t>
  </si>
  <si>
    <t>10079577</t>
  </si>
  <si>
    <t>210170248</t>
  </si>
  <si>
    <t>BLR03000</t>
  </si>
  <si>
    <t>ACS</t>
  </si>
  <si>
    <t>Cropper, Dr Andrew</t>
  </si>
  <si>
    <t>EP/V040340/1</t>
  </si>
  <si>
    <t>210170560</t>
  </si>
  <si>
    <t>210170230</t>
  </si>
  <si>
    <t>210170364</t>
  </si>
  <si>
    <t>AZR02370</t>
  </si>
  <si>
    <t>KM-CB - BMS fellowship</t>
  </si>
  <si>
    <t>#0082173358</t>
  </si>
  <si>
    <t>210170275</t>
  </si>
  <si>
    <t>DLR01240</t>
  </si>
  <si>
    <t>QUEST-DMC - PDRA/ECR extension</t>
  </si>
  <si>
    <t>Monroe, Prof Jocelyn</t>
  </si>
  <si>
    <t>ST/Y004434/1</t>
  </si>
  <si>
    <t>210170379</t>
  </si>
  <si>
    <t>HER01510</t>
  </si>
  <si>
    <t>valvular heart disease</t>
  </si>
  <si>
    <t>Nazarzadeh Larzjan, Mr. Milad</t>
  </si>
  <si>
    <t>FS/IPBSRF/22/27060</t>
  </si>
  <si>
    <t>210170282</t>
  </si>
  <si>
    <t>DKR01320</t>
  </si>
  <si>
    <t>Sleep Apnea</t>
  </si>
  <si>
    <t>Tucker, Prof Stephen</t>
  </si>
  <si>
    <t>MR/W017741/1</t>
  </si>
  <si>
    <t>210170273</t>
  </si>
  <si>
    <t>DLR01150</t>
  </si>
  <si>
    <t>Boulby Sheffield lead</t>
  </si>
  <si>
    <t>Palladino, Prof Kimberly</t>
  </si>
  <si>
    <t>ST/Y003136/1</t>
  </si>
  <si>
    <t>210170274</t>
  </si>
  <si>
    <t>DLR01160</t>
  </si>
  <si>
    <t>Boulby Oxford lead</t>
  </si>
  <si>
    <t>ST/Y003225/1</t>
  </si>
  <si>
    <t>210170383</t>
  </si>
  <si>
    <t>210170361</t>
  </si>
  <si>
    <t>210170382</t>
  </si>
  <si>
    <t>210170380</t>
  </si>
  <si>
    <t>210170262</t>
  </si>
  <si>
    <t>210170381</t>
  </si>
  <si>
    <t>210170283</t>
  </si>
  <si>
    <t>LER00900</t>
  </si>
  <si>
    <t>ElleCarter UKRI2019</t>
  </si>
  <si>
    <t>MR/T040890/1</t>
  </si>
  <si>
    <t>210170403</t>
  </si>
  <si>
    <t>210170406</t>
  </si>
  <si>
    <t>B9R04850</t>
  </si>
  <si>
    <t>PrIMAVeRa</t>
  </si>
  <si>
    <t>Cooper, Prof Ben</t>
  </si>
  <si>
    <t>101034420</t>
  </si>
  <si>
    <t>210170409</t>
  </si>
  <si>
    <t>210170396</t>
  </si>
  <si>
    <t>DGR01420</t>
  </si>
  <si>
    <t>NONUNE</t>
  </si>
  <si>
    <t>885531</t>
  </si>
  <si>
    <t>210170404</t>
  </si>
  <si>
    <t>H5R01690</t>
  </si>
  <si>
    <t>MRC_JT</t>
  </si>
  <si>
    <t>Taylor, Dr Jenny</t>
  </si>
  <si>
    <t>MR/W01761X/1</t>
  </si>
  <si>
    <t>210170386</t>
  </si>
  <si>
    <t>210170395</t>
  </si>
  <si>
    <t>210170397</t>
  </si>
  <si>
    <t>B5R00670</t>
  </si>
  <si>
    <t>Structural studies of viruses</t>
  </si>
  <si>
    <t>Stuart, Prof David</t>
  </si>
  <si>
    <t>MR/V001329/1</t>
  </si>
  <si>
    <t>210170472</t>
  </si>
  <si>
    <t>210170446</t>
  </si>
  <si>
    <t>CKR00360</t>
  </si>
  <si>
    <t>CLD- Erie - ERC</t>
  </si>
  <si>
    <t>Erie, Prof Matthew</t>
  </si>
  <si>
    <t>803763</t>
  </si>
  <si>
    <t>210170462</t>
  </si>
  <si>
    <t>d- 30/01/2026 email from Euken (dept) including Ellie - As discussed yesterday, under CEPI instructions I have submitted payment requests on Salesforce for the below projects. The payment requests are calculated directly on Salesforce based on cash availability (as per CEPI records of payments to date vs reported expenditure) and the projected expenditure for the following period. Hope this will help with the income allocation: HCR01320 payment request calculation done by SF (2,961,477.95).   HCR01323 + HNR03730 , same programme and paid at the same time,  payment request calculation done by SF.</t>
  </si>
  <si>
    <t>210170437</t>
  </si>
  <si>
    <t>BLR03340</t>
  </si>
  <si>
    <t>ELSA</t>
  </si>
  <si>
    <t>10044744</t>
  </si>
  <si>
    <t>210170445</t>
  </si>
  <si>
    <t>210170461</t>
  </si>
  <si>
    <t>210170479</t>
  </si>
  <si>
    <t>Reckitt Benckiser Group Plc</t>
  </si>
  <si>
    <t>74309</t>
  </si>
  <si>
    <t>210170441</t>
  </si>
  <si>
    <t>HNR03670</t>
  </si>
  <si>
    <t>Menthol for pain relief</t>
  </si>
  <si>
    <t>#4503747300</t>
  </si>
  <si>
    <t>210170434</t>
  </si>
  <si>
    <t>Royal College of General Practitioners</t>
  </si>
  <si>
    <t>3628</t>
  </si>
  <si>
    <t>210170517</t>
  </si>
  <si>
    <t>BZR05850</t>
  </si>
  <si>
    <t>Diagnosing UTI in care homes</t>
  </si>
  <si>
    <t>Moore, Dr Abigail</t>
  </si>
  <si>
    <t>SFB 2021-03</t>
  </si>
  <si>
    <t>210170497</t>
  </si>
  <si>
    <t>210170506</t>
  </si>
  <si>
    <t>210170491</t>
  </si>
  <si>
    <t>B5RVCK00</t>
  </si>
  <si>
    <t>MRC PROFESSORSHIP</t>
  </si>
  <si>
    <t>G1100525/1</t>
  </si>
  <si>
    <t>210170508</t>
  </si>
  <si>
    <t>YDR01080</t>
  </si>
  <si>
    <t>NCCM</t>
  </si>
  <si>
    <t>Paseau, Prof Alexander</t>
  </si>
  <si>
    <t>EP/Y027957/1</t>
  </si>
  <si>
    <t>210170515</t>
  </si>
  <si>
    <t>A5R00220</t>
  </si>
  <si>
    <t>MStevens_AZ_COVID diagnostic</t>
  </si>
  <si>
    <t>b- 09/03/2026 chase to ap.  09/03/2026 email from ap - Please amend invoices to state: Imperial College London, Exhibition Road, London, SW7 2AZ - All invoices received, need to be addressed to Imperial College London, Exhibition Road, London, SW7 2AZ.  10/03/2026 email to Gabrielle - Please see the email below highlighted yellow regarding the attached invoice, can you reissue the invoice as requested to apinvoices@imperial.ac.uk letting me know once resent.</t>
  </si>
  <si>
    <t>MMRE_P89216 - PO 5055857</t>
  </si>
  <si>
    <t>210170514</t>
  </si>
  <si>
    <t>d- 04/03/2026 chase to finance &amp; Mark Goulding.</t>
  </si>
  <si>
    <t>210170500</t>
  </si>
  <si>
    <t>DFR11150</t>
  </si>
  <si>
    <t>STRATA</t>
  </si>
  <si>
    <t>d- 15/01/2026 email from Jonasus -  Please find the screenshot below for invoice  210170500 on the IUK portal.</t>
  </si>
  <si>
    <t>10141268</t>
  </si>
  <si>
    <t>210170493</t>
  </si>
  <si>
    <t>BER00710</t>
  </si>
  <si>
    <t>RCLA_MSCA_2022</t>
  </si>
  <si>
    <t>Jacobs, Dr Ine</t>
  </si>
  <si>
    <t>EP/Y028147/1</t>
  </si>
  <si>
    <t>210170522</t>
  </si>
  <si>
    <t>CBR00190</t>
  </si>
  <si>
    <t>INT EXCHANGE ITALY COST SHARE</t>
  </si>
  <si>
    <t>IEC\R2\222020</t>
  </si>
  <si>
    <t>210170557</t>
  </si>
  <si>
    <t>University College London Hospitals NHS Foundation Trust</t>
  </si>
  <si>
    <t>9351</t>
  </si>
  <si>
    <t>210170561</t>
  </si>
  <si>
    <t>HJR00730</t>
  </si>
  <si>
    <t>The MACRO Programme</t>
  </si>
  <si>
    <t>RP-PG-0614-20011</t>
  </si>
  <si>
    <t>210170550</t>
  </si>
  <si>
    <t>210170555</t>
  </si>
  <si>
    <t>SD Biosensor Inc.</t>
  </si>
  <si>
    <t>111219</t>
  </si>
  <si>
    <t>210172349</t>
  </si>
  <si>
    <t>B9R06020</t>
  </si>
  <si>
    <t>Thai-Bancone-SDBIO-Aug23</t>
  </si>
  <si>
    <t>Bancone, Dr Germana</t>
  </si>
  <si>
    <t>210172741</t>
  </si>
  <si>
    <t>DJR01952</t>
  </si>
  <si>
    <t>Nextrode 3</t>
  </si>
  <si>
    <t>FIRG090</t>
  </si>
  <si>
    <t>210172821</t>
  </si>
  <si>
    <t>210170570</t>
  </si>
  <si>
    <t>210170793</t>
  </si>
  <si>
    <t>HQR02650</t>
  </si>
  <si>
    <t>Decision making</t>
  </si>
  <si>
    <t>Klein-Flugge, Dr Miriam</t>
  </si>
  <si>
    <t>d- 04/02/2026 comment from Ciaran - OSR Dec 25, expecting payment soon</t>
  </si>
  <si>
    <t>223263/Z/21/Z</t>
  </si>
  <si>
    <t>Art Explora UK</t>
  </si>
  <si>
    <t>126951</t>
  </si>
  <si>
    <t>210170589</t>
  </si>
  <si>
    <t>EPR02410</t>
  </si>
  <si>
    <t>Klassen ArtExploraMay25</t>
  </si>
  <si>
    <t>Klassen, Prof Robert</t>
  </si>
  <si>
    <t>210170581</t>
  </si>
  <si>
    <t>210170567</t>
  </si>
  <si>
    <t>210170566</t>
  </si>
  <si>
    <t>210170625</t>
  </si>
  <si>
    <t>HSR02440</t>
  </si>
  <si>
    <t>Miriam - NIHR RRDN</t>
  </si>
  <si>
    <t>210170619</t>
  </si>
  <si>
    <t>210170578</t>
  </si>
  <si>
    <t>210170574</t>
  </si>
  <si>
    <t>210170587</t>
  </si>
  <si>
    <t>210170590</t>
  </si>
  <si>
    <t>210170579</t>
  </si>
  <si>
    <t>210170580</t>
  </si>
  <si>
    <t>210170647</t>
  </si>
  <si>
    <t>210170569</t>
  </si>
  <si>
    <t>210170722</t>
  </si>
  <si>
    <t>CSR00640</t>
  </si>
  <si>
    <t>After the End in global health</t>
  </si>
  <si>
    <t>Kingori, Prof Patricia</t>
  </si>
  <si>
    <t>225238/Z/22/Z</t>
  </si>
  <si>
    <t>210170571</t>
  </si>
  <si>
    <t>Sheehan, Prof Mark</t>
  </si>
  <si>
    <t>210170582</t>
  </si>
  <si>
    <t>210170575</t>
  </si>
  <si>
    <t>Novartis scholars - Fugger 23</t>
  </si>
  <si>
    <t>e- 60 day payment terms.  02/03/2026 statment received payment due 06/03/2026.  payment 06/03/2026</t>
  </si>
  <si>
    <t>9055925705#PO 3006010484/2</t>
  </si>
  <si>
    <t>210170588</t>
  </si>
  <si>
    <t>210170563</t>
  </si>
  <si>
    <t>210170586</t>
  </si>
  <si>
    <t>210170572</t>
  </si>
  <si>
    <t>210170683</t>
  </si>
  <si>
    <t>BVR02640</t>
  </si>
  <si>
    <t>Roberts WT Fellowship</t>
  </si>
  <si>
    <t>Roberts, Dr Anthony</t>
  </si>
  <si>
    <t>217186/A/19/Z</t>
  </si>
  <si>
    <t>210170573</t>
  </si>
  <si>
    <t>210170584</t>
  </si>
  <si>
    <t>AFR01750</t>
  </si>
  <si>
    <t>PRISMA</t>
  </si>
  <si>
    <t>10053289</t>
  </si>
  <si>
    <t>210170622</t>
  </si>
  <si>
    <t>AVR01160</t>
  </si>
  <si>
    <t>Adaptive plasticity</t>
  </si>
  <si>
    <t>King, Prof Andrew</t>
  </si>
  <si>
    <t>108369/Z/15/Z</t>
  </si>
  <si>
    <t>210170765</t>
  </si>
  <si>
    <t>210170764</t>
  </si>
  <si>
    <t>210170766</t>
  </si>
  <si>
    <t>HMR03180</t>
  </si>
  <si>
    <t>Neural mechanisms.</t>
  </si>
  <si>
    <t>219525/Z/19/Z</t>
  </si>
  <si>
    <t>210170720</t>
  </si>
  <si>
    <t>210170598</t>
  </si>
  <si>
    <t>ALR02220</t>
  </si>
  <si>
    <t>Higgins_WT_IA_Feb2020</t>
  </si>
  <si>
    <t>Higgins, Prof Matthew</t>
  </si>
  <si>
    <t>220797/Z/20/Z</t>
  </si>
  <si>
    <t>210170735</t>
  </si>
  <si>
    <t>DNR01000</t>
  </si>
  <si>
    <t>Targeting membrane proteins</t>
  </si>
  <si>
    <t>221795/Z/20/Z</t>
  </si>
  <si>
    <t>210170599</t>
  </si>
  <si>
    <t>ALR02270</t>
  </si>
  <si>
    <t>Fica_WT_HenryDale_July2019</t>
  </si>
  <si>
    <t>Fica, Dr Sebastian</t>
  </si>
  <si>
    <t>220212/Z/20/Z</t>
  </si>
  <si>
    <t>210170623</t>
  </si>
  <si>
    <t>AVR02700</t>
  </si>
  <si>
    <t>Atilgan_SHW_Fellowship</t>
  </si>
  <si>
    <t>Atilgan, Dr Huriye</t>
  </si>
  <si>
    <t>222807/Z/21/Z</t>
  </si>
  <si>
    <t>210170805</t>
  </si>
  <si>
    <t>HSR01490</t>
  </si>
  <si>
    <t>Toepfer_SHD preliminary</t>
  </si>
  <si>
    <t>Toepfer, Dr Christopher</t>
  </si>
  <si>
    <t>222567/Z/21/Z</t>
  </si>
  <si>
    <t>210170679</t>
  </si>
  <si>
    <t>BVR02420</t>
  </si>
  <si>
    <t>Ahel I-Gorelik WT</t>
  </si>
  <si>
    <t>Ahel, Dr Ivan</t>
  </si>
  <si>
    <t>224095/Z/21/Z</t>
  </si>
  <si>
    <t>210170568</t>
  </si>
  <si>
    <t>48403</t>
  </si>
  <si>
    <t>210170862</t>
  </si>
  <si>
    <t>MQRYCT00</t>
  </si>
  <si>
    <t>COMPLEX SYSTEMS.</t>
  </si>
  <si>
    <t>Reed-Tsochas, Prof Felix</t>
  </si>
  <si>
    <t>N/A#</t>
  </si>
  <si>
    <t>Massachusetts Institute of Technology</t>
  </si>
  <si>
    <t>61580</t>
  </si>
  <si>
    <t>210170851</t>
  </si>
  <si>
    <t>HMR06490</t>
  </si>
  <si>
    <t>BLUsH neuroimaging</t>
  </si>
  <si>
    <t>s6605</t>
  </si>
  <si>
    <t>210170859</t>
  </si>
  <si>
    <t>AERXNS00</t>
  </si>
  <si>
    <t>INSIS COSTS</t>
  </si>
  <si>
    <t>NONE#</t>
  </si>
  <si>
    <t>210170853</t>
  </si>
  <si>
    <t>210170868</t>
  </si>
  <si>
    <t>HSR02370</t>
  </si>
  <si>
    <t>CAREFOL OFFSPRING</t>
  </si>
  <si>
    <t>PG/25/12242</t>
  </si>
  <si>
    <t>2687</t>
  </si>
  <si>
    <t>210170870</t>
  </si>
  <si>
    <t>BZR07460</t>
  </si>
  <si>
    <t>Herpes Vacc. &amp; Dementia.</t>
  </si>
  <si>
    <t>210170875</t>
  </si>
  <si>
    <t>210170880</t>
  </si>
  <si>
    <t>CMR00220</t>
  </si>
  <si>
    <t>MRC-Newcastle Aug 24</t>
  </si>
  <si>
    <t>Adams, Dr Cassandra</t>
  </si>
  <si>
    <t>NU-019503</t>
  </si>
  <si>
    <t>210170864</t>
  </si>
  <si>
    <t>210170871</t>
  </si>
  <si>
    <t>210170869</t>
  </si>
  <si>
    <t>DFR08620</t>
  </si>
  <si>
    <t>SMARTEDGE</t>
  </si>
  <si>
    <t>10056403</t>
  </si>
  <si>
    <t>Eliptica Limited</t>
  </si>
  <si>
    <t>117109</t>
  </si>
  <si>
    <t>210170883</t>
  </si>
  <si>
    <t>ANR01911</t>
  </si>
  <si>
    <t>SCOOT-  Eliptica</t>
  </si>
  <si>
    <t>Gleeson, Prof Fergus</t>
  </si>
  <si>
    <t>d- 07/01/2026 email from Oscar to Jonida - Apologies however this unpaid invoice had a mistake in the total and did not include VAT, it has now been cancelled. See attached the replacement invoice, could this be passed on to the funder please? Or can you confirm the address it should be submitted to?</t>
  </si>
  <si>
    <t>R65860/CN030</t>
  </si>
  <si>
    <t>210170987</t>
  </si>
  <si>
    <t>HNR03250</t>
  </si>
  <si>
    <t>CEPI Junin</t>
  </si>
  <si>
    <t>d- 19/01/2026 email from Euken (dept) to Gavin - Thank you so much for that. I have now prepared the accruals for the projects listed below: HNR03250, PSR02770, PSR00290, HNR03220, H5R01920, HCR01323, HNR03730, PSR00110, HCR01320.  Please find the calculations and accruals forms attached. Note that some of these have been consolidated into a single accruals file, as they are reviewed by the same Finance Manager at CEPI. I was unable to reconcile the overheads on CHR01320. I believe there may be an issue in Oracle, as some cost categories do not appear to be generating overheads. Could you please have a look and amend the Oracle multipliers so that overheads are generated at 25% across all cost categories? @David Cothier is working on the remaining three projects, as the costs are not yet final in Oracle. He will be in touch separately once the accruals statements for those are ready (B9R05970, B9R06330, B9R0551) I got an extension from CEPI to Thursday 15/01/2026 to submit these, so grateful if they could be reviewed and signed PSF copies shared with me by then. Please find the calculations and accruals forms attached. Note that some of these have been consolidated into a single accruals file, as they are reviewed by the same Finance Manager at CEPI. I was unable to reconcile the overheads on CHR01320. I believe there may be an issue in Oracle, as some cost categories do not appear to be generating overheads. Could you please have a look and amend the Oracle multipliers so that overheads are generated at 25% across all cost categories?  13/02/2026 email from Gavin -  Comments on left not relevant. Report submitted on Jan 21st only a short time ago. Hopefully payment to be made this month.</t>
  </si>
  <si>
    <t>James S McDonnell Foundation</t>
  </si>
  <si>
    <t>3639</t>
  </si>
  <si>
    <t>210170900</t>
  </si>
  <si>
    <t>AER01260</t>
  </si>
  <si>
    <t>ICEA_EC_DSSBF</t>
  </si>
  <si>
    <t>2020-1152</t>
  </si>
  <si>
    <t>210170893</t>
  </si>
  <si>
    <t>AFR01710</t>
  </si>
  <si>
    <t>BrightSpace</t>
  </si>
  <si>
    <t>Springmann, Dr Marco</t>
  </si>
  <si>
    <t>10047415</t>
  </si>
  <si>
    <t>210170896</t>
  </si>
  <si>
    <t>DHR01470</t>
  </si>
  <si>
    <t>N2 activation</t>
  </si>
  <si>
    <t>David, Prof William</t>
  </si>
  <si>
    <t>EP/T02853X/1</t>
  </si>
  <si>
    <t>210170906</t>
  </si>
  <si>
    <t>B9R03530</t>
  </si>
  <si>
    <t>Thai - Dondorp - WT - SMAART</t>
  </si>
  <si>
    <t>b- 09/03/2026 chase to ap.  09/03/2026 email from ap - Please amend invoices to state: Imperial College London, Exhibition Road, London, SW7 2AZ - All invoices received, need to be addressed to Imperial College London, Exhibition Road, London, SW7 2AZ.  10/03/2026 email to Lucy - Please see the email below highlighted yellow regarding the attached invoice, can you reissue the invoice as requested to apinvoices@imperial.ac.uk letting me know once resent.</t>
  </si>
  <si>
    <t>P76058#5003795</t>
  </si>
  <si>
    <t>210171004</t>
  </si>
  <si>
    <t>d- 13/01/2026 email from Donna - Do we have an official file on letter headed paper to send out to the funders? I have sent this funder what we have on file but they are being much more specific. They need the document to include the following details:  Can I raise something myself or do I need it to be done officially? I would hope the second option.  14/01/2026 email to Donna - No we don’t have with all this detail, happy for you raise something to send out to the funder cc me in when you respond to them.  06/02/2026 email from Qin Huang to ap -  Please find the attached INVOICE  210171004 from University of Oxford to match GWH  PO 1512962 for you to arrange payment.    12/02/2026 email from Ellie to Quin -  It sounds like this invoice is approved for payment your end based on this email. Please can you confirm if you need anything else from us?  12/02/2026 email from Qin to Ellie - Yes, you are right, you do not need to do anything for this, I already put your invoice number on my PO 1512962 for our finance department to arrange payment 😊</t>
  </si>
  <si>
    <t>210170995</t>
  </si>
  <si>
    <t>210171008</t>
  </si>
  <si>
    <t>HCR02160</t>
  </si>
  <si>
    <t>Immunocore study</t>
  </si>
  <si>
    <t>PID 16771 - IMC-I109V-101</t>
  </si>
  <si>
    <t>Secretary of State for Health and Social Care</t>
  </si>
  <si>
    <t>84221</t>
  </si>
  <si>
    <t>210171065</t>
  </si>
  <si>
    <t>HFR07360</t>
  </si>
  <si>
    <t>BT - NIHR PreDoc</t>
  </si>
  <si>
    <t>Tsegaye, Mr Biruk</t>
  </si>
  <si>
    <t>NIHR501724</t>
  </si>
  <si>
    <t>210171033</t>
  </si>
  <si>
    <t>HIR00240</t>
  </si>
  <si>
    <t>DISCERN</t>
  </si>
  <si>
    <t>Smith Byrne, Dr. Karl</t>
  </si>
  <si>
    <t>10063259</t>
  </si>
  <si>
    <t>210171058</t>
  </si>
  <si>
    <t>Insulin Vesicle Dynamics</t>
  </si>
  <si>
    <t>Hastoy, Dr Benoit</t>
  </si>
  <si>
    <t>19/0005965</t>
  </si>
  <si>
    <t>210171043</t>
  </si>
  <si>
    <t>BRISMED</t>
  </si>
  <si>
    <t>NIHR154205</t>
  </si>
  <si>
    <t>210171047</t>
  </si>
  <si>
    <t>5822</t>
  </si>
  <si>
    <t>210171055</t>
  </si>
  <si>
    <t>DUR01510</t>
  </si>
  <si>
    <t>QCNDS Daley</t>
  </si>
  <si>
    <t>d- 04/03/2026 chase to the ap query team.  04/03/2026 email from Kay Kenny -  This is the 1st time we have received this invoice – please ensure all invoices are emailed directly to apinvoices@awe.co.uk to avoid payment details.  I will get this processed tomorrow for you.</t>
  </si>
  <si>
    <t>40145045 # 40145045</t>
  </si>
  <si>
    <t>Cardiff and Vale University Health Board</t>
  </si>
  <si>
    <t>7125</t>
  </si>
  <si>
    <t>210171042</t>
  </si>
  <si>
    <t>BZR06850</t>
  </si>
  <si>
    <t>EXCISE</t>
  </si>
  <si>
    <t>Hayward, Prof Gail</t>
  </si>
  <si>
    <t>NIHR160872 / PO 726842107</t>
  </si>
  <si>
    <t>210171111</t>
  </si>
  <si>
    <t>BLR03760</t>
  </si>
  <si>
    <t>SMASH-HCM</t>
  </si>
  <si>
    <t>Bueno Orovio, Prof Alfonso</t>
  </si>
  <si>
    <t>10110728</t>
  </si>
  <si>
    <t>210171056</t>
  </si>
  <si>
    <t>WIMM-MHU 2022-27 QQR 2025-26</t>
  </si>
  <si>
    <t>4050868299</t>
  </si>
  <si>
    <t>210171036</t>
  </si>
  <si>
    <t>AMR00520</t>
  </si>
  <si>
    <t>Evans Novo - Data linkage</t>
  </si>
  <si>
    <t>Evans, Prof Robin</t>
  </si>
  <si>
    <t>210171115</t>
  </si>
  <si>
    <t>DFR09700</t>
  </si>
  <si>
    <t>DigiBatt</t>
  </si>
  <si>
    <t>10107050</t>
  </si>
  <si>
    <t>115028</t>
  </si>
  <si>
    <t>210171044</t>
  </si>
  <si>
    <t>Acct for Nature</t>
  </si>
  <si>
    <t>Agreement dated 25.08.24</t>
  </si>
  <si>
    <t>114488</t>
  </si>
  <si>
    <t>210171050</t>
  </si>
  <si>
    <t>DFR10740</t>
  </si>
  <si>
    <t>Oxford Hydrogen Test lab</t>
  </si>
  <si>
    <t>d- 17/02/2026 email from Emma to Jonasus - Line item 10 was completed upon project kick off, which was paid last year when the project was started. This relates to the first line you have in your table. I have matched your table and the Line Items in our PO in the below table for ease of understanding. As mentioned, we need all items from your table on the invoice, so it matches the PO. If you could then mark clearly that the first line “On signature of this Agreement - £250,000” has been completed, and that you are only looking for the second line “1 January 2026 - £250,000” to be paid, that would be perfect.  19/02/2026 email from Jonasus to Emma - Thank you for the clarification. Please advise if the attachment of the breakdown is sufficient for your purpose?  19/02/2026 email from Emma to Jonasus -  Yes, the breakdown being put on the Invoice “DFR10740 210171050 AUTO” would be great.  25/02/2026 email from Emma Bailey to Jonasus -Just checking if you’ve been able to put the breakdown “DFR10740210171050 Breakdown” onto the Invoice “DFR10740 210171050 AUTO” yet?  25/02/2026 email from Emma to Jonasus -   If you could also please update the company to: Meggitt Aerospace, Pilot Way, Ansty Business Park, Coventry, CV79JU - And please could you update the Project Title to: Aerothermal Impact of Satellite Particles - And lastly, if you’ve been able to put the breakdown “DFR10740210171050 Breakdown” onto the Invoice “DFR10740 210171050 AUTO”.  04/03/2026 email from Jonasus to Emma - Please find the amended invoice attached. Apologies for the delay.</t>
  </si>
  <si>
    <t>N/A# 4551200540</t>
  </si>
  <si>
    <t>210171027</t>
  </si>
  <si>
    <t>210171074</t>
  </si>
  <si>
    <t>210171094</t>
  </si>
  <si>
    <t>AFR01790</t>
  </si>
  <si>
    <t>Miraca</t>
  </si>
  <si>
    <t>10065719</t>
  </si>
  <si>
    <t>210171066</t>
  </si>
  <si>
    <t>Bertarelli Foundation</t>
  </si>
  <si>
    <t>71880</t>
  </si>
  <si>
    <t>210171120</t>
  </si>
  <si>
    <t>ATR02330</t>
  </si>
  <si>
    <t>Coral Reef Condition Chagos</t>
  </si>
  <si>
    <t>Wilson, Dr Bryan</t>
  </si>
  <si>
    <t>BPMS 2017-6</t>
  </si>
  <si>
    <t>210171086</t>
  </si>
  <si>
    <t>210171108</t>
  </si>
  <si>
    <t>210171031</t>
  </si>
  <si>
    <t>UCB Biopharma SRL</t>
  </si>
  <si>
    <t>210171096</t>
  </si>
  <si>
    <t>HMR04250</t>
  </si>
  <si>
    <t>UCBAIEDatabase</t>
  </si>
  <si>
    <t>EP16869-V3#4300016792</t>
  </si>
  <si>
    <t>47039</t>
  </si>
  <si>
    <t>210171046</t>
  </si>
  <si>
    <t>Organoid &amp; Explant Partnership</t>
  </si>
  <si>
    <t>Cespedes Donoso, Dr Pablo</t>
  </si>
  <si>
    <t>UKRI673</t>
  </si>
  <si>
    <t>210171153</t>
  </si>
  <si>
    <t>HFR07470</t>
  </si>
  <si>
    <t>CSP pre-doc</t>
  </si>
  <si>
    <t>Wood, Miss Helen</t>
  </si>
  <si>
    <t>210171291</t>
  </si>
  <si>
    <t>HER02130</t>
  </si>
  <si>
    <t>e-MASTER</t>
  </si>
  <si>
    <t>Coomarasamy, Prof Aravinthan</t>
  </si>
  <si>
    <t>INV-082982</t>
  </si>
  <si>
    <t>210171139</t>
  </si>
  <si>
    <t>H7R01300</t>
  </si>
  <si>
    <t>FKarpe_Novo_FGF21 signalling</t>
  </si>
  <si>
    <t>d- Replacement invoice for invoice 210167705.</t>
  </si>
  <si>
    <t>ID 2024-004778</t>
  </si>
  <si>
    <t>210171128</t>
  </si>
  <si>
    <t>HNR03190</t>
  </si>
  <si>
    <t>Chik-May</t>
  </si>
  <si>
    <t>b- 13/02/2026 email from Gavin - Claim came back with a  query. Gavin to resolve.</t>
  </si>
  <si>
    <t>10086193</t>
  </si>
  <si>
    <t>210171133</t>
  </si>
  <si>
    <t>HMR04300</t>
  </si>
  <si>
    <t>US Dept of Defense</t>
  </si>
  <si>
    <t>d- Receipt - 180923USD-02 that was applied to invoice 210170257 now applied to this invoice re message from Ellie.  Invoice raised for the outstanding balance.</t>
  </si>
  <si>
    <t>W81XWH2110970</t>
  </si>
  <si>
    <t>210171126</t>
  </si>
  <si>
    <t>CBR01070</t>
  </si>
  <si>
    <t>Go Nature Positive</t>
  </si>
  <si>
    <t>10112389</t>
  </si>
  <si>
    <t>210171229</t>
  </si>
  <si>
    <t>210171127</t>
  </si>
  <si>
    <t>HMR05230</t>
  </si>
  <si>
    <t>Linked with app: 2103HM001/DN3</t>
  </si>
  <si>
    <t>R78781CN033</t>
  </si>
  <si>
    <t>210171137</t>
  </si>
  <si>
    <t>DGR01460</t>
  </si>
  <si>
    <t>DINOTHROPHY BBSRC</t>
  </si>
  <si>
    <t>BB/V00994X/1</t>
  </si>
  <si>
    <t>210171154</t>
  </si>
  <si>
    <t>DKR01590</t>
  </si>
  <si>
    <t>ZEBAI</t>
  </si>
  <si>
    <t>Antoranz Contera, Prof Sonia</t>
  </si>
  <si>
    <t>10116055</t>
  </si>
  <si>
    <t>210171407</t>
  </si>
  <si>
    <t>210171308</t>
  </si>
  <si>
    <t>HQR02903</t>
  </si>
  <si>
    <t>OH-BRC3-Core</t>
  </si>
  <si>
    <t>N/A #ASE170655</t>
  </si>
  <si>
    <t>210171307</t>
  </si>
  <si>
    <t>AFR01980</t>
  </si>
  <si>
    <t>MultiFutures</t>
  </si>
  <si>
    <t>Obersteiner, Prof Michael</t>
  </si>
  <si>
    <t>10107725</t>
  </si>
  <si>
    <t>210171652</t>
  </si>
  <si>
    <t>210171655</t>
  </si>
  <si>
    <t>ALR03170</t>
  </si>
  <si>
    <t>mAb insilico affin maturation</t>
  </si>
  <si>
    <t>MR_X502911_1#POPP000177</t>
  </si>
  <si>
    <t>210171642</t>
  </si>
  <si>
    <t>210171306</t>
  </si>
  <si>
    <t>PSR00130</t>
  </si>
  <si>
    <t>UKPHRST Additional Costing</t>
  </si>
  <si>
    <t>Dunning, Dr William</t>
  </si>
  <si>
    <t>d- 09/03/2026 chase to various.</t>
  </si>
  <si>
    <t>EPIDZK3812</t>
  </si>
  <si>
    <t>210171654</t>
  </si>
  <si>
    <t>ALR03160</t>
  </si>
  <si>
    <t>mAb epitope efficacy</t>
  </si>
  <si>
    <t>d-  09/03/2026 chase to finance.</t>
  </si>
  <si>
    <t>MR_X502911_1 # POPP000176</t>
  </si>
  <si>
    <t>210171663</t>
  </si>
  <si>
    <t>HFR07240</t>
  </si>
  <si>
    <t>Colin Forde - OUH</t>
  </si>
  <si>
    <t>Forde, Mr Colin</t>
  </si>
  <si>
    <t>BRC4Y2/ACD-34</t>
  </si>
  <si>
    <t>J. Craig Venter Institute</t>
  </si>
  <si>
    <t>127187</t>
  </si>
  <si>
    <t>210171673</t>
  </si>
  <si>
    <t>CSR00870</t>
  </si>
  <si>
    <t>ABCD-USA Consortium.</t>
  </si>
  <si>
    <t>JCVI 25-005</t>
  </si>
  <si>
    <t>210171687</t>
  </si>
  <si>
    <t>EPR02330</t>
  </si>
  <si>
    <t>Ingram EEF Mar 24</t>
  </si>
  <si>
    <t>Ingram, Prof Jennifer</t>
  </si>
  <si>
    <t>210171685</t>
  </si>
  <si>
    <t>Zhang, Dr Qiang</t>
  </si>
  <si>
    <t>210171676</t>
  </si>
  <si>
    <t>BXR01540</t>
  </si>
  <si>
    <t>Invest4Health</t>
  </si>
  <si>
    <t>Tsiachristas, Dr Apostolos</t>
  </si>
  <si>
    <t>10061251</t>
  </si>
  <si>
    <t>210171657</t>
  </si>
  <si>
    <t>BZR06210</t>
  </si>
  <si>
    <t>Open Science</t>
  </si>
  <si>
    <t>10075791</t>
  </si>
  <si>
    <t>210171703</t>
  </si>
  <si>
    <t>H4R01570</t>
  </si>
  <si>
    <t>Mead CRUK F/ship C42639/A26988</t>
  </si>
  <si>
    <t>C42639/A26988</t>
  </si>
  <si>
    <t>210171698</t>
  </si>
  <si>
    <t>210171659</t>
  </si>
  <si>
    <t>210171695</t>
  </si>
  <si>
    <t>210171733</t>
  </si>
  <si>
    <t>DBR01251</t>
  </si>
  <si>
    <t>LSST Phase C - Edinburgh</t>
  </si>
  <si>
    <t>12483648</t>
  </si>
  <si>
    <t>210171757</t>
  </si>
  <si>
    <t>DISCUS</t>
  </si>
  <si>
    <t>Davies, Miss Lucy</t>
  </si>
  <si>
    <t>NIHR130048 #28006183</t>
  </si>
  <si>
    <t>210171743</t>
  </si>
  <si>
    <t>DJR03220</t>
  </si>
  <si>
    <t>RoyceRTP</t>
  </si>
  <si>
    <t>Johnston, Dr Colin</t>
  </si>
  <si>
    <t>d- 06/03/2026 chase to the help desk.</t>
  </si>
  <si>
    <t>EPZ2699063</t>
  </si>
  <si>
    <t>210171762</t>
  </si>
  <si>
    <t>HMR06660</t>
  </si>
  <si>
    <t>Parkinsons UK - He</t>
  </si>
  <si>
    <t>He, Dr Shenghong</t>
  </si>
  <si>
    <t>F-2402</t>
  </si>
  <si>
    <t>104541</t>
  </si>
  <si>
    <t>210171745</t>
  </si>
  <si>
    <t>CooperUKRI</t>
  </si>
  <si>
    <t>Cooper, Dr Anwen</t>
  </si>
  <si>
    <t>REWILDOT COLLAB1</t>
  </si>
  <si>
    <t>210171778</t>
  </si>
  <si>
    <t>BZR07030</t>
  </si>
  <si>
    <t>MISP 101650</t>
  </si>
  <si>
    <t>Meza Torres, Mr Bernardo</t>
  </si>
  <si>
    <t>101650</t>
  </si>
  <si>
    <t>210171793</t>
  </si>
  <si>
    <t>HQR03860</t>
  </si>
  <si>
    <t>My Story and Me</t>
  </si>
  <si>
    <t>NIHR158909</t>
  </si>
  <si>
    <t>East and North Hertfordshire NHS Trust</t>
  </si>
  <si>
    <t>120700</t>
  </si>
  <si>
    <t>210171767</t>
  </si>
  <si>
    <t>HQR03720</t>
  </si>
  <si>
    <t>Connections</t>
  </si>
  <si>
    <t>NIHR207111</t>
  </si>
  <si>
    <t>University of Debrecen</t>
  </si>
  <si>
    <t>126907</t>
  </si>
  <si>
    <t>210171790</t>
  </si>
  <si>
    <t>CBR01880</t>
  </si>
  <si>
    <t>AMR_BIRDS</t>
  </si>
  <si>
    <t>1/1471/20</t>
  </si>
  <si>
    <t>210171727</t>
  </si>
  <si>
    <t>BZR07420</t>
  </si>
  <si>
    <t>NEST</t>
  </si>
  <si>
    <t>NIHR206567 PO/</t>
  </si>
  <si>
    <t>210171712</t>
  </si>
  <si>
    <t>B5R00870</t>
  </si>
  <si>
    <t>Lipid transferases</t>
  </si>
  <si>
    <t>BB/Z517409/1</t>
  </si>
  <si>
    <t>Cumbria, Northumberland, Tyne and Wear NHS Foundation Trust</t>
  </si>
  <si>
    <t>28646</t>
  </si>
  <si>
    <t>210171726</t>
  </si>
  <si>
    <t>BZR07270</t>
  </si>
  <si>
    <t>Health Checks Trial</t>
  </si>
  <si>
    <t>984759</t>
  </si>
  <si>
    <t>210171769</t>
  </si>
  <si>
    <t>210171777</t>
  </si>
  <si>
    <t>B9R05800</t>
  </si>
  <si>
    <t>Impact Assessment Modelling</t>
  </si>
  <si>
    <t>Hollingsworth, Prof. Teresa (T</t>
  </si>
  <si>
    <t>210171713</t>
  </si>
  <si>
    <t>210171704</t>
  </si>
  <si>
    <t>A5R00230</t>
  </si>
  <si>
    <t>EPSRC Digital Health Hub</t>
  </si>
  <si>
    <t>EP/X031276/1</t>
  </si>
  <si>
    <t>210171798</t>
  </si>
  <si>
    <t>210171711</t>
  </si>
  <si>
    <t>AC - VA (Leeds lead)</t>
  </si>
  <si>
    <t>RG.MSCD.131217</t>
  </si>
  <si>
    <t>210172743</t>
  </si>
  <si>
    <t>210171756</t>
  </si>
  <si>
    <t>RL - EPSRC</t>
  </si>
  <si>
    <t>1008617/H5569300</t>
  </si>
  <si>
    <t>210171760</t>
  </si>
  <si>
    <t>210171720</t>
  </si>
  <si>
    <t>210171715</t>
  </si>
  <si>
    <t>AWaRe 1 TRIAL</t>
  </si>
  <si>
    <t>Van Doorn, Prof Hindrik</t>
  </si>
  <si>
    <t>228140/Z/23/Z</t>
  </si>
  <si>
    <t>210171736</t>
  </si>
  <si>
    <t>210171800</t>
  </si>
  <si>
    <t>210171748</t>
  </si>
  <si>
    <t>Trans-ancestry multi-omic</t>
  </si>
  <si>
    <t>Walters, Dr Robin</t>
  </si>
  <si>
    <t>ECSG24\6</t>
  </si>
  <si>
    <t>210171734</t>
  </si>
  <si>
    <t>210171749</t>
  </si>
  <si>
    <t>210171773</t>
  </si>
  <si>
    <t>210171747</t>
  </si>
  <si>
    <t>210171731</t>
  </si>
  <si>
    <t>ESRC Connecting Generations</t>
  </si>
  <si>
    <t>ES/W002116/1</t>
  </si>
  <si>
    <t>210171794</t>
  </si>
  <si>
    <t>H7R00960</t>
  </si>
  <si>
    <t>Liver, Lipids and Diet</t>
  </si>
  <si>
    <t>Hodson, Prof Leanne</t>
  </si>
  <si>
    <t>d- 12/02/2026 email from Gareth to Rachel -  Please find the response to your queries from the department below, if you could please confirm if invoice 210167338 can now be released or if there are other issues please let me know how i can help to resolve them. "I have looked into this query and can see that the PI, Leanne Hodson, received a new professorial merit pay award in August 2025 which was backdated to 01/08/2024. Here is a summary of her merit pay awards: Band A1 01/08/2022 – 31/07/2024, Band A2 01/08/2024 – ongoing - The merit pay has been charged to the Fellowship at 50%, matching the percentage of the PI salary that is paid from the grant. Here is a link to the professorial merit pay bands in case this would be useful for the funder: https://finance.admin.ox.ac.uk/salary-scales#collapse1098711".  12/02/2026 email from Rachel to Gareth re invoice 210167338 - Thanks for your response. BHF only covers nationally agreed pay increases and annual increments, so the cost of the professorial merit pay award will need to be removed from the invoice before it can be processed.  12/02/2026 email from Gareth to Sinead (dept) -  BHF have responded that the merit pay award will need to be removed from the invoice, could you please remove this cost and let me know so I can redraft the invoice.  23/02/2026 email from Sinead to Gareth -  I have removed the merit pay and this will show after the overnight process.  19/02/2026 email from Gareth to Diya - Please find attached the updated invoice 210171794 with staff breakdown, I have also chased up the department to resolve the merit pay issue with invoice 210167338.</t>
  </si>
  <si>
    <t>FS/SBSRF/21/31013</t>
  </si>
  <si>
    <t>210171746</t>
  </si>
  <si>
    <t>210171761</t>
  </si>
  <si>
    <t>210172650</t>
  </si>
  <si>
    <t>A4R00160</t>
  </si>
  <si>
    <t>BHF_Fellowship.</t>
  </si>
  <si>
    <t>Kalisch-Smith, Dr Jacinta (IDR</t>
  </si>
  <si>
    <t>d- 16/01/2026 email from Jonasus to the invoice team - Please find attached our latest invoice relating to the above-mentioned project. Note that this was previously submitted. A query was raised for; Please send a breakdown of the salary claim by month, by basic, NI and pension costs (with app levy and oxford weighting has been removed). Why does the salary vary by month (Oct: £5,527.99, Sep: £5,471.20, Aug: £5,276.99)? The response to the query above is (I also attach the breakdown): Increase in September – this is result of the national pay award/increase to the Oxford University Weighting – it was implemented in the September payroll and backdated to 1st August 2025 Increase in October – this is due to the fact that on 1st October 2025 the Fellow received a standard annual increment and moved from NSP 38 to NSP 39.</t>
  </si>
  <si>
    <t>FS/IBSRF/25/25252</t>
  </si>
  <si>
    <t>210171815</t>
  </si>
  <si>
    <t>HMR04972</t>
  </si>
  <si>
    <t>OH BRC2 – Sleep Yr2</t>
  </si>
  <si>
    <t>NONE#ASE138745</t>
  </si>
  <si>
    <t>210171838</t>
  </si>
  <si>
    <t>ALR03030</t>
  </si>
  <si>
    <t>Lidia_BBSRC_Jan2023</t>
  </si>
  <si>
    <t>Vasilieva, Dr Lidia</t>
  </si>
  <si>
    <t>BB/Y00194X/1</t>
  </si>
  <si>
    <t>210171845</t>
  </si>
  <si>
    <t>HQR03380</t>
  </si>
  <si>
    <t>COMMUTE</t>
  </si>
  <si>
    <t>10112957</t>
  </si>
  <si>
    <t>210171808</t>
  </si>
  <si>
    <t>210171818</t>
  </si>
  <si>
    <t>HMR04982</t>
  </si>
  <si>
    <t>OH BRC2 - Pain Y2</t>
  </si>
  <si>
    <t>#ASE154244</t>
  </si>
  <si>
    <t>210171844</t>
  </si>
  <si>
    <t>DGR02090</t>
  </si>
  <si>
    <t>ReSET</t>
  </si>
  <si>
    <t>d- 20/01/2026 email from Ciaran to Laura - Please find attached an Oxford Martin School invoice for you to send out.</t>
  </si>
  <si>
    <t>210171806</t>
  </si>
  <si>
    <t>AFR01780</t>
  </si>
  <si>
    <t>diamond.</t>
  </si>
  <si>
    <t>10063674</t>
  </si>
  <si>
    <t>210171843</t>
  </si>
  <si>
    <t>B9R05970</t>
  </si>
  <si>
    <t>G Warimwe CEPI RVF003</t>
  </si>
  <si>
    <t>210171915</t>
  </si>
  <si>
    <t>DXR00480</t>
  </si>
  <si>
    <t>Seeking Infinity: Mystics</t>
  </si>
  <si>
    <t>Shaw, Prof Jane</t>
  </si>
  <si>
    <t>EM-2025-030</t>
  </si>
  <si>
    <t>210171912</t>
  </si>
  <si>
    <t>Hampshire and Isle of Wight Healthcare NHS Foundation Trust</t>
  </si>
  <si>
    <t>60432</t>
  </si>
  <si>
    <t>210172185</t>
  </si>
  <si>
    <t>BZR07380</t>
  </si>
  <si>
    <t>Antidepressant use</t>
  </si>
  <si>
    <t>Woods, Dr Catherine</t>
  </si>
  <si>
    <t>NIHR207166</t>
  </si>
  <si>
    <t>210172175</t>
  </si>
  <si>
    <t>210171986</t>
  </si>
  <si>
    <t>CUR01610</t>
  </si>
  <si>
    <t>CAGE Project.</t>
  </si>
  <si>
    <t>Broadberry, Prof Stephen</t>
  </si>
  <si>
    <t>ES/Z504701/1</t>
  </si>
  <si>
    <t>University of Northumbria at Newcastle</t>
  </si>
  <si>
    <t>81222</t>
  </si>
  <si>
    <t>210171863</t>
  </si>
  <si>
    <t>CUR01580</t>
  </si>
  <si>
    <t>ECLIPS</t>
  </si>
  <si>
    <t>Ditraglia, Dr Francis</t>
  </si>
  <si>
    <t>MR/Z505717/1</t>
  </si>
  <si>
    <t>210171874</t>
  </si>
  <si>
    <t>b- 09/03/2026 email to Sharmila - Re invoice 210171874 has this invoice been sent, if not can it be cancelled on Oracle and reissued with a current date?</t>
  </si>
  <si>
    <t>210172100</t>
  </si>
  <si>
    <t>FSR00070</t>
  </si>
  <si>
    <t>INSULAR</t>
  </si>
  <si>
    <t>Barrett, Mr John</t>
  </si>
  <si>
    <t>d- 15/01/2026 email from elaine Anstee - Rachel requested amended timesheets which I supplied, and copied Research Accounts into, on the 22nd December, however they now want an updated invoice as below. I do not know who has to originate the invoice and my absolute apologies for the extra work.    21/01/2026 email from Henry to various - Please find attached amended invoice as requested. This includes costs up until 31-Oct-25, with staff breakdown. However, I cannot provide the hourly rate, if you require this the department may be able to provide this.  22/01/2026 email from Elaine Anstee to Rachel - The hourly rate is £28.70. I am hoping we are all up to date now.</t>
  </si>
  <si>
    <t>EP/Z53402X/1</t>
  </si>
  <si>
    <t>210171866</t>
  </si>
  <si>
    <t>b- 03/03/2026 email from Tony - Could I please ask you to send it, along with a statement of expenditure to e-invoice@turing.ac.uk   with myself in CC as well?  03/03/2026 email to Sharmila -  Please see a further email below regarding project BLR03680, can the requested invoicing up to March and statement of expenditure be forwarded as requested cc in Tony.</t>
  </si>
  <si>
    <t>Lady Margaret Hall</t>
  </si>
  <si>
    <t>2691</t>
  </si>
  <si>
    <t>210171857</t>
  </si>
  <si>
    <t>CUR01430</t>
  </si>
  <si>
    <t>Virtual Research Centre</t>
  </si>
  <si>
    <t>Jensen, Dr Mathias</t>
  </si>
  <si>
    <t>210171853</t>
  </si>
  <si>
    <t>HMR04983</t>
  </si>
  <si>
    <t>OH BRC2 - Pain Y3</t>
  </si>
  <si>
    <t>#ASE170652</t>
  </si>
  <si>
    <t>210171922</t>
  </si>
  <si>
    <t>210171988</t>
  </si>
  <si>
    <t>DRR00850</t>
  </si>
  <si>
    <t>RheoCell - Pinto MSCA 23</t>
  </si>
  <si>
    <t>Yeomans, Prof Julia</t>
  </si>
  <si>
    <t>EP/Z002761/1</t>
  </si>
  <si>
    <t>210171865</t>
  </si>
  <si>
    <t>CTR01160</t>
  </si>
  <si>
    <t>Nonviolent Repression</t>
  </si>
  <si>
    <t>Tertytchnaya, Dr Katerina</t>
  </si>
  <si>
    <t>ES/V012207/2</t>
  </si>
  <si>
    <t>210172092</t>
  </si>
  <si>
    <t>210172026</t>
  </si>
  <si>
    <t>EBR00810</t>
  </si>
  <si>
    <t>QUERCUS</t>
  </si>
  <si>
    <t>EP/X025098/1</t>
  </si>
  <si>
    <t>Procter &amp; Gamble Singapore</t>
  </si>
  <si>
    <t>93564</t>
  </si>
  <si>
    <t>210172011</t>
  </si>
  <si>
    <t>CFR01390</t>
  </si>
  <si>
    <t>Drakesmith H - IRONMUM</t>
  </si>
  <si>
    <t>Drakesmith, Prof Alexander</t>
  </si>
  <si>
    <t>Dr Drakesmith-Iron MUM-2021-01</t>
  </si>
  <si>
    <t>210172102</t>
  </si>
  <si>
    <t>210171855</t>
  </si>
  <si>
    <t>HMR06740</t>
  </si>
  <si>
    <t>MRC Partnership Grant</t>
  </si>
  <si>
    <t>MR/X009726/1</t>
  </si>
  <si>
    <t>210172243</t>
  </si>
  <si>
    <t>Alzheimer's Brain Bank UK</t>
  </si>
  <si>
    <t>33045</t>
  </si>
  <si>
    <t>210172226</t>
  </si>
  <si>
    <t>HMR04770</t>
  </si>
  <si>
    <t>BDR4 - Ansorge</t>
  </si>
  <si>
    <t>BDR4</t>
  </si>
  <si>
    <t>49068</t>
  </si>
  <si>
    <t>210172201</t>
  </si>
  <si>
    <t>AZR03720</t>
  </si>
  <si>
    <t>CD - MLSTF</t>
  </si>
  <si>
    <t>210172198</t>
  </si>
  <si>
    <t>HQR03340</t>
  </si>
  <si>
    <t>MHM</t>
  </si>
  <si>
    <t>Geddes, Prof John</t>
  </si>
  <si>
    <t>NIHR203316 #ASE170657</t>
  </si>
  <si>
    <t>210172242</t>
  </si>
  <si>
    <t>210172267</t>
  </si>
  <si>
    <t>210172239</t>
  </si>
  <si>
    <t>ANR01830</t>
  </si>
  <si>
    <t>HIT-GLIO</t>
  </si>
  <si>
    <t>Olcina Del Molino, Dr Monica</t>
  </si>
  <si>
    <t>10110458</t>
  </si>
  <si>
    <t>210172268</t>
  </si>
  <si>
    <t>210172244</t>
  </si>
  <si>
    <t>210172236</t>
  </si>
  <si>
    <t>210172246</t>
  </si>
  <si>
    <t>HJR03340</t>
  </si>
  <si>
    <t>DRWF 2024-2026</t>
  </si>
  <si>
    <t>OXDFM2024/26</t>
  </si>
  <si>
    <t>210172202</t>
  </si>
  <si>
    <t>d- 23/01/2026 email from Danielle Lampariello - Thank you for sending this invoice.  Are you able to advise further about the expenditures from this period?  Work was paused from 6/30/2025, so we please clarify about the charges, as well as the accomplishments that were achieved during the period of work performance.  27/01/2026 email from Jonasus to the dept -  The invoice attached has been queried by the funder. Clarification is requested due to work being paused from 30-Jun-2025 and the accomplishments achieved during this period. Please see email below for query.  29/01/2026 email from Andrew (dept) to Jonasus -  Just letting you know that the clarification has been provided directly to Danielle, please find attached, it’s done.</t>
  </si>
  <si>
    <t>210172196</t>
  </si>
  <si>
    <t>Open Society Foundations</t>
  </si>
  <si>
    <t>8618</t>
  </si>
  <si>
    <t>210172231</t>
  </si>
  <si>
    <t>ABR00062</t>
  </si>
  <si>
    <t>OSF Africa Y3</t>
  </si>
  <si>
    <t>Hicks, Prof Daniel</t>
  </si>
  <si>
    <t>e- Refund February 2026</t>
  </si>
  <si>
    <t>OR2019-66315</t>
  </si>
  <si>
    <t>210172230</t>
  </si>
  <si>
    <t>d- 09/03/2026 chase to ap.</t>
  </si>
  <si>
    <t>210172256</t>
  </si>
  <si>
    <t>d- 04/03/2026 email to Gail Stone - Can you let me know the payment status of the attached invoices or if there are any queries.</t>
  </si>
  <si>
    <t>210172223</t>
  </si>
  <si>
    <t>DGR01120</t>
  </si>
  <si>
    <t>V-ECHO</t>
  </si>
  <si>
    <t>Mather, Prof Tamsin</t>
  </si>
  <si>
    <t>818717</t>
  </si>
  <si>
    <t>210172216</t>
  </si>
  <si>
    <t>BKR01540</t>
  </si>
  <si>
    <t>FIBRING</t>
  </si>
  <si>
    <t>Kielak, Prof Dawid</t>
  </si>
  <si>
    <t>850930</t>
  </si>
  <si>
    <t>210172250</t>
  </si>
  <si>
    <t>H6R00580</t>
  </si>
  <si>
    <t>breast cancer radiotherapy</t>
  </si>
  <si>
    <t>Holt, Dr Francesca</t>
  </si>
  <si>
    <t>NIHR300676</t>
  </si>
  <si>
    <t>210172245</t>
  </si>
  <si>
    <t>CRR00630</t>
  </si>
  <si>
    <t>NTD consortium</t>
  </si>
  <si>
    <t>Hollingsworth, Prof Teresa</t>
  </si>
  <si>
    <t>INV-030046</t>
  </si>
  <si>
    <t>210172248</t>
  </si>
  <si>
    <t>Ed ONeill</t>
  </si>
  <si>
    <t>O'Neill, Dr Edward</t>
  </si>
  <si>
    <t>TLD-CAF22-003#60515</t>
  </si>
  <si>
    <t>210172235</t>
  </si>
  <si>
    <t>69764</t>
  </si>
  <si>
    <t>210172300</t>
  </si>
  <si>
    <t>CQR03080</t>
  </si>
  <si>
    <t>Immune mechanisms</t>
  </si>
  <si>
    <t>Kabir, Dr Thomas</t>
  </si>
  <si>
    <t>226779/Z/22/Z</t>
  </si>
  <si>
    <t>210172298</t>
  </si>
  <si>
    <t>BZR04570</t>
  </si>
  <si>
    <t>MONITORY</t>
  </si>
  <si>
    <t>d- 26/01/2026 email from Patricia Dziunka - If at all possible, it may be wise to raise your final QRT 4 invoices as this programme and funding ends 31.3.26. I think it would be good to get all outstanding invoices for ARC EM collaborations prior to that end date if possible. I will not be employed after that date and you will need to chase Mark Howells as contract manger and payment services at Nottinghamshire Healthcare for any payments.   26/01/2026 email to Patricia -  I see my colleague who raises the invoices have raised the attached two invoices 210172297 &amp; 210172298.</t>
  </si>
  <si>
    <t>PO 700248831</t>
  </si>
  <si>
    <t>210172278</t>
  </si>
  <si>
    <t>210172327</t>
  </si>
  <si>
    <t>BKR02880</t>
  </si>
  <si>
    <t>CONTAIN</t>
  </si>
  <si>
    <t>Thompson, Dr. Robin</t>
  </si>
  <si>
    <t>09/03/2026 chase to various.</t>
  </si>
  <si>
    <t>MR/Z505316/1 # CONTAIN 79860</t>
  </si>
  <si>
    <t>210172295</t>
  </si>
  <si>
    <t>HFR07460</t>
  </si>
  <si>
    <t>KB - CSPCT.</t>
  </si>
  <si>
    <t>PRF/25/PDA04</t>
  </si>
  <si>
    <t>Amazon.com Services LLC</t>
  </si>
  <si>
    <t>81650</t>
  </si>
  <si>
    <t>210172274</t>
  </si>
  <si>
    <t>ANR02080</t>
  </si>
  <si>
    <t>Pre-Regulatory Submission Work</t>
  </si>
  <si>
    <t>d- 22/01/2026 email from Oscar to Jonida (dept) - To confirm the invoices for milestones P0 and P1 have now been submitted to Amazon.</t>
  </si>
  <si>
    <t>210172275</t>
  </si>
  <si>
    <t>210172301</t>
  </si>
  <si>
    <t>210172304</t>
  </si>
  <si>
    <t>210172305</t>
  </si>
  <si>
    <t>210172308</t>
  </si>
  <si>
    <t>210172311</t>
  </si>
  <si>
    <t>210172312</t>
  </si>
  <si>
    <t>210172313</t>
  </si>
  <si>
    <t>210172314</t>
  </si>
  <si>
    <t>210172315</t>
  </si>
  <si>
    <t>210172316</t>
  </si>
  <si>
    <t>210172317</t>
  </si>
  <si>
    <t>210172326</t>
  </si>
  <si>
    <t>TECregen AG</t>
  </si>
  <si>
    <t>114688</t>
  </si>
  <si>
    <t>210172333</t>
  </si>
  <si>
    <t>A3R00200</t>
  </si>
  <si>
    <t>TTTR</t>
  </si>
  <si>
    <t>Hollander, Prof Georg</t>
  </si>
  <si>
    <t>210172297</t>
  </si>
  <si>
    <t>210172277</t>
  </si>
  <si>
    <t>LER01340</t>
  </si>
  <si>
    <t>Net Zero Hub (OMS)</t>
  </si>
  <si>
    <t>Hale, Prof Thomas</t>
  </si>
  <si>
    <t>d- This invoice replaces invoice 210170858</t>
  </si>
  <si>
    <t>210172283</t>
  </si>
  <si>
    <t>British Association of Hand Therapists</t>
  </si>
  <si>
    <t>120996</t>
  </si>
  <si>
    <t>210172548</t>
  </si>
  <si>
    <t>HFR07110</t>
  </si>
  <si>
    <t>CS - BAHT</t>
  </si>
  <si>
    <t>Srikesavan, Dr Cynthia</t>
  </si>
  <si>
    <t>210172363</t>
  </si>
  <si>
    <t>210172346</t>
  </si>
  <si>
    <t>DGR02310</t>
  </si>
  <si>
    <t>ES_NERC_PTF_UMAN_Jan 2023</t>
  </si>
  <si>
    <t>Saupe, Prof Erin</t>
  </si>
  <si>
    <t>NE/Y000757/1</t>
  </si>
  <si>
    <t>210172356</t>
  </si>
  <si>
    <t>210172351</t>
  </si>
  <si>
    <t>210172353</t>
  </si>
  <si>
    <t>210172348</t>
  </si>
  <si>
    <t>210172340</t>
  </si>
  <si>
    <t>ATR02370</t>
  </si>
  <si>
    <t>Pandemic Genomics</t>
  </si>
  <si>
    <t>Pybus, Prof Oliver</t>
  </si>
  <si>
    <t>R2016PandemicGenomics#</t>
  </si>
  <si>
    <t>The Hospital for Sick Children</t>
  </si>
  <si>
    <t>107037</t>
  </si>
  <si>
    <t>210172449</t>
  </si>
  <si>
    <t>ALR03330</t>
  </si>
  <si>
    <t>Malaria vaccine</t>
  </si>
  <si>
    <t>R16596.3</t>
  </si>
  <si>
    <t>210172334</t>
  </si>
  <si>
    <t>DFR10150</t>
  </si>
  <si>
    <t>Adventurous Manufacturing</t>
  </si>
  <si>
    <t>EP/Y008243/1#UNN0000011085P</t>
  </si>
  <si>
    <t>210172366</t>
  </si>
  <si>
    <t>DFR08510</t>
  </si>
  <si>
    <t>SHARP-SC02</t>
  </si>
  <si>
    <t>10057823</t>
  </si>
  <si>
    <t>210172354</t>
  </si>
  <si>
    <t>DFR08430</t>
  </si>
  <si>
    <t>Integrate Energy Storage</t>
  </si>
  <si>
    <t>EP/W027321/1</t>
  </si>
  <si>
    <t>210172352</t>
  </si>
  <si>
    <t>ALR03080</t>
  </si>
  <si>
    <t>Lidia_BBSRC_April2023</t>
  </si>
  <si>
    <t>BB/Y004590/1</t>
  </si>
  <si>
    <t>210172373</t>
  </si>
  <si>
    <t>Mukherjee, Ms Mitali</t>
  </si>
  <si>
    <t>d- Invoice to Korea Press Foundation</t>
  </si>
  <si>
    <t>210172371</t>
  </si>
  <si>
    <t>MQR01190</t>
  </si>
  <si>
    <t>Bordalo Aveyard ESRC 2023</t>
  </si>
  <si>
    <t>Bordalo, Prof Pedro</t>
  </si>
  <si>
    <t>ESRC - ES/Y001044/1</t>
  </si>
  <si>
    <t>210172380</t>
  </si>
  <si>
    <t>Salamander Therapeutics Inc</t>
  </si>
  <si>
    <t>123970</t>
  </si>
  <si>
    <t>210172450</t>
  </si>
  <si>
    <t>AZR03700</t>
  </si>
  <si>
    <t>JN - Novo Via Salamanders</t>
  </si>
  <si>
    <t>210172393</t>
  </si>
  <si>
    <t>210172410</t>
  </si>
  <si>
    <t>210172413</t>
  </si>
  <si>
    <t>210172425</t>
  </si>
  <si>
    <t>NIHR203316 / PO ASE170653</t>
  </si>
  <si>
    <t>Lincoln College</t>
  </si>
  <si>
    <t>5485</t>
  </si>
  <si>
    <t>210172402</t>
  </si>
  <si>
    <t>HER01740</t>
  </si>
  <si>
    <t>Ahmed - Elman Poole</t>
  </si>
  <si>
    <t>Guangzhou Wondfo Biotech Co., Ltd.</t>
  </si>
  <si>
    <t>112481</t>
  </si>
  <si>
    <t>210172446</t>
  </si>
  <si>
    <t>B9R06130</t>
  </si>
  <si>
    <t>PATH G6PD POC EVAL</t>
  </si>
  <si>
    <t>210172400</t>
  </si>
  <si>
    <t>f- 60 day payment terms.  02/03/2026 statment received payment due 27/03/2026</t>
  </si>
  <si>
    <t>Michigan State University</t>
  </si>
  <si>
    <t>33093</t>
  </si>
  <si>
    <t>210172401</t>
  </si>
  <si>
    <t>HER01720</t>
  </si>
  <si>
    <t>Missmer DoD</t>
  </si>
  <si>
    <t>RC114054 - OX</t>
  </si>
  <si>
    <t>210172783</t>
  </si>
  <si>
    <t>HQR03500</t>
  </si>
  <si>
    <t>Cognitive Mapping Hypothesis</t>
  </si>
  <si>
    <t>d- 26/02/2026 email from Gareth - Sorry I forgot to cc you when the new invoice was sent, 210172783 was sent on the 4th Feb, attached.</t>
  </si>
  <si>
    <t>Margaret Temple (2024) Award</t>
  </si>
  <si>
    <t>210172399</t>
  </si>
  <si>
    <t>LER01490</t>
  </si>
  <si>
    <t>ACHIEVE</t>
  </si>
  <si>
    <t>10096024</t>
  </si>
  <si>
    <t>210172427</t>
  </si>
  <si>
    <t>210172395</t>
  </si>
  <si>
    <t>AVR03690</t>
  </si>
  <si>
    <t>ATP Production</t>
  </si>
  <si>
    <t>Boyman, Dr Liron</t>
  </si>
  <si>
    <t>b- 27/01/2026 email from Rianna Mullings - Please note that we have rejected the invoice above due to the invoice query below. The invoice notes staff member - LL Laid. Please note that the staff member is not listed on the grant above. Please could you let us know whether this member of staff has been appointed as the new Postdoctoral Research Associate, and if so please could you send us the details? For the invoice to be paid, the query must be resolved in 2 weeks. As per our Standard Terms and Conditions of Grant, if we do not receive clarification of any outstanding queries on this claim within two weeks, we will remove the invoice from our system.  27/01/2026 email to Gabrielle -  Please see the email below regarding the attached invoice, can you look into the and respond to Rianna cc me into the response.  27/01/2026 email from Lucy to the dept - Please could you look into the query from Rianna from BHF? I have attached the invoice for your reference.  10/02/2026 email from Lucy - I was helping Gabrielle on a short-term basis. Dept will need to look into Rianna's query.</t>
  </si>
  <si>
    <t>FS/IBSRF/24/25202</t>
  </si>
  <si>
    <t>210172459</t>
  </si>
  <si>
    <t>AZR02610</t>
  </si>
  <si>
    <t>LJD - MRC with Newcastle</t>
  </si>
  <si>
    <t>NU-000365/MR/T032162/1</t>
  </si>
  <si>
    <t>210172475</t>
  </si>
  <si>
    <t>HJR02680</t>
  </si>
  <si>
    <t>REDEEM</t>
  </si>
  <si>
    <t>Kaisar, Dr Maria</t>
  </si>
  <si>
    <t>KS_RP_001_20221128</t>
  </si>
  <si>
    <t>210172384</t>
  </si>
  <si>
    <t>CGR00390</t>
  </si>
  <si>
    <t>REPERTORIUM</t>
  </si>
  <si>
    <t>Craig-Mcfeely, Dr Julia</t>
  </si>
  <si>
    <t>10068224</t>
  </si>
  <si>
    <t>210172391</t>
  </si>
  <si>
    <t>210172407</t>
  </si>
  <si>
    <t>CTR00960</t>
  </si>
  <si>
    <t>Bejan_PLP</t>
  </si>
  <si>
    <t>Bejan, Prof Teresa</t>
  </si>
  <si>
    <t>b- 26/01/2026 email from Bridget McGeoghegan to Ciaran - Thanks for your email. We'd rather not have any prize funding returned to us. Does Professor Bejan have another research account where the funds can be transferred to? We can allow this given the balance is under £5000.  27/01/2026 email from Ciaran to Bridget -   Thank you for getting in touch regarding the residual. I will leave for Professor Bejan to confirm. Wayne - Please hold fire on the credit invoice of 210172407.  27/01/2026 email from Teresa Bejan to Ciaran &amp; Bridget -  Thanks for this, that’s very generous of you. If these remaining funds could be transferred to my DPIR research fund, that would be fantastic. With thanks again to all.</t>
  </si>
  <si>
    <t>PLP-2021-052</t>
  </si>
  <si>
    <t>210172426</t>
  </si>
  <si>
    <t>CBR00180</t>
  </si>
  <si>
    <t>PAthways of Chemcials</t>
  </si>
  <si>
    <t>Jackson, Prof Michelle</t>
  </si>
  <si>
    <t>NE/X015874/1</t>
  </si>
  <si>
    <t>210172397</t>
  </si>
  <si>
    <t>d- 03/02/2026 email from Tim Cibla - Also, wanted to state that I did receive a new invoice (210172397) last week and plan to process this soon, as the totals match the subtotal detail.</t>
  </si>
  <si>
    <t>210172442</t>
  </si>
  <si>
    <t>HJR03440</t>
  </si>
  <si>
    <t>Sound wave immunotherapy</t>
  </si>
  <si>
    <t>Jones, Mr Keaton</t>
  </si>
  <si>
    <t>ITG2024_Keaton.Gray</t>
  </si>
  <si>
    <t>210172540</t>
  </si>
  <si>
    <t>CWR00191</t>
  </si>
  <si>
    <t>MHC-E (Y2)</t>
  </si>
  <si>
    <t>Borrow, Prof. Persephone (NDM</t>
  </si>
  <si>
    <t>210172511</t>
  </si>
  <si>
    <t>210172538</t>
  </si>
  <si>
    <t>H5R02210</t>
  </si>
  <si>
    <t>Tau-precursor mAbs</t>
  </si>
  <si>
    <t>Fowler, Dr Stephanie</t>
  </si>
  <si>
    <t>ARUK-PPG2024-022</t>
  </si>
  <si>
    <t>210172460</t>
  </si>
  <si>
    <t>HFR07200</t>
  </si>
  <si>
    <t>HAWAI 2 - DRIFT</t>
  </si>
  <si>
    <t>210172478</t>
  </si>
  <si>
    <t>210172518</t>
  </si>
  <si>
    <t>HQR03900</t>
  </si>
  <si>
    <t>GREENIN</t>
  </si>
  <si>
    <t>UKRI1239</t>
  </si>
  <si>
    <t>4907</t>
  </si>
  <si>
    <t>210172467</t>
  </si>
  <si>
    <t>DFR10920</t>
  </si>
  <si>
    <t>WCSSP South Africa - AWAIT</t>
  </si>
  <si>
    <t>P114311</t>
  </si>
  <si>
    <t>210172509</t>
  </si>
  <si>
    <t>A4R00180</t>
  </si>
  <si>
    <t>PRiley_REACT_Research</t>
  </si>
  <si>
    <t>1132150 / RE24611</t>
  </si>
  <si>
    <t>210172483</t>
  </si>
  <si>
    <t>HQR03810</t>
  </si>
  <si>
    <t>FenDep</t>
  </si>
  <si>
    <t>Cowen, Prof. Philip</t>
  </si>
  <si>
    <t>PA8486 # WB / 5015395</t>
  </si>
  <si>
    <t>210172519</t>
  </si>
  <si>
    <t>AZR03570</t>
  </si>
  <si>
    <t>RW - Epsom - 25/26</t>
  </si>
  <si>
    <t>Williams, Prof Richard</t>
  </si>
  <si>
    <t>d- 13/02/2026 email from Gail to Gavin - All is well but you wouldn't- or possibly you would!-believe it that it has taken more than one year for the Charities Commission and Cater Allen  Bank to let our new accountant  act for our Charity- Epsom Medical Research! We were  told that they had agreed her new position months ago - at Azets, Godalming-but they have then wanted document after new mandate after document and only this morning  I have been asked to sign one final document so that she can claim the Gift Aid for all of  2025 and the associated tax relief- which I am afraid I  cannot allow to be lost to the Charity-  and then I can release the money to you! It is utterly ridiculous for a Charity to have to do all this simply because one accountant changes but I told that so much criminal money is laundered through Charitable funds in London that everyone has to go through the same processes.</t>
  </si>
  <si>
    <t>SAS Predict4Health</t>
  </si>
  <si>
    <t>115908</t>
  </si>
  <si>
    <t>210172535</t>
  </si>
  <si>
    <t>HJR03330</t>
  </si>
  <si>
    <t>iBox algorithm</t>
  </si>
  <si>
    <t>Knight, Mr Simon</t>
  </si>
  <si>
    <t>AI_AWARD02601</t>
  </si>
  <si>
    <t>210172462</t>
  </si>
  <si>
    <t>210172468</t>
  </si>
  <si>
    <t>MRC IAA - Kim</t>
  </si>
  <si>
    <t>Kim, Dr Young</t>
  </si>
  <si>
    <t>20240426 # MW8VGB</t>
  </si>
  <si>
    <t>210172541</t>
  </si>
  <si>
    <t>b- 12/12/2026 email from Lorna Simpson forwarded to Ellie - I am contacting you with a query regarding invoice 210172541 on MDUK grant 23GRO-PG36-0664 (HMR05880). The period of this invoice (01/10/25 – 31/12/25) spans two years of the grant (see grant schedule below). According to our guidance we cannot accept invoices which span two separate years of a grant. If an invoice quarter spans two years of the grant, please invoice us for each year separately. For example: Y1 (01/10/25 – 08/12/25) and Y2 (09/12/25 – 31/12/25).</t>
  </si>
  <si>
    <t>210172532</t>
  </si>
  <si>
    <t>HJR03240</t>
  </si>
  <si>
    <t>B-reg drug targets transplants</t>
  </si>
  <si>
    <t>Jull, Mr Patrick</t>
  </si>
  <si>
    <t>1458 April 2024</t>
  </si>
  <si>
    <t>210172534</t>
  </si>
  <si>
    <t>210172464</t>
  </si>
  <si>
    <t>HQR03540</t>
  </si>
  <si>
    <t>Deconvoluting mechanisms</t>
  </si>
  <si>
    <t>Winchester, Dr Laura</t>
  </si>
  <si>
    <t>ARUK-SRF2023B-007</t>
  </si>
  <si>
    <t>210172533</t>
  </si>
  <si>
    <t>CDR01630</t>
  </si>
  <si>
    <t>Future Shocks</t>
  </si>
  <si>
    <t>Clavin, Prof Patricia</t>
  </si>
  <si>
    <t>letter dated 14/09/22</t>
  </si>
  <si>
    <t>210172510</t>
  </si>
  <si>
    <t>DCR01320</t>
  </si>
  <si>
    <t>DEPICTSnow Ye</t>
  </si>
  <si>
    <t>EP/Y029119/1</t>
  </si>
  <si>
    <t>210172542</t>
  </si>
  <si>
    <t>210172514</t>
  </si>
  <si>
    <t>DLR01030</t>
  </si>
  <si>
    <t>Burrows STFC IPS 2022 MUHiG</t>
  </si>
  <si>
    <t>ST/W005123/1</t>
  </si>
  <si>
    <t>210172505</t>
  </si>
  <si>
    <t>B9R05340</t>
  </si>
  <si>
    <t>PITCH2</t>
  </si>
  <si>
    <t>Dunachie, Prof Susanna</t>
  </si>
  <si>
    <t>MR/X009297/1</t>
  </si>
  <si>
    <t>210172508</t>
  </si>
  <si>
    <t>210172543</t>
  </si>
  <si>
    <t>BZR06460</t>
  </si>
  <si>
    <t>E Prestige LSHTM</t>
  </si>
  <si>
    <t>103416EE</t>
  </si>
  <si>
    <t>210172524</t>
  </si>
  <si>
    <t>210172583</t>
  </si>
  <si>
    <t>DFR11810</t>
  </si>
  <si>
    <t>MI-SCS</t>
  </si>
  <si>
    <t>Proctor, Prof Christopher</t>
  </si>
  <si>
    <t>Invoice Ref: G112655</t>
  </si>
  <si>
    <t>210172599</t>
  </si>
  <si>
    <t>HMR04110</t>
  </si>
  <si>
    <t>OPDC Extn (OPDC3) - Hu</t>
  </si>
  <si>
    <t>J-2101</t>
  </si>
  <si>
    <t>210172617</t>
  </si>
  <si>
    <t>HQR02260</t>
  </si>
  <si>
    <t>Iron and Dementia</t>
  </si>
  <si>
    <t>Nevado-Holgado, Dr Alejo</t>
  </si>
  <si>
    <t>d- 04/02/2026 email from Gareth to the research team - Please find attached the credit note to cancel invoice 210169794 and the new invoices split over the 2 financial years.</t>
  </si>
  <si>
    <t>ARUK-RF2020A-005</t>
  </si>
  <si>
    <t>210172615</t>
  </si>
  <si>
    <t>210172632</t>
  </si>
  <si>
    <t>DQR00190</t>
  </si>
  <si>
    <t>Printing for Brain Repair</t>
  </si>
  <si>
    <t>Bayley, Prof John Hagan</t>
  </si>
  <si>
    <t>210172573</t>
  </si>
  <si>
    <t>HSR00830</t>
  </si>
  <si>
    <t>NIHR-BHF Partnership (NIHR)</t>
  </si>
  <si>
    <t>A93426</t>
  </si>
  <si>
    <t>210172638</t>
  </si>
  <si>
    <t>210172610</t>
  </si>
  <si>
    <t>210172593</t>
  </si>
  <si>
    <t>DFR07830</t>
  </si>
  <si>
    <t>COMICO</t>
  </si>
  <si>
    <t>EP/W000326/1</t>
  </si>
  <si>
    <t>210172608</t>
  </si>
  <si>
    <t>DFR08720</t>
  </si>
  <si>
    <t>BBSRC Fellowship</t>
  </si>
  <si>
    <t>BB/T009314/2</t>
  </si>
  <si>
    <t>210172580</t>
  </si>
  <si>
    <t>210172624</t>
  </si>
  <si>
    <t>b- 28/01/2026 email from Donna to Christine Weaver - Please find attached our latest invoice relating to the above-mentioned project.   Please provide us with the correct PO number and I will arrange an updated invoice to be sent to you.    12.02.26 - Hi Christine, Please can you confirm if you need anything else from us in order to provide the PO for invoice 210172624? Best wishes Ellie.</t>
  </si>
  <si>
    <t>210172646</t>
  </si>
  <si>
    <t>H4R03090</t>
  </si>
  <si>
    <t>WIMM - Milne - BCUK - Jan 24</t>
  </si>
  <si>
    <t>Milne, Prof Thomas</t>
  </si>
  <si>
    <t>24016</t>
  </si>
  <si>
    <t>210172643</t>
  </si>
  <si>
    <t>H4R02960</t>
  </si>
  <si>
    <t>WIMM-Nerlov-BCUK-Jun23</t>
  </si>
  <si>
    <t>Nerlov, Prof Claus</t>
  </si>
  <si>
    <t>23024</t>
  </si>
  <si>
    <t>Humane Research Trust</t>
  </si>
  <si>
    <t>5797</t>
  </si>
  <si>
    <t>210172647</t>
  </si>
  <si>
    <t>CFR01620</t>
  </si>
  <si>
    <t>P Holloway - THRT</t>
  </si>
  <si>
    <t>Holloway, Dr Paul</t>
  </si>
  <si>
    <t>Nuclear Waste Management Organization</t>
  </si>
  <si>
    <t>79045</t>
  </si>
  <si>
    <t>210172551</t>
  </si>
  <si>
    <t>DGR02160</t>
  </si>
  <si>
    <t>CB_NWMO_Sept 2023</t>
  </si>
  <si>
    <t>Ballentine, Prof Christopher</t>
  </si>
  <si>
    <t>PO#2001858</t>
  </si>
  <si>
    <t>Institute for Protein Innovation</t>
  </si>
  <si>
    <t>115671</t>
  </si>
  <si>
    <t>210172649</t>
  </si>
  <si>
    <t>ALR03350</t>
  </si>
  <si>
    <t>PCSD</t>
  </si>
  <si>
    <t>Seiradake, Prof Elena</t>
  </si>
  <si>
    <t>4860-3578-0066#N/A</t>
  </si>
  <si>
    <t>World Food Programme</t>
  </si>
  <si>
    <t>73872</t>
  </si>
  <si>
    <t>210172575</t>
  </si>
  <si>
    <t>DCR01350</t>
  </si>
  <si>
    <t>WFP Weisheimer</t>
  </si>
  <si>
    <t>e- payment 05/03/2026</t>
  </si>
  <si>
    <t>HQ23NF482 # 4800364948</t>
  </si>
  <si>
    <t>210172587</t>
  </si>
  <si>
    <t>d- 03/03/2026 chase to the query team.</t>
  </si>
  <si>
    <t>210172582</t>
  </si>
  <si>
    <t>210172597</t>
  </si>
  <si>
    <t>HFR06010</t>
  </si>
  <si>
    <t>DJS/AbbVie</t>
  </si>
  <si>
    <t>d- 12/02/2026 email from the sponsor forwarded to Anna -  This invoice is being returned unpaid due to the reason below. AbbVie gives utmost priority to your concerns, so we want to work with you in resolving this issue. Incorrect Billing/Invoicing Address: Based on invoicing requirements, every invoice must contain a correct billing/invoicing address. Otherwise, your invoice will not be processed. Moving forward, please indicate the correct billing/invoicing address in each invoice you send, which is shown below: DJS Antibodies LTd, Wood Centre for Innovation, Stansfeld Park, Quarry Road, Headington, Oxford, OX3 8SB, United Kingdom - If this invoice is not Purchase Order related, please forward the same to your AbbVie Requester, who, in turn, will send it to the Accounts Payable Team. Also, please resolve discrepancies with your Purchasing Representative or Business Contact prior to re-invoicing. Should you have more queries regarding this particular issue, as well as any other concerns, please contact us at: AbbVie Accounts Payable  vendorinquiries.ng@abbvie.com.  12/02/2026 email from anna to ap - Please find the amended invoice attached.</t>
  </si>
  <si>
    <t>CC 6922#4202296462</t>
  </si>
  <si>
    <t>210172578</t>
  </si>
  <si>
    <t>DFR09540</t>
  </si>
  <si>
    <t>FI: ReLIB: Transfer</t>
  </si>
  <si>
    <t>FIRG057</t>
  </si>
  <si>
    <t>210172636</t>
  </si>
  <si>
    <t>BZR07280</t>
  </si>
  <si>
    <t>Motor neurone disease</t>
  </si>
  <si>
    <t>RM70W476866</t>
  </si>
  <si>
    <t>210172600</t>
  </si>
  <si>
    <t>CNR00200</t>
  </si>
  <si>
    <t>PI.NETosis</t>
  </si>
  <si>
    <t>Kanellakis, Dr Nikolaos</t>
  </si>
  <si>
    <t>b- 12/02/2026 email from Dan Worth forwarded to Anna - Thank you for sending in invoice no: 210172600 (Grantors Ref: RJF25\31; Project Number: CNR00200).  For all invoices, we require an itemised breakdown of all costs included in the invoice (including an itemised list of consumables costs being claimed). Also, for any individually-listed non-salary cost of £500 or more, we require relevant receipts / supplier invoices.</t>
  </si>
  <si>
    <t>RJF25\31</t>
  </si>
  <si>
    <t>210172642</t>
  </si>
  <si>
    <t>210172603</t>
  </si>
  <si>
    <t>DCR01440</t>
  </si>
  <si>
    <t>Antje Wellcome Attriverse</t>
  </si>
  <si>
    <t>308914/Z/23/Z # R104369-101 acc 86440</t>
  </si>
  <si>
    <t>210172670</t>
  </si>
  <si>
    <t>210172665</t>
  </si>
  <si>
    <t>HMR04440</t>
  </si>
  <si>
    <t>MRC Networking call 2021</t>
  </si>
  <si>
    <t>MC_PC_21019#4050857030</t>
  </si>
  <si>
    <t>210172652</t>
  </si>
  <si>
    <t>The Weiss Fund for Research in Development Economics at the University of Chicago</t>
  </si>
  <si>
    <t>110146</t>
  </si>
  <si>
    <t>210172705</t>
  </si>
  <si>
    <t>CUR01470</t>
  </si>
  <si>
    <t>Ugandan Carpentry</t>
  </si>
  <si>
    <t>Woodruff, Prof Christopher</t>
  </si>
  <si>
    <t>Novartis Pharmaceuticals UK Ltd</t>
  </si>
  <si>
    <t>2478</t>
  </si>
  <si>
    <t>210172655</t>
  </si>
  <si>
    <t>HNR04130</t>
  </si>
  <si>
    <t>ACE-SMA Novartis</t>
  </si>
  <si>
    <t>#6500075207</t>
  </si>
  <si>
    <t>TU Delft</t>
  </si>
  <si>
    <t>13738</t>
  </si>
  <si>
    <t>210172661</t>
  </si>
  <si>
    <t>DFR10300</t>
  </si>
  <si>
    <t>Automatic Tuning, Optimization</t>
  </si>
  <si>
    <t>210172656</t>
  </si>
  <si>
    <t>HNR03970</t>
  </si>
  <si>
    <t>PK Invasion</t>
  </si>
  <si>
    <t>UKRI432</t>
  </si>
  <si>
    <t>210172653</t>
  </si>
  <si>
    <t>DFR10630</t>
  </si>
  <si>
    <t>Omniscient Smart Grant</t>
  </si>
  <si>
    <t>De Martini, Dr Daniele</t>
  </si>
  <si>
    <t>b- Email from Jonasus - 10-02-2026 Asked department to remove costs. Mark had reported but extra costs has been allocated onto the project.</t>
  </si>
  <si>
    <t>10135023</t>
  </si>
  <si>
    <t>210172675</t>
  </si>
  <si>
    <t>HMR04050</t>
  </si>
  <si>
    <t>AGENDA - Sen</t>
  </si>
  <si>
    <t>Sen, Dr. Arjune</t>
  </si>
  <si>
    <t>Fondation Leducq</t>
  </si>
  <si>
    <t>32019</t>
  </si>
  <si>
    <t>210172658</t>
  </si>
  <si>
    <t>AZR02820</t>
  </si>
  <si>
    <t>CM - CHECKPOINT ATHERO</t>
  </si>
  <si>
    <t>Monaco, Prof Claudia</t>
  </si>
  <si>
    <t>22CVD02</t>
  </si>
  <si>
    <t>210172669</t>
  </si>
  <si>
    <t>210172683</t>
  </si>
  <si>
    <t>210172671</t>
  </si>
  <si>
    <t>210172733</t>
  </si>
  <si>
    <t>CQR02482</t>
  </si>
  <si>
    <t>Mental Health..</t>
  </si>
  <si>
    <t>210172749</t>
  </si>
  <si>
    <t>DGR01870</t>
  </si>
  <si>
    <t>SCOOBI</t>
  </si>
  <si>
    <t>101019146</t>
  </si>
  <si>
    <t>210172752</t>
  </si>
  <si>
    <t>BZR07150</t>
  </si>
  <si>
    <t>IDEA.</t>
  </si>
  <si>
    <t>Gao, Dr Min</t>
  </si>
  <si>
    <t>25/0006845</t>
  </si>
  <si>
    <t>210172715</t>
  </si>
  <si>
    <t>HFR07350</t>
  </si>
  <si>
    <t>SM - NIHR i4i</t>
  </si>
  <si>
    <t>NIHR208521 # R104955-101</t>
  </si>
  <si>
    <t>210172736</t>
  </si>
  <si>
    <t>PSR00340</t>
  </si>
  <si>
    <t>Martin School programme</t>
  </si>
  <si>
    <t>210172725</t>
  </si>
  <si>
    <t>International Vaccine Institute</t>
  </si>
  <si>
    <t>70039</t>
  </si>
  <si>
    <t>210172742</t>
  </si>
  <si>
    <t>B9R05400</t>
  </si>
  <si>
    <t>COVIET</t>
  </si>
  <si>
    <t>210172731</t>
  </si>
  <si>
    <t>CQR02390</t>
  </si>
  <si>
    <t>Phased Approach</t>
  </si>
  <si>
    <t>ARDT53 – NIHR 132705#ASE171157</t>
  </si>
  <si>
    <t>210172714</t>
  </si>
  <si>
    <t>LER01550</t>
  </si>
  <si>
    <t>Policy Fellow (Heywood 24-25)</t>
  </si>
  <si>
    <t>Ostrowski, Mr Marius</t>
  </si>
  <si>
    <t>ES/Z504269/1</t>
  </si>
  <si>
    <t>210172753</t>
  </si>
  <si>
    <t>210172730</t>
  </si>
  <si>
    <t>BLR02870</t>
  </si>
  <si>
    <t>Arch for Autonomy</t>
  </si>
  <si>
    <t>Shadbolt, Sir Nigel</t>
  </si>
  <si>
    <t>Rice University</t>
  </si>
  <si>
    <t>48861</t>
  </si>
  <si>
    <t>210172712</t>
  </si>
  <si>
    <t>B9R03051</t>
  </si>
  <si>
    <t>NEST360 Phase II</t>
  </si>
  <si>
    <t>e- Refund March 2026.  10/02/2026 email to Holly - We can send a refund for the value of credit 210172712 -$30,062.77 are they expecting the amount of the advanced payment?  10/02/2026 email from Holly -  I’m really not sure. The $30, 062 is what we owe Rice. The balance of our actuals incurred for Q4 2025 and the Advanced payment. I don’t know whether they want an Invoice for the Q4 actuals and wire of the advancement in full? Do you mind if I link you up directly with Jay and Yvette to see what actually it is they want? I don’t think there is any concern over the figure itself just the mechanism!  10/02/2026 email to Holly - Yes please copy me in so we can confirm what is needed.  10/02/2026 email from Holly to Jay &amp; Yvette - Apologies we are still a bit confused by what you need us to send. I have copied in @Wayne Peters our senior Research Accounts Advisor. The $30, 062 is what we owe Rice - The balance of our actuals incurred for Q4 2025 and the Advanced payment. We were not sure if you want an Invoice for the Q4 actuals and wire of the advancement in full instead of a credit for the balance?  10/02/2026 email from Jay to Holly -  What you originally sent me for Q4 suffices regarding the invoice. You would need to wire the difference ($30,062) to Rice to cover the advance repayment amount. @Yvette Mirabal, please confirm.  12/02/2026 email from Yvette to Holly -  Following up on Jay's email to confirm what he has indicated is correct. The Rice Controller's office is verifying which Rice bank account and information for Oxford to reference on your $30,062 advance balance repayment, to allow us to properly apply the advance repayment on our end.  We will follow up as soon as we can with that information.</t>
  </si>
  <si>
    <t>PO X03128657</t>
  </si>
  <si>
    <t>210172711</t>
  </si>
  <si>
    <t>H5R02010</t>
  </si>
  <si>
    <t>ELSI</t>
  </si>
  <si>
    <t>R129085</t>
  </si>
  <si>
    <t>210172738</t>
  </si>
  <si>
    <t>HFR07030</t>
  </si>
  <si>
    <t>ACL STARR</t>
  </si>
  <si>
    <t>AO96967</t>
  </si>
  <si>
    <t>210172739</t>
  </si>
  <si>
    <t>HFR07340</t>
  </si>
  <si>
    <t>VA Consortium</t>
  </si>
  <si>
    <t>Versus Arthritis 23320 # KAE2756143</t>
  </si>
  <si>
    <t>210174221</t>
  </si>
  <si>
    <t>EYGS LLP</t>
  </si>
  <si>
    <t>42243</t>
  </si>
  <si>
    <t>210172760</t>
  </si>
  <si>
    <t>MQR01320</t>
  </si>
  <si>
    <t>Smets EY H@C 2025</t>
  </si>
  <si>
    <t>Smets, Prof Michael</t>
  </si>
  <si>
    <t>210172761</t>
  </si>
  <si>
    <t>Edwards Lifesciences Sarl</t>
  </si>
  <si>
    <t>127307</t>
  </si>
  <si>
    <t>210172773</t>
  </si>
  <si>
    <t>HSR02570</t>
  </si>
  <si>
    <t>Kharbanda - Edwards</t>
  </si>
  <si>
    <t>P05169/CN001</t>
  </si>
  <si>
    <t>210172769</t>
  </si>
  <si>
    <t>210172794</t>
  </si>
  <si>
    <t>DJR03240</t>
  </si>
  <si>
    <t>3D-CAT</t>
  </si>
  <si>
    <t>FIRG092</t>
  </si>
  <si>
    <t>210172790</t>
  </si>
  <si>
    <t>DFR10270</t>
  </si>
  <si>
    <t>Molecular profiling platform</t>
  </si>
  <si>
    <t>Huang, Prof Wei</t>
  </si>
  <si>
    <t>b- 04/02/2026 email from ap - Unfortunately, the purchase order quoted on your invoice has a finished status with no more available funds to enable us to process your invoice for payment.  We would be obliged if you can reach out to your university contact who requested the good/service, to obtain updated purchase order details.  09/02/2026 email to Jonasus -  Please see the email below regarding invoice 210172790 – DFR10270, can you obtain a new PO number and reissue the invoice letting me know when sent.  11/02/2026 email from Jonasus to the dept -  The invoice DFR10270 210172790 attached has been rejected by the funder due to PO 20548781 having insufficient balance. Please advise if there is another PO for this project? - If not, could you please kindly advise on your contact so we can retrieve a PO.  13/02/2026 email from Amelia to Jonasus -  I have contacted Glasgow to request a PO number. At this stage, I am not sure whether they will issue a single PO covering the remaining budget or separate POs for each claim. I will confirm once I receive their response.  17/02/2026 email from Jonasus to Amelia (dept) - Thank you for contacting the funder. Please kindly let me know once we have a PO so I can amend the invoice.</t>
  </si>
  <si>
    <t>MR/Z50628X/1#20548781</t>
  </si>
  <si>
    <t>210172785</t>
  </si>
  <si>
    <t>EPR02360</t>
  </si>
  <si>
    <t>NMcKean Nuffield NEW Knowland</t>
  </si>
  <si>
    <t>EDO/FR-000025762</t>
  </si>
  <si>
    <t>Pillar Companies Management UK Limited</t>
  </si>
  <si>
    <t>125467</t>
  </si>
  <si>
    <t>210172765</t>
  </si>
  <si>
    <t>DCR01470</t>
  </si>
  <si>
    <t>AI for AS/ PILLAR</t>
  </si>
  <si>
    <t>University of Huddersfield</t>
  </si>
  <si>
    <t>70343</t>
  </si>
  <si>
    <t>210172755</t>
  </si>
  <si>
    <t>DFR11370</t>
  </si>
  <si>
    <t>Advanced metrology hub</t>
  </si>
  <si>
    <t>EP/Z53285X/1 #2010164</t>
  </si>
  <si>
    <t>British HIV Association</t>
  </si>
  <si>
    <t>63592</t>
  </si>
  <si>
    <t>210172793</t>
  </si>
  <si>
    <t>CWR00130</t>
  </si>
  <si>
    <t>HIV-1 effect on osteoclast</t>
  </si>
  <si>
    <t>Jeena, Dr Lisha</t>
  </si>
  <si>
    <t>BHIVA/5020/2023/Jeena</t>
  </si>
  <si>
    <t>210172788</t>
  </si>
  <si>
    <t>68800</t>
  </si>
  <si>
    <t>210172770</t>
  </si>
  <si>
    <t>KJ Kyowa Kirin</t>
  </si>
  <si>
    <t>Javaid, Prof Muhammad</t>
  </si>
  <si>
    <t>#0023PO-008016-2</t>
  </si>
  <si>
    <t>210172768</t>
  </si>
  <si>
    <t>N/A#24714612</t>
  </si>
  <si>
    <t>210172767</t>
  </si>
  <si>
    <t>Project RoboSim</t>
  </si>
  <si>
    <t>Henriques, Mr Joao</t>
  </si>
  <si>
    <t>N/A#24696161</t>
  </si>
  <si>
    <t>210172777</t>
  </si>
  <si>
    <t>DJR02262</t>
  </si>
  <si>
    <t>SOLBAT YEAR 8</t>
  </si>
  <si>
    <t>FIRG087</t>
  </si>
  <si>
    <t>210173041</t>
  </si>
  <si>
    <t>HSR00832</t>
  </si>
  <si>
    <t>NIHR-BHF Partnership 22-27</t>
  </si>
  <si>
    <t>SI/F/23/21170009</t>
  </si>
  <si>
    <t>81859</t>
  </si>
  <si>
    <t>210172764</t>
  </si>
  <si>
    <t>RAMC Oral History</t>
  </si>
  <si>
    <t>210172832</t>
  </si>
  <si>
    <t>HSR01780</t>
  </si>
  <si>
    <t>Svetlana_BHF_SRF_2022</t>
  </si>
  <si>
    <t>Reilly, Dr Svetlana</t>
  </si>
  <si>
    <t>FS/SBSRF/22/31033</t>
  </si>
  <si>
    <t>210172779</t>
  </si>
  <si>
    <t>210172797</t>
  </si>
  <si>
    <t>210172775</t>
  </si>
  <si>
    <t>CNR00090</t>
  </si>
  <si>
    <t>REPRESSIT</t>
  </si>
  <si>
    <t>10088081</t>
  </si>
  <si>
    <t>210172782</t>
  </si>
  <si>
    <t>HCR01351</t>
  </si>
  <si>
    <t>MMVC - MRC Supplemental</t>
  </si>
  <si>
    <t>210172798</t>
  </si>
  <si>
    <t>8395</t>
  </si>
  <si>
    <t>210172771</t>
  </si>
  <si>
    <t>Brain Imaging Software (HM)</t>
  </si>
  <si>
    <t>UKB/PO/0000010062</t>
  </si>
  <si>
    <t>210172808</t>
  </si>
  <si>
    <t>210172756</t>
  </si>
  <si>
    <t>d- 02/02/2025 email from Ellie to Rhys - I have emailed the department to ask for further information about these costs as this is not information that I have access to. Once I have a response from them I will send the details on to you.  02/02/2026 email from Deirdre (dept) to Rhys -  I have added the information to your table below.   03/02/2026 email from Rhys to Deirdre - Thank you for providing us with the requested clarification on those costs. They are all fine and can be justified to the study's funder, so no further clarification is needed.</t>
  </si>
  <si>
    <t>210172804</t>
  </si>
  <si>
    <t>ATR03890</t>
  </si>
  <si>
    <t>Addictive behaviours</t>
  </si>
  <si>
    <t>Wright, Prof Geraldine</t>
  </si>
  <si>
    <t>RPG-2020-393</t>
  </si>
  <si>
    <t>43296</t>
  </si>
  <si>
    <t>210172763</t>
  </si>
  <si>
    <t>AZR03690</t>
  </si>
  <si>
    <t>MF - Immunocore</t>
  </si>
  <si>
    <t>IIS-2024-600472 #IMMPOUK023637</t>
  </si>
  <si>
    <t>210172879</t>
  </si>
  <si>
    <t>210172820</t>
  </si>
  <si>
    <t>210172831</t>
  </si>
  <si>
    <t>HJR02440</t>
  </si>
  <si>
    <t>NHSBT</t>
  </si>
  <si>
    <t>123OTDT23 - CM-RD-317</t>
  </si>
  <si>
    <t>210172882</t>
  </si>
  <si>
    <t>H6R00860</t>
  </si>
  <si>
    <t>SHARP 3 - New BI Renal trial.</t>
  </si>
  <si>
    <t>#5100152977 / YAR</t>
  </si>
  <si>
    <t>210172883</t>
  </si>
  <si>
    <t>210172884</t>
  </si>
  <si>
    <t>210172885</t>
  </si>
  <si>
    <t>Guy's and St Thomas' NHS Foundation Trust</t>
  </si>
  <si>
    <t>1370</t>
  </si>
  <si>
    <t>210172876</t>
  </si>
  <si>
    <t>HBR05040</t>
  </si>
  <si>
    <t>J Frater - GSK SAGE</t>
  </si>
  <si>
    <t>EDGE 143848 / IRAS 1004647</t>
  </si>
  <si>
    <t>210172888</t>
  </si>
  <si>
    <t>210172829</t>
  </si>
  <si>
    <t>68472</t>
  </si>
  <si>
    <t>210172823</t>
  </si>
  <si>
    <t>BWR01620</t>
  </si>
  <si>
    <t>ENaC in Alzheimers</t>
  </si>
  <si>
    <t>Emptage, Prof Nigel</t>
  </si>
  <si>
    <t>Uncover Project Schedule 1</t>
  </si>
  <si>
    <t>210172860</t>
  </si>
  <si>
    <t>210172818</t>
  </si>
  <si>
    <t>DCR01420</t>
  </si>
  <si>
    <t>NCAS 2025/26</t>
  </si>
  <si>
    <t>R8/H12/83/006 # 4600037166</t>
  </si>
  <si>
    <t>210172824</t>
  </si>
  <si>
    <t>CFR01800</t>
  </si>
  <si>
    <t>Michael Zimmermann Gates</t>
  </si>
  <si>
    <t>Zimmermann, Prof Michael</t>
  </si>
  <si>
    <t>INV-089400</t>
  </si>
  <si>
    <t>210172861</t>
  </si>
  <si>
    <t>DFR11620</t>
  </si>
  <si>
    <t>DMEx LAN020</t>
  </si>
  <si>
    <t>LAN020 #EXZ2765372</t>
  </si>
  <si>
    <t>210172826</t>
  </si>
  <si>
    <t>DMR02470</t>
  </si>
  <si>
    <t>light-addressable drugs</t>
  </si>
  <si>
    <t>Fuchter, Prof Matthew</t>
  </si>
  <si>
    <t>UKRI721 &amp; LDAD_PB2100 #4959421</t>
  </si>
  <si>
    <t>210172945</t>
  </si>
  <si>
    <t>210172928</t>
  </si>
  <si>
    <t>210172941</t>
  </si>
  <si>
    <t>AER01750</t>
  </si>
  <si>
    <t>COMPAS-RDAWelfare-2Stage-D</t>
  </si>
  <si>
    <t>Walsh, Dr Peter</t>
  </si>
  <si>
    <t>WEL /FR-000025768</t>
  </si>
  <si>
    <t>210172943</t>
  </si>
  <si>
    <t>HER02050</t>
  </si>
  <si>
    <t>P Melo - NIHR RfPB</t>
  </si>
  <si>
    <t>Senra Estrela Melo, Dr Pedro</t>
  </si>
  <si>
    <t>210172898</t>
  </si>
  <si>
    <t>DFR11510</t>
  </si>
  <si>
    <t>AISI - Infusion</t>
  </si>
  <si>
    <t>Foerster, Prof Jakob</t>
  </si>
  <si>
    <t>b- 02/03/2026 email from Jonasus to the funder - I have reviewed the award letter for this project (Oxford Ref DFR11510 and your ref of G2-SCH-2025-01-16275).  Please see screenshot of award below: As per screenshot, the claim raised is based on milestones/payment not on expenditures incurred. Therefore, we will not have a transaction listing that will match invoice to be claimed for. Please kindly accept the invoice attached.  02/03/2026 email from the grants team to Jonasus - I understand that you are claiming for £20,378.75. However as mentioned in my previous email for us to process this claim we require a completed excel cost file which demonstrates where this money is being spent. Please complete the file, capturing the personnel costs related to this claim and providing the hours worked per researcher. The cost file amount must match the grant claim amount.  02/03/2026 email from Jonasus to the dept - The invoice attached has been rejected. The funder insists that we should have a transaction listing matching the milestone events to be claimed. I assume that going forward, we should be claiming based on expenditures incurred. Please advise if you are happy to comply with the funder's request.</t>
  </si>
  <si>
    <t>49334</t>
  </si>
  <si>
    <t>210172959</t>
  </si>
  <si>
    <t>H4R03300</t>
  </si>
  <si>
    <t>NDCLS -Cache</t>
  </si>
  <si>
    <t>PID 18218/COL</t>
  </si>
  <si>
    <t>210172915</t>
  </si>
  <si>
    <t>AZR03620</t>
  </si>
  <si>
    <t>CB - VA ARCADIA</t>
  </si>
  <si>
    <t>23322, 1006528 #UOB653164</t>
  </si>
  <si>
    <t>210172924</t>
  </si>
  <si>
    <t>210172925</t>
  </si>
  <si>
    <t>210172957</t>
  </si>
  <si>
    <t>HMR04860</t>
  </si>
  <si>
    <t>Antibodies in GB syndrome</t>
  </si>
  <si>
    <t>Rinaldi, Dr Simon</t>
  </si>
  <si>
    <t>MR/X003922/1</t>
  </si>
  <si>
    <t>210172934</t>
  </si>
  <si>
    <t>210172897</t>
  </si>
  <si>
    <t>210172962</t>
  </si>
  <si>
    <t>BXR01510</t>
  </si>
  <si>
    <t>AID system economic analysis</t>
  </si>
  <si>
    <t>PO Number: 3006870069</t>
  </si>
  <si>
    <t>210172922</t>
  </si>
  <si>
    <t>e- payment 10/03/2026</t>
  </si>
  <si>
    <t>210172920</t>
  </si>
  <si>
    <t>210172930</t>
  </si>
  <si>
    <t>210172942</t>
  </si>
  <si>
    <t>210172947</t>
  </si>
  <si>
    <t>210172961</t>
  </si>
  <si>
    <t>210172953</t>
  </si>
  <si>
    <t>HQR02030</t>
  </si>
  <si>
    <t>GOOD HANDS</t>
  </si>
  <si>
    <t>Fazel, Prof Mina</t>
  </si>
  <si>
    <t>NIHR127801 UoG project ref 304771-07</t>
  </si>
  <si>
    <t>210172935</t>
  </si>
  <si>
    <t>210172913</t>
  </si>
  <si>
    <t>ALR02430</t>
  </si>
  <si>
    <t>IL-33 in health -WT McSorley</t>
  </si>
  <si>
    <t>37067a # 1000075890</t>
  </si>
  <si>
    <t>210172910</t>
  </si>
  <si>
    <t>210173004</t>
  </si>
  <si>
    <t>AZR03730</t>
  </si>
  <si>
    <t>CB - Aquarius</t>
  </si>
  <si>
    <t>00339996.0 #4203036713</t>
  </si>
  <si>
    <t>210173003</t>
  </si>
  <si>
    <t>210172975</t>
  </si>
  <si>
    <t>HNR02779</t>
  </si>
  <si>
    <t>Supplementary funding BRC4 Y3</t>
  </si>
  <si>
    <t>d- Off system invoice - RA-JSM-HN-BRC</t>
  </si>
  <si>
    <t>BRC4Y3supp-22</t>
  </si>
  <si>
    <t>210173036</t>
  </si>
  <si>
    <t>HCR02170</t>
  </si>
  <si>
    <t>BRC4Y2supp-05</t>
  </si>
  <si>
    <t>Wu, Dr Meng-San</t>
  </si>
  <si>
    <t>e- 06/02/2026 email from Nigel Byng - I would like to offset this against a future payment if that is ok with you please 😊</t>
  </si>
  <si>
    <t>210172977</t>
  </si>
  <si>
    <t>210173034</t>
  </si>
  <si>
    <t>University of Oslo</t>
  </si>
  <si>
    <t>8445</t>
  </si>
  <si>
    <t>210173023</t>
  </si>
  <si>
    <t>B9R06180</t>
  </si>
  <si>
    <t>Rapid diagnosis of sepsis and</t>
  </si>
  <si>
    <t>Ling, Dr Clare</t>
  </si>
  <si>
    <t>13052506 - Corander</t>
  </si>
  <si>
    <t>210173037</t>
  </si>
  <si>
    <t>HJR03150</t>
  </si>
  <si>
    <t>ASSESS-DHT</t>
  </si>
  <si>
    <t>10108522</t>
  </si>
  <si>
    <t>210173026</t>
  </si>
  <si>
    <t>BBR00330</t>
  </si>
  <si>
    <t>GO-PRECiSE</t>
  </si>
  <si>
    <t>Youdell, Dr Michael</t>
  </si>
  <si>
    <t>f- 60 day payment terms.  06/02/2026 invoice submitted on the Tungsten portal.  03/03/2026 statement received payment due 07/04/2026</t>
  </si>
  <si>
    <t>210173000</t>
  </si>
  <si>
    <t>PSR00240</t>
  </si>
  <si>
    <t>SIMBAD</t>
  </si>
  <si>
    <t>Ferretti, Dr Luca</t>
  </si>
  <si>
    <t>b- Refund March 2026 -  06/02/2026 email from Oscar to Bridget -  See attached the Barclays form completed by the department, does this look sufficient? They have also provided the attached email as justification for the decision to transfer via Spain. If possible could you please enter the 'remitting bank' information before passing this on?  06/02/2026 email from Bridget to Oscar - Will send this on and get back to you once I receive a response 😊  25/02/2026 email from Oscar to Eva (dept) -Are you please able to provide the bank account details that the funds should be transferred to on company headed paper?  26/02/2026 email from Eva to Oscar - Havana have asked if we can confirm the exact amount to be transferred so they can generate an invoice (with the company letterhead) including all the banking details. Am assuming this is would be €10,000 as that is what was agreed upon by the consortium and we reduced the Oxford budget with this much. Are you able to confirm this? Also, would it be okay for me to loop them into this email thread so they’re aware of our progress?  26/02/2026 email from Oscar -   Before confirming to Eva can I just confirm that you are happy for the payment to be made in EUR at €10,000 despite the project credit note being for £8,469.41? So it would effectively be paid at fixed rate of  £1= €1.180720?  26/02/2026 email to Oscar -  I can’t see this being a problem we will need there Euro bank details.  26/02/2026 email from Oscar to Eva (dept) - Yes to confirm we can make the payment of €10,000 at the effective fixed rate of £1= €1.180720 as per the RPF2 budget reduction. If you can then ensure that the bank details provided by Havana are for payments in Euros.</t>
  </si>
  <si>
    <t>EP/Y037375/1</t>
  </si>
  <si>
    <t>210172965</t>
  </si>
  <si>
    <t>d- 05/02/2026 email from Anna to Beth Kingsley - Apologies with the delay in getting this sent to you! Please find the amended invoice attached.</t>
  </si>
  <si>
    <t>210173024</t>
  </si>
  <si>
    <t>H7R01340</t>
  </si>
  <si>
    <t>JAFAR-MOHAMMADI_OHSRC</t>
  </si>
  <si>
    <t>Jafar-Mohammadi, Dr Bahram</t>
  </si>
  <si>
    <t>8379#N/A</t>
  </si>
  <si>
    <t>210173027</t>
  </si>
  <si>
    <t>BWR00770</t>
  </si>
  <si>
    <t>INHIBITHUMAN</t>
  </si>
  <si>
    <t>Somogyi, Prof Peter</t>
  </si>
  <si>
    <t>694988</t>
  </si>
  <si>
    <t>210173022</t>
  </si>
  <si>
    <t>210173038</t>
  </si>
  <si>
    <t>DFR09251</t>
  </si>
  <si>
    <t>SafeBatt 2</t>
  </si>
  <si>
    <t>FIRG086</t>
  </si>
  <si>
    <t>210173066</t>
  </si>
  <si>
    <t>A5R00210</t>
  </si>
  <si>
    <t>Multi-modal Discovery</t>
  </si>
  <si>
    <t>MR/W031469/1</t>
  </si>
  <si>
    <t>210173055</t>
  </si>
  <si>
    <t>210173053</t>
  </si>
  <si>
    <t>AZR03740</t>
  </si>
  <si>
    <t>RAMSES</t>
  </si>
  <si>
    <t>00334924.0 #4202993635</t>
  </si>
  <si>
    <t>210173078</t>
  </si>
  <si>
    <t>HICVAC</t>
  </si>
  <si>
    <t>WH / 4834122</t>
  </si>
  <si>
    <t>210173058</t>
  </si>
  <si>
    <t>b- 12/05/2026 email from Zachary Coleman forwarded to Lucy - Can you please send us a breakdown of the consumables on this invoice?</t>
  </si>
  <si>
    <t>Pearson Education</t>
  </si>
  <si>
    <t>9673</t>
  </si>
  <si>
    <t>210173049</t>
  </si>
  <si>
    <t>EPR02240</t>
  </si>
  <si>
    <t>Lindorff Pirls 2026 DFE Jan 24</t>
  </si>
  <si>
    <t>DFERPPU 22-23/082</t>
  </si>
  <si>
    <t>United Nations Environment Programme</t>
  </si>
  <si>
    <t>60343</t>
  </si>
  <si>
    <t>210173060</t>
  </si>
  <si>
    <t>CBR01160</t>
  </si>
  <si>
    <t>Tide Turners Evaluation</t>
  </si>
  <si>
    <t>e- 09/02/2026 Ciaran to obtain bank details.</t>
  </si>
  <si>
    <t>SSFA/2024/ 7406</t>
  </si>
  <si>
    <t>210173048</t>
  </si>
  <si>
    <t>62244</t>
  </si>
  <si>
    <t>210173065</t>
  </si>
  <si>
    <t>HSR00834</t>
  </si>
  <si>
    <t>NIHR-BHF Cardio Partnership</t>
  </si>
  <si>
    <t>National Energy System Operator Limited</t>
  </si>
  <si>
    <t>117328</t>
  </si>
  <si>
    <t>210173054</t>
  </si>
  <si>
    <t>NGESO - Real Time Predictor</t>
  </si>
  <si>
    <t>Mcculloch, Prof Malcolm</t>
  </si>
  <si>
    <t>N/A#1000400426</t>
  </si>
  <si>
    <t>210173061</t>
  </si>
  <si>
    <t>DFR10220</t>
  </si>
  <si>
    <t>GLASS: ARIA Scaling compute</t>
  </si>
  <si>
    <t>NACB-PR01-P04</t>
  </si>
  <si>
    <t>60971</t>
  </si>
  <si>
    <t>210173080</t>
  </si>
  <si>
    <t>MD - Regeneron</t>
  </si>
  <si>
    <t>d- 30/01/2026 email from Jonathan (dept) - I’ve just been chased by Regeneron who have not received an updated invoice yet. Could you check and advise please.  06/02/2026 email from Gavin to Jonathan -  Thanks for flagging. I'll amend the invoice plan and resubmit this one.</t>
  </si>
  <si>
    <t>995124</t>
  </si>
  <si>
    <t>210173052</t>
  </si>
  <si>
    <t>H8R00180</t>
  </si>
  <si>
    <t>WIMM-MRC MHU Strategic_Patel22</t>
  </si>
  <si>
    <t>4050868300</t>
  </si>
  <si>
    <t>210173071</t>
  </si>
  <si>
    <t>210173068</t>
  </si>
  <si>
    <t>DFR11290</t>
  </si>
  <si>
    <t>MDUK: PoC Grant</t>
  </si>
  <si>
    <t>He, Prof Liang</t>
  </si>
  <si>
    <t>25GRO-PG12-0850</t>
  </si>
  <si>
    <t>Arthur J. Gallagher (UK) Ltd</t>
  </si>
  <si>
    <t>112081</t>
  </si>
  <si>
    <t>210173102</t>
  </si>
  <si>
    <t>AFR02000</t>
  </si>
  <si>
    <t>Gallagher Research Fellow</t>
  </si>
  <si>
    <t>e- 09/02/2026 email from Tehseen to Tim Fowler (dept) - Please find the next invoice attached.  10/02/2026 email from Tim to Shigeko Tabuchi -  I attach our next invoice for advance payment as we continue year two of our collaboration.  10/02/2026 email from Shigeko to Tim - Thanks for sending over the invoice. We will process it as soon as possible. Please send future invoices to me and grc@gallagherre.com.  12/02/2026 email to Tehseen -  Thanks, invoice has been sent out now.    payment 09/03/2026</t>
  </si>
  <si>
    <t>210173129</t>
  </si>
  <si>
    <t>DJR01028</t>
  </si>
  <si>
    <t>Royce Recurrent Yr 10</t>
  </si>
  <si>
    <t>EP/X527257/1 #EHZ2725097</t>
  </si>
  <si>
    <t>210173118</t>
  </si>
  <si>
    <t>210173090</t>
  </si>
  <si>
    <t>Subaward#AWD00005998 201594-1</t>
  </si>
  <si>
    <t>210173122</t>
  </si>
  <si>
    <t>HMR03262</t>
  </si>
  <si>
    <t>MRC BNDU QQ 6th Year Award</t>
  </si>
  <si>
    <t>Magill, Dr. Peter (Clinical Ne</t>
  </si>
  <si>
    <t>PO: 4050965701</t>
  </si>
  <si>
    <t>Kusuma Trust UK</t>
  </si>
  <si>
    <t>107361</t>
  </si>
  <si>
    <t>210173099</t>
  </si>
  <si>
    <t>HSR01990</t>
  </si>
  <si>
    <t>b- 10/02/2026 email from Lucy to Dylan (dept) - For HSR01990, please could you send over the bank details on company headed paper for the funder?  09/03/2026 message from Lucy -  please hold off from processing the refund to Kusuma Trust UK for HSR01990? The dept have now confirmed they want to use up the budget. Apologies for any inconvenience.  09/03/2026 email from Dylan (dept) to Lucy -  Apologies but please can I ask for HSR01990 to be reopened when you have some time?  We have a plan to transfer some costs over to use up this budget in full.  09/03/2026 email from Lucy to Dylan - This has been re-opened for you as requested.</t>
  </si>
  <si>
    <t>Agreement date 27 Nov 2023</t>
  </si>
  <si>
    <t>210173116</t>
  </si>
  <si>
    <t>b- 09/02/2026 email from Lotte to Lucy - The invoice will need to be credited – please note that invoices are NOT required on this project, as funds are paid on the submission and approval of quarterly Claim forms and Forecasts.  Please also note that the Claims for QE 30.09.2025 and QE 31.12.2025 were lacking backing documentation and included ineligible costs – this has been communicated with @David Cothier. Therefore, the accepted costs are significantly lower than the initial costs as per Claim forms. We have been chasing the appropriate evidence for the claims for months and unfortunately the required information has not been received to date.</t>
  </si>
  <si>
    <t>Swedish International Development Cooperation Agency</t>
  </si>
  <si>
    <t>50088</t>
  </si>
  <si>
    <t>210173114</t>
  </si>
  <si>
    <t>VGR01210</t>
  </si>
  <si>
    <t>OPHI SIDA Alkire Dec 20</t>
  </si>
  <si>
    <t>Alkire, Prof Sabina</t>
  </si>
  <si>
    <t>14547</t>
  </si>
  <si>
    <t>210173098</t>
  </si>
  <si>
    <t>DFR10050</t>
  </si>
  <si>
    <t>HEADaMM</t>
  </si>
  <si>
    <t>174164</t>
  </si>
  <si>
    <t>5799</t>
  </si>
  <si>
    <t>210173091</t>
  </si>
  <si>
    <t>HMR06300</t>
  </si>
  <si>
    <t>GOB NCPF - Chang</t>
  </si>
  <si>
    <t>Chang, Dr Pao-Sheng</t>
  </si>
  <si>
    <t>210173119</t>
  </si>
  <si>
    <t>B9R05560</t>
  </si>
  <si>
    <t>Warimwe - BMGF via ARCH</t>
  </si>
  <si>
    <t>R86183</t>
  </si>
  <si>
    <t>210173123</t>
  </si>
  <si>
    <t>B9R05650</t>
  </si>
  <si>
    <t>Thai-Salje-WT SF via Cam-Jun21</t>
  </si>
  <si>
    <t>224277/Z/21/A</t>
  </si>
  <si>
    <t>210173107</t>
  </si>
  <si>
    <t>210173117</t>
  </si>
  <si>
    <t>iRBD Study - Syntara</t>
  </si>
  <si>
    <t>PID 17029/Biomarkers</t>
  </si>
  <si>
    <t>210173161</t>
  </si>
  <si>
    <t>DFR11500</t>
  </si>
  <si>
    <t>Seawater</t>
  </si>
  <si>
    <t>Mostert, Prof Wouter</t>
  </si>
  <si>
    <t>IES\R2\252146</t>
  </si>
  <si>
    <t>210174067</t>
  </si>
  <si>
    <t>B9R01877</t>
  </si>
  <si>
    <t>Viet-2025 Open Access</t>
  </si>
  <si>
    <t>324145/Z/25/Z</t>
  </si>
  <si>
    <t>210173137</t>
  </si>
  <si>
    <t>EPR02150</t>
  </si>
  <si>
    <t>SM-DfE-Children2020s</t>
  </si>
  <si>
    <t>182647</t>
  </si>
  <si>
    <t>210173130</t>
  </si>
  <si>
    <t>DKR01070</t>
  </si>
  <si>
    <t>Junjie Liu URF 2019</t>
  </si>
  <si>
    <t>Liu, Dr Junjie</t>
  </si>
  <si>
    <t>URF\R1\201132</t>
  </si>
  <si>
    <t>210173157</t>
  </si>
  <si>
    <t>ATR04570</t>
  </si>
  <si>
    <t>An analysis of hunting</t>
  </si>
  <si>
    <t>Dickman, Prof Amelia</t>
  </si>
  <si>
    <t>Agreement dated 14.03.22</t>
  </si>
  <si>
    <t>210173141</t>
  </si>
  <si>
    <t>CYR00680</t>
  </si>
  <si>
    <t>BA PDF 2023 - Cloe Bracegirdle</t>
  </si>
  <si>
    <t>Bracegirdle, Dr Chloe</t>
  </si>
  <si>
    <t>PFSS23\230093</t>
  </si>
  <si>
    <t>210173163</t>
  </si>
  <si>
    <t>CQR02540</t>
  </si>
  <si>
    <t>Early Maths</t>
  </si>
  <si>
    <t>Agreement date 24th Feb 2023</t>
  </si>
  <si>
    <t>210173155</t>
  </si>
  <si>
    <t>210173319</t>
  </si>
  <si>
    <t>H4R03380</t>
  </si>
  <si>
    <t>WIMM-Davies_FWA_Sept 25</t>
  </si>
  <si>
    <t>Davies, Prof James</t>
  </si>
  <si>
    <t>d- 13/02/2026 email from Andi Lafrance to Matthew - Thank you for the follow up. However, as the amounts are stated in the Agreement and annex 2 in GBP for the Oxford budget allocation (see document attached), we would prefer to pay an invoice in GBP to the amount of £ 2.250. This will make it easier for our accounting of the project.   13/02/2026 email from Matthew to Andi -  Thank you for your message. Please see the attached revised invoice reflecting the correct first instalment amount of £2,250.</t>
  </si>
  <si>
    <t>210173387</t>
  </si>
  <si>
    <t>210173322</t>
  </si>
  <si>
    <t>ALR02261</t>
  </si>
  <si>
    <t>BBSRC sLoLa Gergely.</t>
  </si>
  <si>
    <t>BB/V003577/1 and 1005219#UOB548129</t>
  </si>
  <si>
    <t>210173176</t>
  </si>
  <si>
    <t>DFR08291</t>
  </si>
  <si>
    <t>Dislocation directed design</t>
  </si>
  <si>
    <t>Tarleton, Prof Edmund</t>
  </si>
  <si>
    <t>RPG-2021-244</t>
  </si>
  <si>
    <t>210173216</t>
  </si>
  <si>
    <t>AFR02070</t>
  </si>
  <si>
    <t>FoSSNet</t>
  </si>
  <si>
    <t>10126478</t>
  </si>
  <si>
    <t>210173178</t>
  </si>
  <si>
    <t>210173180</t>
  </si>
  <si>
    <t>210173316</t>
  </si>
  <si>
    <t>210173327</t>
  </si>
  <si>
    <t>DFR09830</t>
  </si>
  <si>
    <t>OSTrails</t>
  </si>
  <si>
    <t>10107027</t>
  </si>
  <si>
    <t>210173179</t>
  </si>
  <si>
    <t>HFR06000</t>
  </si>
  <si>
    <t>BSSH</t>
  </si>
  <si>
    <t>210173199</t>
  </si>
  <si>
    <t>DHR02040</t>
  </si>
  <si>
    <t>WcoBioCat</t>
  </si>
  <si>
    <t>Vincent, Prof Kylie</t>
  </si>
  <si>
    <t>10114545</t>
  </si>
  <si>
    <t>210173325</t>
  </si>
  <si>
    <t>HMR06320</t>
  </si>
  <si>
    <t>Stagg - Neuromod+</t>
  </si>
  <si>
    <t>Stagg, Prof Charlotte</t>
  </si>
  <si>
    <t>d- 19/02/2026 email from Deslyn Brown to Hajinder - This invoice is approved for payment. It relates to PO 4971843. Due to the value, I assume it is with Sneha for approval. I attach an email from Kate Hobson who is the project manager giving approval for payment (16/02/2026 email from Kate Hobson to Sneha &amp; Deslyn - this is just to let you know that you’ll (hopefully) receive a request for approval for the attached invoice (for £64K) which I’ve forwarded to AP. This is for payment from one of our Neuromod+ flexible funds and I confirm it is all within budget and remit, so all good to approve.  I’m hoping we might get it on the account before I “leave” on 28th!).</t>
  </si>
  <si>
    <t>BMPF_PSM694</t>
  </si>
  <si>
    <t>69203</t>
  </si>
  <si>
    <t>210173313</t>
  </si>
  <si>
    <t>CMR00160</t>
  </si>
  <si>
    <t>SLC6A20 assays for AMD</t>
  </si>
  <si>
    <t>24-SC-04</t>
  </si>
  <si>
    <t>210173321</t>
  </si>
  <si>
    <t>210173213</t>
  </si>
  <si>
    <t>H5R01780</t>
  </si>
  <si>
    <t>WT RFI</t>
  </si>
  <si>
    <t>PO-5737</t>
  </si>
  <si>
    <t>210173317</t>
  </si>
  <si>
    <t>B9R04950</t>
  </si>
  <si>
    <t>1640 - Cooper Jul21 JPIAMR-MRC</t>
  </si>
  <si>
    <t>MR/W031272/1</t>
  </si>
  <si>
    <t>210173210</t>
  </si>
  <si>
    <t>210173392</t>
  </si>
  <si>
    <t>HQR02963</t>
  </si>
  <si>
    <t>NIHR Bioresource CRF</t>
  </si>
  <si>
    <t>210173391</t>
  </si>
  <si>
    <t>HMR04130</t>
  </si>
  <si>
    <t>BMA Vera Downs 2020</t>
  </si>
  <si>
    <t>d- 16/02/2026 email from Ellie to Darshna - Please find attached the invoice as requested.  17/02/2026 email from Darshna to Ellie - We will process this as part of our next payment run.</t>
  </si>
  <si>
    <t>Schmidt Sciences, LLC</t>
  </si>
  <si>
    <t>113547</t>
  </si>
  <si>
    <t>210173338</t>
  </si>
  <si>
    <t>DFR11710</t>
  </si>
  <si>
    <t>AI2050 Senior Fellowship</t>
  </si>
  <si>
    <t>b- 26/02/2026 email to Jonasus - Re invoice 210173338 raised for cash matching, the payment received was for $499,928.00 the invoice has been raised for $541,168.80, can you raise a new invoice on the project for the payment received I’ll then move the income and the original invoice can be cancelled.  09/03/2026 Jonasus to raise a credit to cancel this invoice.</t>
  </si>
  <si>
    <t>G-25-70057</t>
  </si>
  <si>
    <t>210173389</t>
  </si>
  <si>
    <t>HQR03940</t>
  </si>
  <si>
    <t>Young people</t>
  </si>
  <si>
    <t>Reinecke, Ms Madeline</t>
  </si>
  <si>
    <t>G2-SCH-2025-01-16275  (GAP-PRD #418000006612</t>
  </si>
  <si>
    <t>BASO-The Association for Cancer Surgery</t>
  </si>
  <si>
    <t>124727</t>
  </si>
  <si>
    <t>210173347</t>
  </si>
  <si>
    <t>HJR03620</t>
  </si>
  <si>
    <t>Prediction of Melanoma Spread</t>
  </si>
  <si>
    <t>210173394</t>
  </si>
  <si>
    <t>AZR03360</t>
  </si>
  <si>
    <t>FP - AstraZenecca</t>
  </si>
  <si>
    <t>b- 12/02/2026 email from Gavin - That's this done and attached. I believe this gets uploaded to the COUPA portal. I've tried to do this but the status of the PO is showing as 'soft closed'. Do you have a contact at the funders? There's not one listed on oracle. There's an email on file that suggests the PO is for the payment already made and a further 2 invoices so I can't see why they'd have closed this at this point.  13/02/2026 email to Gavin - Try the following financedirectemea@astrazeneca.com.  13/02/2026 email from Gavin - Thanks for providing this. I've emailed them to let them know of the issues I'm having.</t>
  </si>
  <si>
    <t>Project ID:10053008 # 7101408520</t>
  </si>
  <si>
    <t>210173370</t>
  </si>
  <si>
    <t>HQR02660</t>
  </si>
  <si>
    <t>The Autoantibody Collaboration</t>
  </si>
  <si>
    <t>#994445084</t>
  </si>
  <si>
    <t>European Medicines Agency</t>
  </si>
  <si>
    <t>77754</t>
  </si>
  <si>
    <t>210173380</t>
  </si>
  <si>
    <t>HFR05460</t>
  </si>
  <si>
    <t>DARWIN</t>
  </si>
  <si>
    <t>EMA/2021/08/TDA #11207399</t>
  </si>
  <si>
    <t>Arthritis UK</t>
  </si>
  <si>
    <t>210173385</t>
  </si>
  <si>
    <t>JM-VA-JUN21</t>
  </si>
  <si>
    <t>Mimpen, Dr Jolet</t>
  </si>
  <si>
    <t>22873</t>
  </si>
  <si>
    <t>210173376</t>
  </si>
  <si>
    <t>210173378</t>
  </si>
  <si>
    <t>210173362</t>
  </si>
  <si>
    <t>210173354</t>
  </si>
  <si>
    <t>210173355</t>
  </si>
  <si>
    <t>210173359</t>
  </si>
  <si>
    <t>210173360</t>
  </si>
  <si>
    <t>210173361</t>
  </si>
  <si>
    <t>210173332</t>
  </si>
  <si>
    <t>CTR01020</t>
  </si>
  <si>
    <t>AUTHLIB</t>
  </si>
  <si>
    <t>Whitefield, Prof Stephen</t>
  </si>
  <si>
    <t>10041578</t>
  </si>
  <si>
    <t>210173384</t>
  </si>
  <si>
    <t>HMR00530</t>
  </si>
  <si>
    <t>The hippocampus in epilepsy</t>
  </si>
  <si>
    <t>25385OXFORD</t>
  </si>
  <si>
    <t>210173379</t>
  </si>
  <si>
    <t>210173390</t>
  </si>
  <si>
    <t>CSR00483</t>
  </si>
  <si>
    <t>AABC..</t>
  </si>
  <si>
    <t>WU-25-0555 # ST00029785</t>
  </si>
  <si>
    <t>210173402</t>
  </si>
  <si>
    <t>Mosher, Prof Rebecca</t>
  </si>
  <si>
    <t>210173400</t>
  </si>
  <si>
    <t>BWR01800</t>
  </si>
  <si>
    <t>Tau &amp; Abeta in disorientation</t>
  </si>
  <si>
    <t>Hijazi, Dr Sara</t>
  </si>
  <si>
    <t>AUK-RF2023B-026</t>
  </si>
  <si>
    <t>210173421</t>
  </si>
  <si>
    <t>DGR02450</t>
  </si>
  <si>
    <t>Ex-X_NERC Large_DW</t>
  </si>
  <si>
    <t>Pyle, Prof David</t>
  </si>
  <si>
    <t>UKRI1570</t>
  </si>
  <si>
    <t>210173407</t>
  </si>
  <si>
    <t>HSR02590</t>
  </si>
  <si>
    <t>IRIS-FAI.</t>
  </si>
  <si>
    <t>PID 18678_IRIS FAI</t>
  </si>
  <si>
    <t>210173415</t>
  </si>
  <si>
    <t>DJR02220</t>
  </si>
  <si>
    <t>QuThenS</t>
  </si>
  <si>
    <t>948932</t>
  </si>
  <si>
    <t>Buckinghamshire, Oxfordshire and Berkshire West Integrated Care Board</t>
  </si>
  <si>
    <t>102450</t>
  </si>
  <si>
    <t>210173419</t>
  </si>
  <si>
    <t>BZR06440</t>
  </si>
  <si>
    <t>CoMPuTE.</t>
  </si>
  <si>
    <t>d- 16/02/2026 email from Donna to Julie Barker - I am under the impression that you have the invoice you need and we are now up to date. The next invoice period will be up to 31 3 26. Is that correct? Please advise if you need anything else.  23/02/2026 email from Julie - Many thanks Donna – much appreciated.</t>
  </si>
  <si>
    <t>NIHR204406</t>
  </si>
  <si>
    <t>210173423</t>
  </si>
  <si>
    <t>DGR01890</t>
  </si>
  <si>
    <t>PK-URF- Fellowship</t>
  </si>
  <si>
    <t>Koelemeijer, Prof Paula</t>
  </si>
  <si>
    <t>URF\R1\180377</t>
  </si>
  <si>
    <t>210173414</t>
  </si>
  <si>
    <t>Rape Crisis England &amp; Wales</t>
  </si>
  <si>
    <t>110359</t>
  </si>
  <si>
    <t>210173418</t>
  </si>
  <si>
    <t>BAR01100</t>
  </si>
  <si>
    <t>Rape Crisis - herstories</t>
  </si>
  <si>
    <t>NM-23-00162</t>
  </si>
  <si>
    <t>210173453</t>
  </si>
  <si>
    <t>University of Aberdeen</t>
  </si>
  <si>
    <t>5379</t>
  </si>
  <si>
    <t>210173438</t>
  </si>
  <si>
    <t>HER02070</t>
  </si>
  <si>
    <t>AMETHYST</t>
  </si>
  <si>
    <t>RG17695-11</t>
  </si>
  <si>
    <t>5380</t>
  </si>
  <si>
    <t>210173440</t>
  </si>
  <si>
    <t>DGR02330</t>
  </si>
  <si>
    <t>Archives Assemble!</t>
  </si>
  <si>
    <t xml:space="preserve"> R213749</t>
  </si>
  <si>
    <t>210173460</t>
  </si>
  <si>
    <t>B2R01210</t>
  </si>
  <si>
    <t>NIV</t>
  </si>
  <si>
    <t>UKOSS – N HART</t>
  </si>
  <si>
    <t>210173431</t>
  </si>
  <si>
    <t>HMR06690</t>
  </si>
  <si>
    <t>MNDA Project Grant - Thompson</t>
  </si>
  <si>
    <t>Thompson, Mr Alexander</t>
  </si>
  <si>
    <t>Thompson/Apr24/2382-791</t>
  </si>
  <si>
    <t>210173444</t>
  </si>
  <si>
    <t>HER02100</t>
  </si>
  <si>
    <t>FREESIA3</t>
  </si>
  <si>
    <t>PID 18883</t>
  </si>
  <si>
    <t>210173435</t>
  </si>
  <si>
    <t>CBR01600</t>
  </si>
  <si>
    <t>Manik Kohli_NIHR fellowship</t>
  </si>
  <si>
    <t>8704464</t>
  </si>
  <si>
    <t>210173439</t>
  </si>
  <si>
    <t>DMR02120</t>
  </si>
  <si>
    <t>Deoxyfluorination</t>
  </si>
  <si>
    <t>EP/Y026853/1</t>
  </si>
  <si>
    <t>210173443</t>
  </si>
  <si>
    <t>Jabbs Foundation</t>
  </si>
  <si>
    <t>45050</t>
  </si>
  <si>
    <t>210173430</t>
  </si>
  <si>
    <t>HMR05670</t>
  </si>
  <si>
    <t>JABBS - Pattinson</t>
  </si>
  <si>
    <t>Pattinson, Dr Kyle</t>
  </si>
  <si>
    <t>210173442</t>
  </si>
  <si>
    <t>HFR06800</t>
  </si>
  <si>
    <t>SS - Sarcoma</t>
  </si>
  <si>
    <t>BCRT/10724</t>
  </si>
  <si>
    <t>210173456</t>
  </si>
  <si>
    <t>d- 06/03/2026 email from Jonasus to Sarah Smalley -  Please find the two invoices for S3ROU attached.</t>
  </si>
  <si>
    <t>210173441</t>
  </si>
  <si>
    <t>HMR05380</t>
  </si>
  <si>
    <t>OHSRC Turnquist 04.23</t>
  </si>
  <si>
    <t>1442 April 2023</t>
  </si>
  <si>
    <t>210173450</t>
  </si>
  <si>
    <t>210173455</t>
  </si>
  <si>
    <t>CCR00040</t>
  </si>
  <si>
    <t>NN Fellowship Renewal 22-27</t>
  </si>
  <si>
    <t>RDM</t>
  </si>
  <si>
    <t>2021-000722</t>
  </si>
  <si>
    <t>Hong Kong Centre for Cerebro-Cardiovascular Health Engineering Limited</t>
  </si>
  <si>
    <t>83545</t>
  </si>
  <si>
    <t>210173457</t>
  </si>
  <si>
    <t>HKD</t>
  </si>
  <si>
    <t>DFR07430</t>
  </si>
  <si>
    <t>InnoHK Centre</t>
  </si>
  <si>
    <t>210173433</t>
  </si>
  <si>
    <t>d- Jonasus</t>
  </si>
  <si>
    <t>210173502</t>
  </si>
  <si>
    <t>DJR03280</t>
  </si>
  <si>
    <t>Matcelerate</t>
  </si>
  <si>
    <t>MAT08 / EP/X527257/1 / EHZ2772731</t>
  </si>
  <si>
    <t>210173506</t>
  </si>
  <si>
    <t>Innate Pharma</t>
  </si>
  <si>
    <t>47708</t>
  </si>
  <si>
    <t>210173462</t>
  </si>
  <si>
    <t>CWR00260</t>
  </si>
  <si>
    <t>Utilising photoconversion</t>
  </si>
  <si>
    <t>Withers, Prof David</t>
  </si>
  <si>
    <t>210173495</t>
  </si>
  <si>
    <t>210173463</t>
  </si>
  <si>
    <t>DLR01330</t>
  </si>
  <si>
    <t>Burrows CERN 2024</t>
  </si>
  <si>
    <t>KE6289/ATS</t>
  </si>
  <si>
    <t>210173488</t>
  </si>
  <si>
    <t>BZR07490</t>
  </si>
  <si>
    <t>Pregnancy Outcomes</t>
  </si>
  <si>
    <t>210173468</t>
  </si>
  <si>
    <t>210173475</t>
  </si>
  <si>
    <t>B9R06520</t>
  </si>
  <si>
    <t>AMASS-FUNGI</t>
  </si>
  <si>
    <t>d- 23/02/2026 email from ap - Thank you for submitting your invoice to the University of Exeter. As previously communicated, all invoices must include a valid Purchase Order (PO) number to enable automatic system matching and ensure timely payment. Unfortunately, your invoice did not reference a valid PO number or Project Reference Number and has therefore been returned. To resubmit, please contact your University of Exeter representative who requested the goods or services and ask for a valid PO number. This number should begin with UE, CS, PU, or SM, followed by six digits. Once a purchase order is obtained from the individual that has requested this from yourselves, please re-issue the invoice with the PO number and resend it in PDF format to invoices@exeter.ac.uk.   25/02/2026 email to Lucy - Please see the below email regarding the attached invoice on B9R06520, can you obtain a PO number and reissue the invoice letting me know when resent.  23/02/2026 email from Lucy to the invoice team -  Please find attached our latest invoice relating to the above-mentioned project.</t>
  </si>
  <si>
    <t>210173476</t>
  </si>
  <si>
    <t>d- 23/02/2026 email from ap - Thank you for submitting your invoice to the University of Exeter. As previously communicated, all invoices must include a valid Purchase Order (PO) number to enable automatic system matching and ensure timely payment. Unfortunately, your invoice did not reference a valid PO number or Project Reference Number and has therefore been returned. To resubmit, please contact your University of Exeter representative who requested the goods or services and ask for a valid PO number. This number should begin with UE, CS, PU, or SM, followed by six digits. Once a purchase order is obtained from the individual that has requested this from yourselves, please re-issue the invoice with the PO number and resend it in PDF format to invoices@exeter.ac.uk.   25/02/2026 email to Lucy - Please see the below email regarding the attached invoice on B9R06520, can you obtain a PO number and reissue the invoice letting me know when resent.    23/02/2026 email from Lucy to the invoice team -  Please find attached our latest invoice relating to the above-mentioned project.</t>
  </si>
  <si>
    <t>210173466</t>
  </si>
  <si>
    <t>DUR01520</t>
  </si>
  <si>
    <t>AD-Innovate w.QUERA 2025</t>
  </si>
  <si>
    <t>10179725</t>
  </si>
  <si>
    <t>210173484</t>
  </si>
  <si>
    <t>HQR03610</t>
  </si>
  <si>
    <t>IMPACT-SMI</t>
  </si>
  <si>
    <t>Taquet, Dr Maxime</t>
  </si>
  <si>
    <t>24/JTA</t>
  </si>
  <si>
    <t>210173474</t>
  </si>
  <si>
    <t>University of Utah</t>
  </si>
  <si>
    <t>13936</t>
  </si>
  <si>
    <t>210173493</t>
  </si>
  <si>
    <t>CQR03010</t>
  </si>
  <si>
    <t>Distributional Reinforcement.</t>
  </si>
  <si>
    <t>Kennerley, Mr Steven</t>
  </si>
  <si>
    <t>b- 02/03/2026 email from Douglas Gibula forwarded to Henry - Please provide the University of Utah with two replacement invoices to replace invoice 210173493 (attached for your reference), organized by the period in which the expenditures were incurred: 01OCT2025 through 11FEB2026  -  12FEB2026 through 17FEB2026. Context - This separation is required due to a new NIH policy regarding the allowability of foreign subaward costs. NIH funds may not be used to support foreign subaward activities with an effective date of 11FEB2026.  03/03/2026 email to Henry - Please see the email below regarding invoice 210173493 – CQR03010, can you look into reissuing the invoice as requested letting me know when resent.</t>
  </si>
  <si>
    <t>10060260-01-UO#U000548910</t>
  </si>
  <si>
    <t>National Trust</t>
  </si>
  <si>
    <t>7842</t>
  </si>
  <si>
    <t>210173497</t>
  </si>
  <si>
    <t>E0R00111</t>
  </si>
  <si>
    <t>NT Partnership 2023-26</t>
  </si>
  <si>
    <t>Grimley, Prof Daniel</t>
  </si>
  <si>
    <t>N/A # 85646818</t>
  </si>
  <si>
    <t>210173501</t>
  </si>
  <si>
    <t>d- 03/03/2026 email from Jamie Taylor forwarded to Gareth - We recently received the invoice attached. The claim period is from 01/01/2026 to 30/09/2025 which is incorrect. I would be grateful in you could correct and reinvoice.  05/03/2026 email from Gareth to the funder - Please fine attached the corrected invoice for HQR03560 reference G112004.  05/03/2026 email from Lunda to Gareth - Thank you for your email. Forwarding  your email to the  Department of Medicine @MED Medicine Grants to process the attached invoices.</t>
  </si>
  <si>
    <t>210173503</t>
  </si>
  <si>
    <t>210173464</t>
  </si>
  <si>
    <t>DFR09170</t>
  </si>
  <si>
    <t>Double cone Experiments</t>
  </si>
  <si>
    <t>b- 05/03/2026 email from the WAWF portal forwarded to Jonasus - Has been Rejected by Christine Ortisi on 2026/02/26. Status is Rejected. Reason for rejection: Insufficient funds.  Funds available: $26,572.57.  Please also correct Grant WS.  Total approved: $153,502.43.</t>
  </si>
  <si>
    <t>FA7000-23-2-0010</t>
  </si>
  <si>
    <t>210173469</t>
  </si>
  <si>
    <t>210173485</t>
  </si>
  <si>
    <t>DFR08060</t>
  </si>
  <si>
    <t>Lossy Compression</t>
  </si>
  <si>
    <t>Coon, Prof Justin</t>
  </si>
  <si>
    <t>e- 02/03/2026 email from the WAWF portal this invoice has been paid.  payment 04/03/2026</t>
  </si>
  <si>
    <t>W911NF-22-1-0070</t>
  </si>
  <si>
    <t>210173483</t>
  </si>
  <si>
    <t>DNR01250</t>
  </si>
  <si>
    <t>Guiding Antiviral Discovery</t>
  </si>
  <si>
    <t>Struwe, Dr Weston</t>
  </si>
  <si>
    <t>NIF\R1\221989</t>
  </si>
  <si>
    <t>210173471</t>
  </si>
  <si>
    <t>VET-SOFT</t>
  </si>
  <si>
    <t>G111301</t>
  </si>
  <si>
    <t>Harvard School of Public Health</t>
  </si>
  <si>
    <t>5395</t>
  </si>
  <si>
    <t>210173467</t>
  </si>
  <si>
    <t>B9R05460</t>
  </si>
  <si>
    <t>Beyond Survival English Gates</t>
  </si>
  <si>
    <t>Molyneux, Prof Catherine</t>
  </si>
  <si>
    <t>d- 17/02/2026 email from Lucy to Holly (dept) - Please see attached.  17/02/2026 email from Holly to Lucy - Many thanks Much appreciated. I will forward onto HSPH.</t>
  </si>
  <si>
    <t>261499-5125351</t>
  </si>
  <si>
    <t>210173492</t>
  </si>
  <si>
    <t>210173515</t>
  </si>
  <si>
    <t>H4R02490</t>
  </si>
  <si>
    <t>WIMM-Chapman- BCN Aug 21</t>
  </si>
  <si>
    <t>2022FebPR1523</t>
  </si>
  <si>
    <t>210173516</t>
  </si>
  <si>
    <t>210173512</t>
  </si>
  <si>
    <t>210173481</t>
  </si>
  <si>
    <t>210173489</t>
  </si>
  <si>
    <t>210173548</t>
  </si>
  <si>
    <t>210173482</t>
  </si>
  <si>
    <t>H5R02390</t>
  </si>
  <si>
    <t>Anti-IL10 - Janssen</t>
  </si>
  <si>
    <t>ICD 2263624 / PO 994918465</t>
  </si>
  <si>
    <t>New York University</t>
  </si>
  <si>
    <t>4630</t>
  </si>
  <si>
    <t>210173542</t>
  </si>
  <si>
    <t>HPR00340</t>
  </si>
  <si>
    <t>Cancer cell states Y2</t>
  </si>
  <si>
    <t>Subaward No. 21-A0-00-1005669</t>
  </si>
  <si>
    <t>210173554</t>
  </si>
  <si>
    <t>HBR05800</t>
  </si>
  <si>
    <t>RCF25/001 - Ellie Daly</t>
  </si>
  <si>
    <t>Daly, Miss Eleanor</t>
  </si>
  <si>
    <t>RCF25/001</t>
  </si>
  <si>
    <t>210173543</t>
  </si>
  <si>
    <t>MQR01321</t>
  </si>
  <si>
    <t>Smets EY TMT 2025</t>
  </si>
  <si>
    <t>b- 26/02/2026 email from ap forwarded to Daniel - We are returning your invoice as it got rejected for the reasons below. Please review the rejection reasons and submit a corrected invoice if you believe the rejection was in error. Return reasons: Incorrect Bill-to name and/or address. Comments: Dear Team, As per the PO # 7000109117 mentioned on the invoice copy belongs to EY.   Global Services., the attached invoice is billed incorrectly and should be revised with the below address and re-submitted to xe06.ap@ey.com for further processing. Kindly get the invoice to below bill to address. Bill to Address: EY Global Services Ltd. 1 More London Place , SE1 2AF London, United Kingdom - Please resubmit the invoice with the charge code and correct billing  address to our mailbox – Accounts Payable Global Entity XE06 xe06.ap@ey.com for further processing.</t>
  </si>
  <si>
    <t>210173540</t>
  </si>
  <si>
    <t>CQR02730</t>
  </si>
  <si>
    <t>Louise Isham - NIHR DSE</t>
  </si>
  <si>
    <t>Isham, Dr Sarah</t>
  </si>
  <si>
    <t>NIHR303752</t>
  </si>
  <si>
    <t>210173531</t>
  </si>
  <si>
    <t>HER01441</t>
  </si>
  <si>
    <t>CIFASD Renewal.</t>
  </si>
  <si>
    <t>5U01AA014809-20</t>
  </si>
  <si>
    <t>210173551</t>
  </si>
  <si>
    <t>210173536</t>
  </si>
  <si>
    <t>H3R00750</t>
  </si>
  <si>
    <t>RadNet RRC 2019-2024</t>
  </si>
  <si>
    <t>C6078/A28736</t>
  </si>
  <si>
    <t>210173539</t>
  </si>
  <si>
    <t>HNR03620</t>
  </si>
  <si>
    <t>NatHis</t>
  </si>
  <si>
    <t>22NEM-PG48-0609-1</t>
  </si>
  <si>
    <t>210173553</t>
  </si>
  <si>
    <t>210173519</t>
  </si>
  <si>
    <t>210173520</t>
  </si>
  <si>
    <t>MQR01270</t>
  </si>
  <si>
    <t>Amengual IGC 2023</t>
  </si>
  <si>
    <t>Amengual, Dr Matthew</t>
  </si>
  <si>
    <t>IND-24116 - C-0005409</t>
  </si>
  <si>
    <t>210173537</t>
  </si>
  <si>
    <t>DBR01170</t>
  </si>
  <si>
    <t>NIF 2022 - Tassia Ferreira</t>
  </si>
  <si>
    <t>NIF\R1\221137</t>
  </si>
  <si>
    <t>210173530</t>
  </si>
  <si>
    <t>H4R02770</t>
  </si>
  <si>
    <t>Shapiro-Mead BMS 2022</t>
  </si>
  <si>
    <t>82339246</t>
  </si>
  <si>
    <t>210173550</t>
  </si>
  <si>
    <t>HBR04431</t>
  </si>
  <si>
    <t>E Barnes - NIH Y3</t>
  </si>
  <si>
    <t>Moderna Biotech Distributor UK Ltd</t>
  </si>
  <si>
    <t>105234</t>
  </si>
  <si>
    <t>210173564</t>
  </si>
  <si>
    <t>HNR04030</t>
  </si>
  <si>
    <t>Daniel Wright Fellowship</t>
  </si>
  <si>
    <t>Wright, Mr Daniel</t>
  </si>
  <si>
    <t>2023-MGF-000117 #7700116884</t>
  </si>
  <si>
    <t>210173575</t>
  </si>
  <si>
    <t>210173576</t>
  </si>
  <si>
    <t>B2R01130</t>
  </si>
  <si>
    <t>EMPIRE</t>
  </si>
  <si>
    <t>NIHR204248</t>
  </si>
  <si>
    <t>210173604</t>
  </si>
  <si>
    <t>DCR01490</t>
  </si>
  <si>
    <t>Dragon 6 Cooperation</t>
  </si>
  <si>
    <t>Song, Dr Rui</t>
  </si>
  <si>
    <t>4000148911/25/I-LG-bgh</t>
  </si>
  <si>
    <t>210173566</t>
  </si>
  <si>
    <t>DFR11860</t>
  </si>
  <si>
    <t>Bigpicture Postdoc</t>
  </si>
  <si>
    <t>2025-006583</t>
  </si>
  <si>
    <t>210173588</t>
  </si>
  <si>
    <t>210173595</t>
  </si>
  <si>
    <t>DCR01371</t>
  </si>
  <si>
    <t>NCEO - 2025/26</t>
  </si>
  <si>
    <t>Grainger, Prof Roy</t>
  </si>
  <si>
    <t>NCEO/Oxford extension 2025-26</t>
  </si>
  <si>
    <t>210173571</t>
  </si>
  <si>
    <t>DFR09400</t>
  </si>
  <si>
    <t>ERDC Liquefaction triggering</t>
  </si>
  <si>
    <t>Adamidis, Prof Orestis</t>
  </si>
  <si>
    <t>W912HZ-24-2-0003</t>
  </si>
  <si>
    <t>210173597</t>
  </si>
  <si>
    <t>38603</t>
  </si>
  <si>
    <t>210173592</t>
  </si>
  <si>
    <t>Saving spots</t>
  </si>
  <si>
    <t>210173593</t>
  </si>
  <si>
    <t>Sleep in breast cancer patient</t>
  </si>
  <si>
    <t>RKES 220818#5269531</t>
  </si>
  <si>
    <t>210173563</t>
  </si>
  <si>
    <t>210173569</t>
  </si>
  <si>
    <t>B9R06300</t>
  </si>
  <si>
    <t>Turner TACE</t>
  </si>
  <si>
    <t>Turner, Prof Paul</t>
  </si>
  <si>
    <t>TACE/IVI</t>
  </si>
  <si>
    <t>210173603</t>
  </si>
  <si>
    <t>AWE quote for RFQ 117</t>
  </si>
  <si>
    <t>Vinko, Prof Sam</t>
  </si>
  <si>
    <t>d- 04/03/2026 chase to the ap query team.  04/03/2026 email from Kay Kenny - 210173603- Invoice has validated ready for payment when due.</t>
  </si>
  <si>
    <t>PO 40114659</t>
  </si>
  <si>
    <t>210173572</t>
  </si>
  <si>
    <t>210173555</t>
  </si>
  <si>
    <t>e- 23/02/2026 email forwarded by Jonasus from ap - Thank you for your e-mail. We can acknowledge receipt of your e-mail and will process your invoice in due time.</t>
  </si>
  <si>
    <t>210173578</t>
  </si>
  <si>
    <t>210173581</t>
  </si>
  <si>
    <t>210173582</t>
  </si>
  <si>
    <t>VGR00941</t>
  </si>
  <si>
    <t>Young Lives at Work - 22/25</t>
  </si>
  <si>
    <t>200425</t>
  </si>
  <si>
    <t>210173558</t>
  </si>
  <si>
    <t>Stichting Hemato-Oncologie Adults Nederland, Netherland (HOVON)</t>
  </si>
  <si>
    <t>105116</t>
  </si>
  <si>
    <t>210173583</t>
  </si>
  <si>
    <t>H8R00190</t>
  </si>
  <si>
    <t>WIMM - Enhance 3</t>
  </si>
  <si>
    <t>e- payment 06/03/2026</t>
  </si>
  <si>
    <t>4037343 # SUPHO001</t>
  </si>
  <si>
    <t>210173562</t>
  </si>
  <si>
    <t>210173570</t>
  </si>
  <si>
    <t>DMR01480</t>
  </si>
  <si>
    <t>Histone Demethylases.</t>
  </si>
  <si>
    <t>A28285</t>
  </si>
  <si>
    <t>210173598</t>
  </si>
  <si>
    <t>210173586</t>
  </si>
  <si>
    <t>ACR01711</t>
  </si>
  <si>
    <t>New CSSP-Brazil Y2</t>
  </si>
  <si>
    <t>Zilli, Dr Marcia</t>
  </si>
  <si>
    <t>N/A # P113023</t>
  </si>
  <si>
    <t>The Roslin Institute</t>
  </si>
  <si>
    <t>127582</t>
  </si>
  <si>
    <t>210173614</t>
  </si>
  <si>
    <t>CBR01890</t>
  </si>
  <si>
    <t>eukaryotic evolution</t>
  </si>
  <si>
    <t>Holland, Prof Peter</t>
  </si>
  <si>
    <t>None</t>
  </si>
  <si>
    <t>210173624</t>
  </si>
  <si>
    <t>HSR01480</t>
  </si>
  <si>
    <t>Damian_BHF Prog</t>
  </si>
  <si>
    <t>RG/F/21/110035</t>
  </si>
  <si>
    <t>Jhpiego Corporation</t>
  </si>
  <si>
    <t>127652</t>
  </si>
  <si>
    <t>210173628</t>
  </si>
  <si>
    <t>B9R06660</t>
  </si>
  <si>
    <t>Impact of MFT in Antimalarials</t>
  </si>
  <si>
    <t>26-SBA-042</t>
  </si>
  <si>
    <t>210173609</t>
  </si>
  <si>
    <t>210173613</t>
  </si>
  <si>
    <t>210173605</t>
  </si>
  <si>
    <t>CWR00180</t>
  </si>
  <si>
    <t>Martin Delaney CARE3,Margolis</t>
  </si>
  <si>
    <t>5134891</t>
  </si>
  <si>
    <t>210173620</t>
  </si>
  <si>
    <t>ENVDANTE</t>
  </si>
  <si>
    <t>Gilson, Prof Simon</t>
  </si>
  <si>
    <t>R127624#2437966</t>
  </si>
  <si>
    <t>210173625</t>
  </si>
  <si>
    <t>210173623</t>
  </si>
  <si>
    <t>210173627</t>
  </si>
  <si>
    <t>210173619</t>
  </si>
  <si>
    <t>ANR00820</t>
  </si>
  <si>
    <t>Interception of pre-malignant</t>
  </si>
  <si>
    <t>PO 993916779</t>
  </si>
  <si>
    <t>210173616</t>
  </si>
  <si>
    <t>210173629</t>
  </si>
  <si>
    <t>HNR01540</t>
  </si>
  <si>
    <t>MRC DPFS SMA</t>
  </si>
  <si>
    <t>MR/R025312/1</t>
  </si>
  <si>
    <t>210173618</t>
  </si>
  <si>
    <t>Sutton Trust</t>
  </si>
  <si>
    <t>3626</t>
  </si>
  <si>
    <t>210173611</t>
  </si>
  <si>
    <t>EPR02300</t>
  </si>
  <si>
    <t>Brooks Sutton Nov 24</t>
  </si>
  <si>
    <t>Brooks, Prof Rachel</t>
  </si>
  <si>
    <t>d- 26/02/2026 email from Marina Golik - We’ve received the University of Oxford invoice 210173611. To secure the payment is made to genuine and correct bank details, we would like to request a confirmation of your most up-to-date bank details on a letterhead paper emailed to finance@suttontrust.com prior to us raising any payments. We look forward to hearing from you soon to proceed.    Please also confirm the invoice 210173611 due date.    02/03/2026 email to finance &amp; Marina - Thanks for your email, please find attached our bank details also the due date of the invoice 210173611 is 22/03/2026.</t>
  </si>
  <si>
    <t>Sanofi-Aventis Recherche &amp; Developpement</t>
  </si>
  <si>
    <t>127127</t>
  </si>
  <si>
    <t>210173630</t>
  </si>
  <si>
    <t>DNR01550</t>
  </si>
  <si>
    <t>Sanofi TCR/BCR</t>
  </si>
  <si>
    <t>Aarts, Prof Dirk</t>
  </si>
  <si>
    <t>259032</t>
  </si>
  <si>
    <t>210173642</t>
  </si>
  <si>
    <t>210173658</t>
  </si>
  <si>
    <t>HQR03880</t>
  </si>
  <si>
    <t>SPIINET</t>
  </si>
  <si>
    <t>ES/Z502790/1</t>
  </si>
  <si>
    <t>210173654</t>
  </si>
  <si>
    <t>210173636</t>
  </si>
  <si>
    <t>210173639</t>
  </si>
  <si>
    <t>BLR03810</t>
  </si>
  <si>
    <t>AI Hub Generative Models</t>
  </si>
  <si>
    <t>UCL Ref: 8327383 (582530/1880)</t>
  </si>
  <si>
    <t>210173643</t>
  </si>
  <si>
    <t>210173631</t>
  </si>
  <si>
    <t>B5R00830</t>
  </si>
  <si>
    <t>Yvonne Jones - WT Discovery</t>
  </si>
  <si>
    <t>Jones, Prof Edith</t>
  </si>
  <si>
    <t>R/184288</t>
  </si>
  <si>
    <t>210173649</t>
  </si>
  <si>
    <t>HPR00370</t>
  </si>
  <si>
    <t>gastro-intestinal immunity</t>
  </si>
  <si>
    <t>Boccellato, Mr Francesco</t>
  </si>
  <si>
    <t>523181101</t>
  </si>
  <si>
    <t>Eli Lilly and Company USA</t>
  </si>
  <si>
    <t>64678</t>
  </si>
  <si>
    <t>210173632</t>
  </si>
  <si>
    <t>DMR02130</t>
  </si>
  <si>
    <t>Ideal Oligonucleotide Synthes</t>
  </si>
  <si>
    <t>Anderson, Prof Edward</t>
  </si>
  <si>
    <t>N/A#4200330444</t>
  </si>
  <si>
    <t>210173669</t>
  </si>
  <si>
    <t>210173647</t>
  </si>
  <si>
    <t>210173651</t>
  </si>
  <si>
    <t>DFR08650</t>
  </si>
  <si>
    <t>LH2GT</t>
  </si>
  <si>
    <t>10039770</t>
  </si>
  <si>
    <t>210173653</t>
  </si>
  <si>
    <t>210173640</t>
  </si>
  <si>
    <t>West Horsley Place Trust</t>
  </si>
  <si>
    <t>125227</t>
  </si>
  <si>
    <t>210173655</t>
  </si>
  <si>
    <t>E0R00140</t>
  </si>
  <si>
    <t>A Quiet Revolution</t>
  </si>
  <si>
    <t>Houghton, Dr Karen</t>
  </si>
  <si>
    <t>AQR</t>
  </si>
  <si>
    <t>210173683</t>
  </si>
  <si>
    <t>210173692</t>
  </si>
  <si>
    <t>MD - Jelena salary</t>
  </si>
  <si>
    <t>KENN 21 22 02</t>
  </si>
  <si>
    <t>210173687</t>
  </si>
  <si>
    <t>HNR04020</t>
  </si>
  <si>
    <t>BBSRC</t>
  </si>
  <si>
    <t>BB/Z516934/1, 323634</t>
  </si>
  <si>
    <t>European Vaccine Initiative</t>
  </si>
  <si>
    <t>41784</t>
  </si>
  <si>
    <t>210173679</t>
  </si>
  <si>
    <t>HNR04040</t>
  </si>
  <si>
    <t>VAC093 and VAC087</t>
  </si>
  <si>
    <t>EVI Contract No. 09/2025</t>
  </si>
  <si>
    <t>Nanyang Technological University</t>
  </si>
  <si>
    <t>71751</t>
  </si>
  <si>
    <t>210174190</t>
  </si>
  <si>
    <t>AMR00550</t>
  </si>
  <si>
    <t>Teh - Singapore AI</t>
  </si>
  <si>
    <t>AIVP-2024-002</t>
  </si>
  <si>
    <t>210173678</t>
  </si>
  <si>
    <t>210173684</t>
  </si>
  <si>
    <t>BZR07320</t>
  </si>
  <si>
    <t>GILD 2</t>
  </si>
  <si>
    <t>Leal, Dr Jose</t>
  </si>
  <si>
    <t>R03196 / 33562126</t>
  </si>
  <si>
    <t>210174068</t>
  </si>
  <si>
    <t>60109</t>
  </si>
  <si>
    <t>210173681</t>
  </si>
  <si>
    <t>AVR03560</t>
  </si>
  <si>
    <t>RWM_MJFF_LarioThera_Mar24</t>
  </si>
  <si>
    <t>MJFF-025023</t>
  </si>
  <si>
    <t>210173695</t>
  </si>
  <si>
    <t>M3R00770</t>
  </si>
  <si>
    <t>Childhood  in China</t>
  </si>
  <si>
    <t>Murphy, Prof Rachel</t>
  </si>
  <si>
    <t>SRG23\231845</t>
  </si>
  <si>
    <t>210173682</t>
  </si>
  <si>
    <t>DFR09300</t>
  </si>
  <si>
    <t>NewPhaseBio</t>
  </si>
  <si>
    <t>EP/Y028236/1</t>
  </si>
  <si>
    <t>210173707</t>
  </si>
  <si>
    <t>AZR03210</t>
  </si>
  <si>
    <t>CB - Clinical Pathology</t>
  </si>
  <si>
    <t>KENN 22 23 10</t>
  </si>
  <si>
    <t>210173690</t>
  </si>
  <si>
    <t>210173680</t>
  </si>
  <si>
    <t>A5R00180</t>
  </si>
  <si>
    <t>MTAS</t>
  </si>
  <si>
    <t>CIET2021\94</t>
  </si>
  <si>
    <t>Understanding Society Policy Unit, Institute for Social and Economic Research</t>
  </si>
  <si>
    <t>77694</t>
  </si>
  <si>
    <t>210173698</t>
  </si>
  <si>
    <t>CQR02970</t>
  </si>
  <si>
    <t>Oncioiu USPU</t>
  </si>
  <si>
    <t>Oncioiu, Dr Sinziana-Ioana</t>
  </si>
  <si>
    <t>EBBL10</t>
  </si>
  <si>
    <t>210173688</t>
  </si>
  <si>
    <t>BLR03240</t>
  </si>
  <si>
    <t>ESA ITT UV-SR-XAI-001</t>
  </si>
  <si>
    <t>Gal, Prof Yarin</t>
  </si>
  <si>
    <t>4000137833/22/I-NS</t>
  </si>
  <si>
    <t>210173710</t>
  </si>
  <si>
    <t>FP - Chair in imaging</t>
  </si>
  <si>
    <t>KENN 20 21 14</t>
  </si>
  <si>
    <t>210173708</t>
  </si>
  <si>
    <t>TV-KTRR-MAR18</t>
  </si>
  <si>
    <t>KENN 17 18 06</t>
  </si>
  <si>
    <t>210173694</t>
  </si>
  <si>
    <t>210173705</t>
  </si>
  <si>
    <t>B9R04210</t>
  </si>
  <si>
    <t>DPP</t>
  </si>
  <si>
    <t>RIA2019PD - 2893</t>
  </si>
  <si>
    <t>210173693</t>
  </si>
  <si>
    <t>AZR02260</t>
  </si>
  <si>
    <t>FP - OCMS</t>
  </si>
  <si>
    <t>KENN 20 21 10</t>
  </si>
  <si>
    <t>210173697</t>
  </si>
  <si>
    <t>AZR02390</t>
  </si>
  <si>
    <t>KIR - BSU staff</t>
  </si>
  <si>
    <t>20 21 16</t>
  </si>
  <si>
    <t>210173706</t>
  </si>
  <si>
    <t>MD - Cell Dynamics</t>
  </si>
  <si>
    <t>20 21 17</t>
  </si>
  <si>
    <t>210173754</t>
  </si>
  <si>
    <t>210173709</t>
  </si>
  <si>
    <t>AZR03540</t>
  </si>
  <si>
    <t>LW - KTRR Fellowship</t>
  </si>
  <si>
    <t>Wickramasinghe Mudiyanselage,</t>
  </si>
  <si>
    <t>KENN 24 25 05</t>
  </si>
  <si>
    <t>210173767</t>
  </si>
  <si>
    <t>ALR03690</t>
  </si>
  <si>
    <t>Higgins_WT_Discovery_June2022</t>
  </si>
  <si>
    <t>226669/Z/22/Z #  LC/4667401</t>
  </si>
  <si>
    <t>210173751</t>
  </si>
  <si>
    <t>DNR01090</t>
  </si>
  <si>
    <t>Visualising Glycoprotein</t>
  </si>
  <si>
    <t>MR/V02213X/1</t>
  </si>
  <si>
    <t>210173769</t>
  </si>
  <si>
    <t>CZR01500</t>
  </si>
  <si>
    <t>AI Ethics for Defence</t>
  </si>
  <si>
    <t>Taddeo, Prof Mariarosaria</t>
  </si>
  <si>
    <t>#DSTL0000049395</t>
  </si>
  <si>
    <t>210173775</t>
  </si>
  <si>
    <t>210173763</t>
  </si>
  <si>
    <t>DJR03370</t>
  </si>
  <si>
    <t>Nanoscale quantum sensing</t>
  </si>
  <si>
    <t>Stern, Prof Hannah</t>
  </si>
  <si>
    <t>Bath ref: 482704: UKRI597 / RC-PH1303</t>
  </si>
  <si>
    <t>210173741</t>
  </si>
  <si>
    <t>HFR06980</t>
  </si>
  <si>
    <t>BCRT.</t>
  </si>
  <si>
    <t>BCRT 11025</t>
  </si>
  <si>
    <t>210173757</t>
  </si>
  <si>
    <t>2513</t>
  </si>
  <si>
    <t>210173715</t>
  </si>
  <si>
    <t>BZR07600</t>
  </si>
  <si>
    <t>IMMERSE</t>
  </si>
  <si>
    <t>Hua, Ms Phuong</t>
  </si>
  <si>
    <t>001_BSFSHASG_25</t>
  </si>
  <si>
    <t>210173730</t>
  </si>
  <si>
    <t>210173731</t>
  </si>
  <si>
    <t>210173722</t>
  </si>
  <si>
    <t>210173765</t>
  </si>
  <si>
    <t>H4R03430</t>
  </si>
  <si>
    <t>WIMM-BRC4Y3/ACD-16-Gooding</t>
  </si>
  <si>
    <t>Gooding, Dr Sarah</t>
  </si>
  <si>
    <t>BRC4Y3/ACD-16</t>
  </si>
  <si>
    <t>210173752</t>
  </si>
  <si>
    <t>HBR05640</t>
  </si>
  <si>
    <t>E Barnes MRC DPFS</t>
  </si>
  <si>
    <t>MR/Y019466/1</t>
  </si>
  <si>
    <t>210173733</t>
  </si>
  <si>
    <t>210173753</t>
  </si>
  <si>
    <t>CSR00740</t>
  </si>
  <si>
    <t>EDoN...</t>
  </si>
  <si>
    <t>ARUK-EDON24-002</t>
  </si>
  <si>
    <t>210173745</t>
  </si>
  <si>
    <t>ANR01940</t>
  </si>
  <si>
    <t>CAR-macrophages</t>
  </si>
  <si>
    <t>Hazini, Dr Ahmet</t>
  </si>
  <si>
    <t>TLD-CAF24-007#63742</t>
  </si>
  <si>
    <t>210173744</t>
  </si>
  <si>
    <t>HBR05230</t>
  </si>
  <si>
    <t>P Klenerman - Leducq</t>
  </si>
  <si>
    <t>210173748</t>
  </si>
  <si>
    <t>H6R00980</t>
  </si>
  <si>
    <t>ASCEND</t>
  </si>
  <si>
    <t>Sammons, Dr Emily</t>
  </si>
  <si>
    <t>PG/24/11967</t>
  </si>
  <si>
    <t>210173711</t>
  </si>
  <si>
    <t>DFR10410</t>
  </si>
  <si>
    <t>Ammonia reduction</t>
  </si>
  <si>
    <t>RC-CE1224B-8</t>
  </si>
  <si>
    <t>210173737</t>
  </si>
  <si>
    <t>210173739</t>
  </si>
  <si>
    <t>210173756</t>
  </si>
  <si>
    <t>ANR01700</t>
  </si>
  <si>
    <t>p97 &amp; PARP1</t>
  </si>
  <si>
    <t>Ramadan, Prof Kristijan</t>
  </si>
  <si>
    <t>2022.11PR1570</t>
  </si>
  <si>
    <t>210173728</t>
  </si>
  <si>
    <t>210173758</t>
  </si>
  <si>
    <t>210173768</t>
  </si>
  <si>
    <t>210173827</t>
  </si>
  <si>
    <t>210173743</t>
  </si>
  <si>
    <t>#4200570922</t>
  </si>
  <si>
    <t>210173740</t>
  </si>
  <si>
    <t>DFR10110</t>
  </si>
  <si>
    <t>OMS Innovations</t>
  </si>
  <si>
    <t>210173724</t>
  </si>
  <si>
    <t>AZR03390</t>
  </si>
  <si>
    <t>NI  - GutsUK</t>
  </si>
  <si>
    <t>ECR2024_04</t>
  </si>
  <si>
    <t>210173735</t>
  </si>
  <si>
    <t>Pathological Society of Great Britain &amp; Ireland</t>
  </si>
  <si>
    <t>70650</t>
  </si>
  <si>
    <t>210173747</t>
  </si>
  <si>
    <t>H4R03040</t>
  </si>
  <si>
    <t>JSPS CL</t>
  </si>
  <si>
    <t>Cooper, Dr Rosalin</t>
  </si>
  <si>
    <t>JSPS CLG 1023 01</t>
  </si>
  <si>
    <t>210173721</t>
  </si>
  <si>
    <t>AZR03320</t>
  </si>
  <si>
    <t>BHF Fellowship - KC Park</t>
  </si>
  <si>
    <t>Park, Dr Kyung</t>
  </si>
  <si>
    <t>FS/IPBSRF/24/27134</t>
  </si>
  <si>
    <t>210173742</t>
  </si>
  <si>
    <t>H4R02890</t>
  </si>
  <si>
    <t>Royston - Blood Cancer UK 2023</t>
  </si>
  <si>
    <t>Royston, Dr Daniel</t>
  </si>
  <si>
    <t>23012</t>
  </si>
  <si>
    <t>210173762</t>
  </si>
  <si>
    <t>CFR01320</t>
  </si>
  <si>
    <t>A Buchan - Leducq Foundation</t>
  </si>
  <si>
    <t>Buchan, Prof Alastair</t>
  </si>
  <si>
    <t>LFCR Grant Number: 21CVD04</t>
  </si>
  <si>
    <t>210173750</t>
  </si>
  <si>
    <t>210173746</t>
  </si>
  <si>
    <t>210173755</t>
  </si>
  <si>
    <t>210173718</t>
  </si>
  <si>
    <t>210173749</t>
  </si>
  <si>
    <t>210173773</t>
  </si>
  <si>
    <t>BKR01620</t>
  </si>
  <si>
    <t>1950</t>
  </si>
  <si>
    <t>Panzer, Dr Erik</t>
  </si>
  <si>
    <t>URF\R1\201473</t>
  </si>
  <si>
    <t>210173811</t>
  </si>
  <si>
    <t>210173717</t>
  </si>
  <si>
    <t>210173805</t>
  </si>
  <si>
    <t>HFR07410</t>
  </si>
  <si>
    <t>RCF.</t>
  </si>
  <si>
    <t>Achten, Dr Juul</t>
  </si>
  <si>
    <t>RCF25/008</t>
  </si>
  <si>
    <t>210173800</t>
  </si>
  <si>
    <t>210173794</t>
  </si>
  <si>
    <t>GRR00090</t>
  </si>
  <si>
    <t>GCHU DUT</t>
  </si>
  <si>
    <t>Carpenter, Dr Juliet</t>
  </si>
  <si>
    <t>ES/Y010531/1 # IC488210</t>
  </si>
  <si>
    <t>210173776</t>
  </si>
  <si>
    <t>HMR06900</t>
  </si>
  <si>
    <t>BRC DF - Pendlebury</t>
  </si>
  <si>
    <t>Pendlebury, Prof Sarah</t>
  </si>
  <si>
    <t>BRC4Y3supp-20</t>
  </si>
  <si>
    <t>Inflammatory Neuropathies UK</t>
  </si>
  <si>
    <t>126047</t>
  </si>
  <si>
    <t>210173828</t>
  </si>
  <si>
    <t>HMR06710</t>
  </si>
  <si>
    <t>IN award - Johnson</t>
  </si>
  <si>
    <t>Johnson, Miss Claire</t>
  </si>
  <si>
    <t>210173791</t>
  </si>
  <si>
    <t>210173807</t>
  </si>
  <si>
    <t>HFR07420</t>
  </si>
  <si>
    <t>RCF - Belinda</t>
  </si>
  <si>
    <t>RCF25/007</t>
  </si>
  <si>
    <t>210173819</t>
  </si>
  <si>
    <t>ALR03710</t>
  </si>
  <si>
    <t>CF425</t>
  </si>
  <si>
    <t>Human Frontier Science Program Organization</t>
  </si>
  <si>
    <t>8099</t>
  </si>
  <si>
    <t>210173789</t>
  </si>
  <si>
    <t>HJR03280</t>
  </si>
  <si>
    <t>Cristian Soitu HFSP</t>
  </si>
  <si>
    <t>Soitu, Dr Cristian</t>
  </si>
  <si>
    <t>LT000671/2021</t>
  </si>
  <si>
    <t>210173803</t>
  </si>
  <si>
    <t>210173777</t>
  </si>
  <si>
    <t>210173801</t>
  </si>
  <si>
    <t>210173821</t>
  </si>
  <si>
    <t>H6R00900</t>
  </si>
  <si>
    <t>ACST-2</t>
  </si>
  <si>
    <t>Bulbulia, Dr Richard</t>
  </si>
  <si>
    <t>CS/F/23/190067</t>
  </si>
  <si>
    <t>210173780</t>
  </si>
  <si>
    <t>210173806</t>
  </si>
  <si>
    <t>HMR05820</t>
  </si>
  <si>
    <t>MRF Davies</t>
  </si>
  <si>
    <t>Davies, Dr Alexander</t>
  </si>
  <si>
    <t>MRF-RGL-CACP-23-108</t>
  </si>
  <si>
    <t>210173814</t>
  </si>
  <si>
    <t>d- 26/02/2026 email from Gabrielle to Justine &amp; Cem - Thank you for your patience and my sincere apologies for the delays.  Please find attached the 2 invoices:   1. Invoice for the Final Grant Period 01/08/2025 to 30/11/2025.   2.  Invoice for Dr Sara Falcone Maternity Leave cover costs.</t>
  </si>
  <si>
    <t>210173815</t>
  </si>
  <si>
    <t>210173778</t>
  </si>
  <si>
    <t>ANR01630</t>
  </si>
  <si>
    <t>different tumour types</t>
  </si>
  <si>
    <t>Tomlinson, Prof Ian</t>
  </si>
  <si>
    <t>210804/B/18/Z</t>
  </si>
  <si>
    <t>210173823</t>
  </si>
  <si>
    <t>HNR02711</t>
  </si>
  <si>
    <t>IdeAL Yr2</t>
  </si>
  <si>
    <t>5U01AI168655-02</t>
  </si>
  <si>
    <t>210173785</t>
  </si>
  <si>
    <t>GHR CADA R3-015</t>
  </si>
  <si>
    <t>Gloucestershire Partnership NHS Trust</t>
  </si>
  <si>
    <t>12459</t>
  </si>
  <si>
    <t>210173809</t>
  </si>
  <si>
    <t>HFRREX00</t>
  </si>
  <si>
    <t>BOSS</t>
  </si>
  <si>
    <t>Love, Ms. Sharon</t>
  </si>
  <si>
    <t>b- 05/03/20206 email from ap forwarded to Anna - Please find attached invoices to be amended for processing , Please Readdress to : Glos Hospitals NHS Foundation Trust, Gloucestershire Shared Services, Victoria Warehouse</t>
  </si>
  <si>
    <t>HTA project no 05/12/01 #GSS920134</t>
  </si>
  <si>
    <t>210173825</t>
  </si>
  <si>
    <t>DUR00820</t>
  </si>
  <si>
    <t>Management</t>
  </si>
  <si>
    <t>O'Brien, Prof Dominic</t>
  </si>
  <si>
    <t>EP/T001062/1</t>
  </si>
  <si>
    <t>210173831</t>
  </si>
  <si>
    <t>210173797</t>
  </si>
  <si>
    <t>210173837</t>
  </si>
  <si>
    <t>BZR07070</t>
  </si>
  <si>
    <t>PHASED IN</t>
  </si>
  <si>
    <t>Butler, Prof Christopher</t>
  </si>
  <si>
    <t>NIHR158312</t>
  </si>
  <si>
    <t>210173838</t>
  </si>
  <si>
    <t>AVR02780</t>
  </si>
  <si>
    <t>PRiley BHF PG (Renewal) Oct20</t>
  </si>
  <si>
    <t>RG/F/20/110030</t>
  </si>
  <si>
    <t>210173843</t>
  </si>
  <si>
    <t>BZR07390</t>
  </si>
  <si>
    <t>RCF award to BOB ICB for 25/26</t>
  </si>
  <si>
    <t>d- 26/02/2026 email from Julie Barker - Whilst we haven’t yet received the final quarterly tranche of RCF funding for 25/26, would it be possible to let me have your invoice for £183,378 and we can put it through as soon as we have confirmation we have received it.  Please find attached the award letter for reference. Any questions please do get back to me as soon as possible. As you may be aware, we are transferring our Finance system in April and we would like to have as much processed in advance as possible.  27/02/2026 email from Donna to Julie - This invoice is in the queue to be approved. It should be with you on Monday.</t>
  </si>
  <si>
    <t>210173847</t>
  </si>
  <si>
    <t>210173845</t>
  </si>
  <si>
    <t>HBR05670</t>
  </si>
  <si>
    <t>Elsheikh - NIHR RfPB</t>
  </si>
  <si>
    <t>Elsheikh, Mr Alguili</t>
  </si>
  <si>
    <t>NIHR207229 523201</t>
  </si>
  <si>
    <t>210173850</t>
  </si>
  <si>
    <t>210173835</t>
  </si>
  <si>
    <t>HNR03380</t>
  </si>
  <si>
    <t>Marburg Trial</t>
  </si>
  <si>
    <t>d- Gavin</t>
  </si>
  <si>
    <t>10084641</t>
  </si>
  <si>
    <t>European Clinical Research Alliance on Infectious Diseases (ECRAID)</t>
  </si>
  <si>
    <t>111380</t>
  </si>
  <si>
    <t>210173839</t>
  </si>
  <si>
    <t>BZR06280</t>
  </si>
  <si>
    <t>ECRAID-SANOFI - WO2</t>
  </si>
  <si>
    <t>210173834</t>
  </si>
  <si>
    <t>A4R00150</t>
  </si>
  <si>
    <t>Mulroney_BHF_Immediate</t>
  </si>
  <si>
    <t>Mulroney, Dr Thomas</t>
  </si>
  <si>
    <t>FS/IPBSRF/24/27129</t>
  </si>
  <si>
    <t>210173854</t>
  </si>
  <si>
    <t>210173848</t>
  </si>
  <si>
    <t>210173849</t>
  </si>
  <si>
    <t>210173841</t>
  </si>
  <si>
    <t>CBR00690</t>
  </si>
  <si>
    <t>EcoEvoPhages</t>
  </si>
  <si>
    <t>EP/Y029585/1</t>
  </si>
  <si>
    <t>Churches Conservation Trust</t>
  </si>
  <si>
    <t>47696</t>
  </si>
  <si>
    <t>210173842</t>
  </si>
  <si>
    <t>MQR01051</t>
  </si>
  <si>
    <t>Smets Harrison InnovateUK2021.</t>
  </si>
  <si>
    <t>10021427</t>
  </si>
  <si>
    <t>Detroit Zoological Society</t>
  </si>
  <si>
    <t>83086</t>
  </si>
  <si>
    <t>210173859</t>
  </si>
  <si>
    <t>ATR04190</t>
  </si>
  <si>
    <t>African Conservation</t>
  </si>
  <si>
    <t>Montgomery, Prof Robert</t>
  </si>
  <si>
    <t>210173846</t>
  </si>
  <si>
    <t>210173856</t>
  </si>
  <si>
    <t>Lozano-Perez, Prof Sergio</t>
  </si>
  <si>
    <t>210173836</t>
  </si>
  <si>
    <t>DFR06160</t>
  </si>
  <si>
    <t>EPSRC Fellowship.</t>
  </si>
  <si>
    <t>Fells, Dr Julian</t>
  </si>
  <si>
    <t>EP/T00326X/1</t>
  </si>
  <si>
    <t>210173851</t>
  </si>
  <si>
    <t>HBR05780</t>
  </si>
  <si>
    <t>J Satsangi- Helmsley</t>
  </si>
  <si>
    <t>IN129031073-940003</t>
  </si>
  <si>
    <t>210174159</t>
  </si>
  <si>
    <t>BAR00930</t>
  </si>
  <si>
    <t>ReMED</t>
  </si>
  <si>
    <t>Stremlau, Prof Nicole</t>
  </si>
  <si>
    <t>10069543</t>
  </si>
  <si>
    <t>210173896</t>
  </si>
  <si>
    <t>H5R02420</t>
  </si>
  <si>
    <t>NIHR-BRC4 Fellowship</t>
  </si>
  <si>
    <t>Mentzer, Dr Alexander</t>
  </si>
  <si>
    <t>BRC4Y3/ACD-18</t>
  </si>
  <si>
    <t>210173897</t>
  </si>
  <si>
    <t>CSR00830</t>
  </si>
  <si>
    <t>health-related claims</t>
  </si>
  <si>
    <t>RE25184</t>
  </si>
  <si>
    <t>210173910</t>
  </si>
  <si>
    <t>210173888</t>
  </si>
  <si>
    <t>HQR03760</t>
  </si>
  <si>
    <t>IN-PULSE</t>
  </si>
  <si>
    <t>Brand, Miss Bodyl</t>
  </si>
  <si>
    <t>N/A #ASE171879</t>
  </si>
  <si>
    <t>210174086</t>
  </si>
  <si>
    <t>Public Digital Limited</t>
  </si>
  <si>
    <t>124011</t>
  </si>
  <si>
    <t>210173878</t>
  </si>
  <si>
    <t>LER01710</t>
  </si>
  <si>
    <t>Test and Learn</t>
  </si>
  <si>
    <t>210173871</t>
  </si>
  <si>
    <t>DFR11210</t>
  </si>
  <si>
    <t>FY26-052 Thermal shock</t>
  </si>
  <si>
    <t>Hermann, Mr Tobias</t>
  </si>
  <si>
    <t>50000504#40164852</t>
  </si>
  <si>
    <t>210173924</t>
  </si>
  <si>
    <t>HQR03920</t>
  </si>
  <si>
    <t>NIHR MH-TRC Pump Priming</t>
  </si>
  <si>
    <t>Murphy, Dr Susannah</t>
  </si>
  <si>
    <t>NIHR PO ASE164660</t>
  </si>
  <si>
    <t>Three Cliffs Geomechanical Analysis Limited</t>
  </si>
  <si>
    <t>127230</t>
  </si>
  <si>
    <t>210173872</t>
  </si>
  <si>
    <t>DGR02470</t>
  </si>
  <si>
    <t>2508_ThreeCliffs_MKendall</t>
  </si>
  <si>
    <t>210173867</t>
  </si>
  <si>
    <t>210173876</t>
  </si>
  <si>
    <t>HJR03560</t>
  </si>
  <si>
    <t>RCSE - Bricogne 2025-27</t>
  </si>
  <si>
    <t>PO-127832</t>
  </si>
  <si>
    <t>TimeTrace Labs Ltd</t>
  </si>
  <si>
    <t>127587</t>
  </si>
  <si>
    <t>210173877</t>
  </si>
  <si>
    <t>HMR06920</t>
  </si>
  <si>
    <t>TTL - Antoniades</t>
  </si>
  <si>
    <t>Jacobs Foundation (Jacobs Stiftung)</t>
  </si>
  <si>
    <t>48912</t>
  </si>
  <si>
    <t>210173894</t>
  </si>
  <si>
    <t>LER01540</t>
  </si>
  <si>
    <t>Jacobs</t>
  </si>
  <si>
    <t>2023-1510-00</t>
  </si>
  <si>
    <t>103873</t>
  </si>
  <si>
    <t>210173865</t>
  </si>
  <si>
    <t>Innovative Finance</t>
  </si>
  <si>
    <t>210173925</t>
  </si>
  <si>
    <t>CSR00730</t>
  </si>
  <si>
    <t>BRAID</t>
  </si>
  <si>
    <t>Lucivero, Dr Federica</t>
  </si>
  <si>
    <t>WT13747096/ BFC028 #UOE1424743</t>
  </si>
  <si>
    <t>210173874</t>
  </si>
  <si>
    <t>DNasteska_RD Lawrence_Nov 22</t>
  </si>
  <si>
    <t>Nasteska, Dr Daniela</t>
  </si>
  <si>
    <t>23/0006509</t>
  </si>
  <si>
    <t>Rosetrees CIO</t>
  </si>
  <si>
    <t>42657</t>
  </si>
  <si>
    <t>210173864</t>
  </si>
  <si>
    <t>HMR04590</t>
  </si>
  <si>
    <t>Rosetrees - Tan</t>
  </si>
  <si>
    <t>Tan, Prof Huiling</t>
  </si>
  <si>
    <t>PGL21-10115</t>
  </si>
  <si>
    <t>210173875</t>
  </si>
  <si>
    <t>DHodson_DUK_Grand Challenge</t>
  </si>
  <si>
    <t>23/0006627</t>
  </si>
  <si>
    <t>210173902</t>
  </si>
  <si>
    <t>CVR01300</t>
  </si>
  <si>
    <t>NIHR CPRU 2024</t>
  </si>
  <si>
    <t>36525</t>
  </si>
  <si>
    <t>210173990</t>
  </si>
  <si>
    <t>83784</t>
  </si>
  <si>
    <t>210173869</t>
  </si>
  <si>
    <t>Podium Institute</t>
  </si>
  <si>
    <t>Coussios, Prof Constantin</t>
  </si>
  <si>
    <t>210173895</t>
  </si>
  <si>
    <t>AXR01060</t>
  </si>
  <si>
    <t>The Digital ‘Anon’</t>
  </si>
  <si>
    <t>Phillips, Dr Joshua</t>
  </si>
  <si>
    <t>ECF-2022-602</t>
  </si>
  <si>
    <t>210173873</t>
  </si>
  <si>
    <t>Beyond Celiac</t>
  </si>
  <si>
    <t>80073</t>
  </si>
  <si>
    <t>210173908</t>
  </si>
  <si>
    <t>HBR04860</t>
  </si>
  <si>
    <t>M Fitzpatrick - Beyond Celiac</t>
  </si>
  <si>
    <t>Fitzpatrick, Dr Michael</t>
  </si>
  <si>
    <t>210173870</t>
  </si>
  <si>
    <t>MURI AWE Part 2</t>
  </si>
  <si>
    <t>N/A#40063935</t>
  </si>
  <si>
    <t>LSST Corporation</t>
  </si>
  <si>
    <t>92884</t>
  </si>
  <si>
    <t>210173928</t>
  </si>
  <si>
    <t>DBR01120</t>
  </si>
  <si>
    <t>LSSTC F/ship Nov 21 AM</t>
  </si>
  <si>
    <t>2021-62192-CF-2-Mootoovaloo</t>
  </si>
  <si>
    <t>Dutch Research Council</t>
  </si>
  <si>
    <t>103833</t>
  </si>
  <si>
    <t>210173905</t>
  </si>
  <si>
    <t>DQR00270</t>
  </si>
  <si>
    <t>Synthetic tissue from 3D-print</t>
  </si>
  <si>
    <t>210173999</t>
  </si>
  <si>
    <t>210173939</t>
  </si>
  <si>
    <t>B5R00840</t>
  </si>
  <si>
    <t>GPCR-cholesterol interactions</t>
  </si>
  <si>
    <t>PA8386</t>
  </si>
  <si>
    <t>210173992</t>
  </si>
  <si>
    <t>EP/Z533208/1 #900001178169</t>
  </si>
  <si>
    <t>210173978</t>
  </si>
  <si>
    <t>HJR02791</t>
  </si>
  <si>
    <t>GPS MDX Health</t>
  </si>
  <si>
    <t>MDX Health Protocol 09-078</t>
  </si>
  <si>
    <t>Ecole Polytechnique Federale de Lausanne (EPFL)</t>
  </si>
  <si>
    <t>49347</t>
  </si>
  <si>
    <t>210173934</t>
  </si>
  <si>
    <t>HMR06860</t>
  </si>
  <si>
    <t>SNSF Dupret lead Lausanne</t>
  </si>
  <si>
    <t>Dupret, Dr. David (Clinical Ne</t>
  </si>
  <si>
    <t>10.004.245</t>
  </si>
  <si>
    <t>210173982</t>
  </si>
  <si>
    <t>HBR05650</t>
  </si>
  <si>
    <t>PID 18044 ARTEMISIA</t>
  </si>
  <si>
    <t>210173995</t>
  </si>
  <si>
    <t>HCR02190</t>
  </si>
  <si>
    <t>EngBio Hub</t>
  </si>
  <si>
    <t>Douglas, Dr Alexander</t>
  </si>
  <si>
    <t>BB/Y008545/1</t>
  </si>
  <si>
    <t>210174002</t>
  </si>
  <si>
    <t>210173932</t>
  </si>
  <si>
    <t>210173977</t>
  </si>
  <si>
    <t>210173975</t>
  </si>
  <si>
    <t>210173938</t>
  </si>
  <si>
    <t>210173981</t>
  </si>
  <si>
    <t>315221 BioNiche (EP/X036049/1)#20551911</t>
  </si>
  <si>
    <t>210173987</t>
  </si>
  <si>
    <t>210173983</t>
  </si>
  <si>
    <t>HSR02050</t>
  </si>
  <si>
    <t>BHF Project Grant.</t>
  </si>
  <si>
    <t>Douglas, Dr Gillian</t>
  </si>
  <si>
    <t>PG/24/11701</t>
  </si>
  <si>
    <t>Agence de l'environnement et de la maîtrise de l'énergie</t>
  </si>
  <si>
    <t>125187</t>
  </si>
  <si>
    <t>210174000</t>
  </si>
  <si>
    <t>CBR01800</t>
  </si>
  <si>
    <t>INRAE</t>
  </si>
  <si>
    <t>Poore, Dr Joseph</t>
  </si>
  <si>
    <t>Jeremy Coller Foundation</t>
  </si>
  <si>
    <t>126676</t>
  </si>
  <si>
    <t>210173993</t>
  </si>
  <si>
    <t>LCR00261</t>
  </si>
  <si>
    <t>Food Systems</t>
  </si>
  <si>
    <t>Behrens, Dr Paul</t>
  </si>
  <si>
    <t>210173933</t>
  </si>
  <si>
    <t>DKR01090</t>
  </si>
  <si>
    <t>Snaith RS IE</t>
  </si>
  <si>
    <t>IEC\R2\202294</t>
  </si>
  <si>
    <t>210173989</t>
  </si>
  <si>
    <t>H4R02220</t>
  </si>
  <si>
    <t>WIMM - Psaila -CRUK TEP-eDx-21</t>
  </si>
  <si>
    <t>EDDCPJT\100003</t>
  </si>
  <si>
    <t>210173979</t>
  </si>
  <si>
    <t>210173980</t>
  </si>
  <si>
    <t>210173984</t>
  </si>
  <si>
    <t>DFR08690</t>
  </si>
  <si>
    <t>HYDRA Icing System</t>
  </si>
  <si>
    <t>1500-00739111-2</t>
  </si>
  <si>
    <t>210173985</t>
  </si>
  <si>
    <t>THIS. Institute</t>
  </si>
  <si>
    <t>76839</t>
  </si>
  <si>
    <t>210173998</t>
  </si>
  <si>
    <t>BZR05690</t>
  </si>
  <si>
    <t>Improving inequalities</t>
  </si>
  <si>
    <t>Albury, Dr Charlotte</t>
  </si>
  <si>
    <t>1713</t>
  </si>
  <si>
    <t>210173935</t>
  </si>
  <si>
    <t>BWR01450</t>
  </si>
  <si>
    <t>PhytoAPP</t>
  </si>
  <si>
    <t>101007642</t>
  </si>
  <si>
    <t>210173937</t>
  </si>
  <si>
    <t>MATH_PA0901#MA5034512</t>
  </si>
  <si>
    <t>210173991</t>
  </si>
  <si>
    <t>8078</t>
  </si>
  <si>
    <t>210173930</t>
  </si>
  <si>
    <t>Integrating finance II</t>
  </si>
  <si>
    <t>Ranger, Dr Nicola</t>
  </si>
  <si>
    <t>210173986</t>
  </si>
  <si>
    <t>BKR02990</t>
  </si>
  <si>
    <t>CoSeC / CCP-DCM</t>
  </si>
  <si>
    <t>Farrell, Prof Patrick</t>
  </si>
  <si>
    <t>210174049</t>
  </si>
  <si>
    <t>210174025</t>
  </si>
  <si>
    <t>210174008</t>
  </si>
  <si>
    <t>BZR07650</t>
  </si>
  <si>
    <t>e-Direct</t>
  </si>
  <si>
    <t>Cooper, Mrs Rosemary</t>
  </si>
  <si>
    <t>NIHR304983</t>
  </si>
  <si>
    <t>210174036</t>
  </si>
  <si>
    <t>121637</t>
  </si>
  <si>
    <t>210174005</t>
  </si>
  <si>
    <t>DFR11880</t>
  </si>
  <si>
    <t>Nigeria UK PACT 2025</t>
  </si>
  <si>
    <t>210174031</t>
  </si>
  <si>
    <t>DFR11380</t>
  </si>
  <si>
    <t>Encode William Bolton</t>
  </si>
  <si>
    <t>210174060</t>
  </si>
  <si>
    <t>ACR01870</t>
  </si>
  <si>
    <t>CRAFT</t>
  </si>
  <si>
    <t>RG.GEOG.132630.001</t>
  </si>
  <si>
    <t>210174030</t>
  </si>
  <si>
    <t>GLUTRONICS</t>
  </si>
  <si>
    <t>RC-CE1247</t>
  </si>
  <si>
    <t>210174027</t>
  </si>
  <si>
    <t>DBR01630</t>
  </si>
  <si>
    <t>DARA3</t>
  </si>
  <si>
    <t>Fender, Prof Robert</t>
  </si>
  <si>
    <t>ST/Y006100/1 # RG.PHAS.131828</t>
  </si>
  <si>
    <t>210174077</t>
  </si>
  <si>
    <t>AVR03770</t>
  </si>
  <si>
    <t>MS_FORTIFY_ERC/EPSRC_Aston</t>
  </si>
  <si>
    <t>EP/Y023684/1 # 56669</t>
  </si>
  <si>
    <t>210174024</t>
  </si>
  <si>
    <t>210174044</t>
  </si>
  <si>
    <t>NIHR206260 # Contract 8240059</t>
  </si>
  <si>
    <t>210174028</t>
  </si>
  <si>
    <t>210174062</t>
  </si>
  <si>
    <t>A5R00480</t>
  </si>
  <si>
    <t>MStevens_ARIA_F.Ship_KHemker</t>
  </si>
  <si>
    <t>210174014</t>
  </si>
  <si>
    <t>210174050</t>
  </si>
  <si>
    <t>GBS .</t>
  </si>
  <si>
    <t>MR/X011100/1 # 13681-10</t>
  </si>
  <si>
    <t>210174006</t>
  </si>
  <si>
    <t>BZR06720</t>
  </si>
  <si>
    <t>SP-EU</t>
  </si>
  <si>
    <t>101155873</t>
  </si>
  <si>
    <t>210174019</t>
  </si>
  <si>
    <t>210174048</t>
  </si>
  <si>
    <t>210174075</t>
  </si>
  <si>
    <t>CUR01420</t>
  </si>
  <si>
    <t>RefugeeIntegrationEthiopia.</t>
  </si>
  <si>
    <t>SPI-23-01931</t>
  </si>
  <si>
    <t>210174012</t>
  </si>
  <si>
    <t>210174039</t>
  </si>
  <si>
    <t>210174040</t>
  </si>
  <si>
    <t>210174045</t>
  </si>
  <si>
    <t>210174016</t>
  </si>
  <si>
    <t>210174029</t>
  </si>
  <si>
    <t>210174038</t>
  </si>
  <si>
    <t>210174034</t>
  </si>
  <si>
    <t>210174052</t>
  </si>
  <si>
    <t>HQR03410</t>
  </si>
  <si>
    <t>ARUK Pilot</t>
  </si>
  <si>
    <t>Gould, Mr Nethaniel</t>
  </si>
  <si>
    <t>ARUK-PPG2023B-022</t>
  </si>
  <si>
    <t>210174009</t>
  </si>
  <si>
    <t>CBR01040</t>
  </si>
  <si>
    <t>EAGLE</t>
  </si>
  <si>
    <t>Ostergaard, Prof Lars</t>
  </si>
  <si>
    <t>BB/W01923X/2</t>
  </si>
  <si>
    <t>210174042</t>
  </si>
  <si>
    <t>210174053</t>
  </si>
  <si>
    <t>210174043</t>
  </si>
  <si>
    <t>210174020</t>
  </si>
  <si>
    <t>210174022</t>
  </si>
  <si>
    <t>210174010</t>
  </si>
  <si>
    <t>210174051</t>
  </si>
  <si>
    <t>HNR03632</t>
  </si>
  <si>
    <t>CHIMoB-C WP3</t>
  </si>
  <si>
    <t>PA8997</t>
  </si>
  <si>
    <t>210174032</t>
  </si>
  <si>
    <t>DFR11390</t>
  </si>
  <si>
    <t>Encode Mariya Hendriksen</t>
  </si>
  <si>
    <t>Parker Jones, Dr Oiwihawaiioka</t>
  </si>
  <si>
    <t>210174021</t>
  </si>
  <si>
    <t>210174037</t>
  </si>
  <si>
    <t>DMR02520</t>
  </si>
  <si>
    <t>VITACOG with Oslo</t>
  </si>
  <si>
    <t>Mccullagh, Prof James</t>
  </si>
  <si>
    <t>Collaboration, NFR 250969</t>
  </si>
  <si>
    <t>210174026</t>
  </si>
  <si>
    <t>210174070</t>
  </si>
  <si>
    <t>CFR01450</t>
  </si>
  <si>
    <t>J Bornschein - MRC</t>
  </si>
  <si>
    <t>Bornschein, Jan</t>
  </si>
  <si>
    <t>MR/W029960/1</t>
  </si>
  <si>
    <t>210174018</t>
  </si>
  <si>
    <t>210174041</t>
  </si>
  <si>
    <t>210174004</t>
  </si>
  <si>
    <t>210174074</t>
  </si>
  <si>
    <t>HMR05240</t>
  </si>
  <si>
    <t>Tofaris MJFF</t>
  </si>
  <si>
    <t>MJFF-023878</t>
  </si>
  <si>
    <t>6268</t>
  </si>
  <si>
    <t>210174023</t>
  </si>
  <si>
    <t>CQR02460</t>
  </si>
  <si>
    <t>Centre fro Early Maths.</t>
  </si>
  <si>
    <t>ES/W002914/1#500274513</t>
  </si>
  <si>
    <t>210174082</t>
  </si>
  <si>
    <t>210174047</t>
  </si>
  <si>
    <t>210174080</t>
  </si>
  <si>
    <t>DKR01390</t>
  </si>
  <si>
    <t>VALHALLA</t>
  </si>
  <si>
    <t>10055014</t>
  </si>
  <si>
    <t>210174033</t>
  </si>
  <si>
    <t>210174015</t>
  </si>
  <si>
    <t>210174035</t>
  </si>
  <si>
    <t>210174046</t>
  </si>
  <si>
    <t>210174017</t>
  </si>
  <si>
    <t>210174063</t>
  </si>
  <si>
    <t>210174098</t>
  </si>
  <si>
    <t>210174094</t>
  </si>
  <si>
    <t>DJR03030</t>
  </si>
  <si>
    <t>IMPRESS..</t>
  </si>
  <si>
    <t>10071427</t>
  </si>
  <si>
    <t>210174093</t>
  </si>
  <si>
    <t>DFR07431</t>
  </si>
  <si>
    <t>COCHE renewal 2025</t>
  </si>
  <si>
    <t>Parenting for Lifelong Health</t>
  </si>
  <si>
    <t>108899</t>
  </si>
  <si>
    <t>210174135</t>
  </si>
  <si>
    <t>CVR01330</t>
  </si>
  <si>
    <t>F Gardner - THSN</t>
  </si>
  <si>
    <t>Gardner, Prof Frances</t>
  </si>
  <si>
    <t>210174127</t>
  </si>
  <si>
    <t>HJR03630</t>
  </si>
  <si>
    <t>ELC-1</t>
  </si>
  <si>
    <t>NIHR208501 - 583914</t>
  </si>
  <si>
    <t>Ferring Pharmaceuticals Inc</t>
  </si>
  <si>
    <t>75366</t>
  </si>
  <si>
    <t>210174131</t>
  </si>
  <si>
    <t>HBR05810</t>
  </si>
  <si>
    <t>SPECTRAL Study</t>
  </si>
  <si>
    <t>210174145</t>
  </si>
  <si>
    <t>210174090</t>
  </si>
  <si>
    <t>b- 06/03/2026 email from Jonasus to Danielle - Apologies with the delay. Please find the invoice to 31-Jan-2026 attached. The upcoming invoice to 28-Feb-2026 is in progress. I expect the Feb invoice to be sent out this month.  06/03/2026 email from Danielle to Jonasus -  Thanks so much for sending this!  We do need a revision to this invoice to align the dates of billing with the award dates by project year.  Could you please send a revised invoice for the period billed through year 2 (25 September 2025), and then a second invoice for the new year of performance (26 September 2025)?</t>
  </si>
  <si>
    <t>210174126</t>
  </si>
  <si>
    <t>HJR03290</t>
  </si>
  <si>
    <t>Ian Mills Rosetrees Trust 2024</t>
  </si>
  <si>
    <t>PGL24/100159</t>
  </si>
  <si>
    <t>210174097</t>
  </si>
  <si>
    <t>DGR02300</t>
  </si>
  <si>
    <t>2502_FCDO_RWalker</t>
  </si>
  <si>
    <t>400156-405</t>
  </si>
  <si>
    <t>Forum for Agricultural Research in Africa</t>
  </si>
  <si>
    <t>116716</t>
  </si>
  <si>
    <t>210174142</t>
  </si>
  <si>
    <t>AFR02110</t>
  </si>
  <si>
    <t>FARA + F4F</t>
  </si>
  <si>
    <t>Zurek, Dr Monika</t>
  </si>
  <si>
    <t>European Office Aerospace Research &amp;  Development</t>
  </si>
  <si>
    <t>4048</t>
  </si>
  <si>
    <t>210174125</t>
  </si>
  <si>
    <t>DFR11410</t>
  </si>
  <si>
    <t>AFOSR</t>
  </si>
  <si>
    <t>Thomas, Prof Sarah</t>
  </si>
  <si>
    <t>0</t>
  </si>
  <si>
    <t>210174083</t>
  </si>
  <si>
    <t>H7R01440</t>
  </si>
  <si>
    <t>THill_DUK_RD Lawrence_Oct24</t>
  </si>
  <si>
    <t>Hill, Mr Thomas</t>
  </si>
  <si>
    <t>25/0006838</t>
  </si>
  <si>
    <t>210174084</t>
  </si>
  <si>
    <t>HJR02540</t>
  </si>
  <si>
    <t>geneTIGA</t>
  </si>
  <si>
    <t>10041031</t>
  </si>
  <si>
    <t>210174123</t>
  </si>
  <si>
    <t>Fallon, Prof Maurice</t>
  </si>
  <si>
    <t>210174133</t>
  </si>
  <si>
    <t>CSR00630</t>
  </si>
  <si>
    <t>Cancer sandpit</t>
  </si>
  <si>
    <t>Papiez, Dr Bartlomiej</t>
  </si>
  <si>
    <t>RE21728 / 60534667</t>
  </si>
  <si>
    <t>210174085</t>
  </si>
  <si>
    <t>EQR00150</t>
  </si>
  <si>
    <t>TaraStubbs-BritAc-Poetry</t>
  </si>
  <si>
    <t>Continuing Education (Central)</t>
  </si>
  <si>
    <t>Stubbs, Prof Tara</t>
  </si>
  <si>
    <t>IF2223\230153</t>
  </si>
  <si>
    <t>210174129</t>
  </si>
  <si>
    <t>B2R00342</t>
  </si>
  <si>
    <t>PMRT 3</t>
  </si>
  <si>
    <t>PO571790-10</t>
  </si>
  <si>
    <t>210174096</t>
  </si>
  <si>
    <t>ACR01470</t>
  </si>
  <si>
    <t>CHANCE</t>
  </si>
  <si>
    <t>Rose, Prof Gillian</t>
  </si>
  <si>
    <t>ES/X005348/1</t>
  </si>
  <si>
    <t>210174091</t>
  </si>
  <si>
    <t>HSR02190</t>
  </si>
  <si>
    <t>Intermediate Fellowship</t>
  </si>
  <si>
    <t>Lewis, Dr Andrew</t>
  </si>
  <si>
    <t>FS/ICRF/24/26111</t>
  </si>
  <si>
    <t>210174092</t>
  </si>
  <si>
    <t>210174099</t>
  </si>
  <si>
    <t>210174155</t>
  </si>
  <si>
    <t>DFR11360</t>
  </si>
  <si>
    <t>FAST</t>
  </si>
  <si>
    <t>FIRG091 #UOB663464</t>
  </si>
  <si>
    <t>210174182</t>
  </si>
  <si>
    <t>210174153</t>
  </si>
  <si>
    <t>210174167</t>
  </si>
  <si>
    <t>210174150</t>
  </si>
  <si>
    <t>DFR11590</t>
  </si>
  <si>
    <t>EQUIFy</t>
  </si>
  <si>
    <t>Vogel, Dr Christopher</t>
  </si>
  <si>
    <t>NE/Z504099/1</t>
  </si>
  <si>
    <t>Rainwater Charitable Foundation</t>
  </si>
  <si>
    <t>92104</t>
  </si>
  <si>
    <t>210174148</t>
  </si>
  <si>
    <t>CMR00152</t>
  </si>
  <si>
    <t>USP11 supplement</t>
  </si>
  <si>
    <t>210174164</t>
  </si>
  <si>
    <t>210174151</t>
  </si>
  <si>
    <t>YSR00010</t>
  </si>
  <si>
    <t>AISN</t>
  </si>
  <si>
    <t>Uehiro Institute</t>
  </si>
  <si>
    <t>Savulescu, Prof Julian</t>
  </si>
  <si>
    <t>10076589</t>
  </si>
  <si>
    <t>210174162</t>
  </si>
  <si>
    <t>210174181</t>
  </si>
  <si>
    <t>210174160</t>
  </si>
  <si>
    <t>DFR10840</t>
  </si>
  <si>
    <t>3DAniMat (EPSRC-JSPS)</t>
  </si>
  <si>
    <t>UKRI658</t>
  </si>
  <si>
    <t>210174169</t>
  </si>
  <si>
    <t>HER01830</t>
  </si>
  <si>
    <t>SESNOPAD</t>
  </si>
  <si>
    <t>Demetriou, Miss Lysimachi</t>
  </si>
  <si>
    <t>10141269</t>
  </si>
  <si>
    <t>210174161</t>
  </si>
  <si>
    <t>Hainan Branch of the Institute of Medicinal Plant Development</t>
  </si>
  <si>
    <t>114005</t>
  </si>
  <si>
    <t>210174163</t>
  </si>
  <si>
    <t>CNY</t>
  </si>
  <si>
    <t>AVR03590</t>
  </si>
  <si>
    <t>DLi_Hainan_Agarwood Oil</t>
  </si>
  <si>
    <t>Li, Dr Dan</t>
  </si>
  <si>
    <t>GHYF2024005</t>
  </si>
  <si>
    <t>Glox Therapeutics Limited</t>
  </si>
  <si>
    <t>105233</t>
  </si>
  <si>
    <t>210174166</t>
  </si>
  <si>
    <t>ALR03040</t>
  </si>
  <si>
    <t>Glox Therapeutics, JUNE 2023</t>
  </si>
  <si>
    <t>210174174</t>
  </si>
  <si>
    <t>210174158</t>
  </si>
  <si>
    <t>HCR01621</t>
  </si>
  <si>
    <t>COVID-19 Phase 1/2/3.</t>
  </si>
  <si>
    <t>COV19 OxfordVaccine-01# 547512</t>
  </si>
  <si>
    <t>210174170</t>
  </si>
  <si>
    <t>Innovative Vector Control Consortium</t>
  </si>
  <si>
    <t>82610</t>
  </si>
  <si>
    <t>210174165</t>
  </si>
  <si>
    <t>ATR03790</t>
  </si>
  <si>
    <t>ATSB</t>
  </si>
  <si>
    <t>Willis, Prof Katherine</t>
  </si>
  <si>
    <t>POIV000041</t>
  </si>
  <si>
    <t>210174146</t>
  </si>
  <si>
    <t>DFR07590</t>
  </si>
  <si>
    <t>MINT (NIA)</t>
  </si>
  <si>
    <t>EP/V048082/1</t>
  </si>
  <si>
    <t>210174149</t>
  </si>
  <si>
    <t>BAR00860</t>
  </si>
  <si>
    <t>REALM</t>
  </si>
  <si>
    <t>Morrison, Dr Michael</t>
  </si>
  <si>
    <t>10061921</t>
  </si>
  <si>
    <t>210174157</t>
  </si>
  <si>
    <t>AER01630</t>
  </si>
  <si>
    <t>MORE</t>
  </si>
  <si>
    <t>10063718</t>
  </si>
  <si>
    <t>210174175</t>
  </si>
  <si>
    <t>HQR03020</t>
  </si>
  <si>
    <t>CRiB2</t>
  </si>
  <si>
    <t>Harrison, Prof Paul</t>
  </si>
  <si>
    <t>NIHR132619 # 60555537</t>
  </si>
  <si>
    <t>210174147</t>
  </si>
  <si>
    <t>AFR01730</t>
  </si>
  <si>
    <t>CATALYSE</t>
  </si>
  <si>
    <t>10047417</t>
  </si>
  <si>
    <t>210174168</t>
  </si>
  <si>
    <t>ATR04670</t>
  </si>
  <si>
    <t>Climate change- species range</t>
  </si>
  <si>
    <t>Terry, Dr James</t>
  </si>
  <si>
    <t>ECF-2022-666</t>
  </si>
  <si>
    <t>210174173</t>
  </si>
  <si>
    <t>210174154</t>
  </si>
  <si>
    <t>210174171</t>
  </si>
  <si>
    <t>HQR03250</t>
  </si>
  <si>
    <t>Outcomes in Covid-19 pandemic</t>
  </si>
  <si>
    <t>1RF1MH134638-01</t>
  </si>
  <si>
    <t>210174156</t>
  </si>
  <si>
    <t>DFR11330</t>
  </si>
  <si>
    <t>Skilled motor control</t>
  </si>
  <si>
    <t>210174222</t>
  </si>
  <si>
    <t>CH/4981761#4981761</t>
  </si>
  <si>
    <t>210174229</t>
  </si>
  <si>
    <t>210174193</t>
  </si>
  <si>
    <t>HNR04230</t>
  </si>
  <si>
    <t>Ferreira - Pfizer Set up</t>
  </si>
  <si>
    <t>210174230</t>
  </si>
  <si>
    <t>Ecorys UK Limited</t>
  </si>
  <si>
    <t>80793</t>
  </si>
  <si>
    <t>210174225</t>
  </si>
  <si>
    <t>CVR01390</t>
  </si>
  <si>
    <t>J Barlow - ECORYS</t>
  </si>
  <si>
    <t>210174194</t>
  </si>
  <si>
    <t>DFR09821</t>
  </si>
  <si>
    <t>FI: LiSTAR: Transfer Y2</t>
  </si>
  <si>
    <t>FIRG058</t>
  </si>
  <si>
    <t>Juvenile Diabetes Research Foundation</t>
  </si>
  <si>
    <t>4033</t>
  </si>
  <si>
    <t>210174220</t>
  </si>
  <si>
    <t>H7R01320</t>
  </si>
  <si>
    <t>Transcrip</t>
  </si>
  <si>
    <t>1-SGA-2024-0001</t>
  </si>
  <si>
    <t>210174226</t>
  </si>
  <si>
    <t>AER01720</t>
  </si>
  <si>
    <t>ISCA-MRC-UKRI-Humble-Brick</t>
  </si>
  <si>
    <t>MR/Z505742/2</t>
  </si>
  <si>
    <t>210174217</t>
  </si>
  <si>
    <t>210174189</t>
  </si>
  <si>
    <t>B9R06490</t>
  </si>
  <si>
    <t>Viet-Yacoub-ImperialCDA</t>
  </si>
  <si>
    <t>PA6177#4982261</t>
  </si>
  <si>
    <t>Novo Nordisk Ltd</t>
  </si>
  <si>
    <t>4944</t>
  </si>
  <si>
    <t>210174205</t>
  </si>
  <si>
    <t>HSR01940</t>
  </si>
  <si>
    <t>Zeus Trial</t>
  </si>
  <si>
    <t>PID 15754</t>
  </si>
  <si>
    <t>210174196</t>
  </si>
  <si>
    <t>Centers for Disease Control and Prevention</t>
  </si>
  <si>
    <t>48370</t>
  </si>
  <si>
    <t>210174227</t>
  </si>
  <si>
    <t>B9R05610</t>
  </si>
  <si>
    <t>Viet-Hamers-CDC-39IND</t>
  </si>
  <si>
    <t>6 U01GH002332-01-03</t>
  </si>
  <si>
    <t>210174184</t>
  </si>
  <si>
    <t>210174228</t>
  </si>
  <si>
    <t>Stanbury, Mrs Kayleigh</t>
  </si>
  <si>
    <t>210174212</t>
  </si>
  <si>
    <t>HCR02290</t>
  </si>
  <si>
    <t>BactiVac Onofrio</t>
  </si>
  <si>
    <t>Onofrio, Ms Ilaria</t>
  </si>
  <si>
    <t>210174231</t>
  </si>
  <si>
    <t>ET</t>
  </si>
  <si>
    <t>LDR01480</t>
  </si>
  <si>
    <t>DFR11000</t>
  </si>
  <si>
    <t>DFR11090</t>
  </si>
  <si>
    <t>BBR00360</t>
  </si>
  <si>
    <t>BZR07241</t>
  </si>
  <si>
    <t>DGR01650</t>
  </si>
  <si>
    <t>HBR05470</t>
  </si>
  <si>
    <t>HMR06750</t>
  </si>
  <si>
    <t>University of Sussex</t>
  </si>
  <si>
    <t>A3R00210</t>
  </si>
  <si>
    <t>AVR03740</t>
  </si>
  <si>
    <t>BZR07020</t>
  </si>
  <si>
    <t>DCR01480</t>
  </si>
  <si>
    <t>B8R00400</t>
  </si>
  <si>
    <t>Cabinet Office</t>
  </si>
  <si>
    <t>A9</t>
  </si>
  <si>
    <t>Kenya (Trop Med)</t>
  </si>
  <si>
    <t>C9</t>
  </si>
  <si>
    <t>Vietnam (Trop Med)</t>
  </si>
  <si>
    <t>D4</t>
  </si>
  <si>
    <t>MPLS Division</t>
  </si>
  <si>
    <t>D9</t>
  </si>
  <si>
    <t>MORU (Trop Med)</t>
  </si>
  <si>
    <t>FS</t>
  </si>
  <si>
    <t>GC</t>
  </si>
  <si>
    <t>Botanic Garden</t>
  </si>
  <si>
    <t>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</si>
</sst>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43" formatCode="_-* #,##0.00_-;\-* #,##0.00_-;_-* &quot;-&quot;??_-;_-@_-"/>
    <numFmt numFmtId="164" formatCode="dd\-mmm\-yyyy"/>
    <numFmt numFmtId="165" formatCode="###0.00"/>
    <numFmt numFmtId="166" formatCode="#,##0_ ;[Red]\-#,##0\ "/>
  </numFmts>
  <fonts count="35" x14ac:knownFonts="1">
    <font>
      <sz val="11"/>
      <color theme="1"/>
      <name val="Calibri"/>
      <family val="2"/>
      <scheme val="minor"/>
    </font>
    <font>
      <sz val="11"/>
      <color theme="1"/>
      <name val="Calibri"/>
      <family val="2"/>
      <scheme val="minor"/>
    </font>
    <font>
      <sz val="10"/>
      <color theme="1"/>
      <name val="Arial"/>
      <family val="2"/>
    </font>
    <font>
      <sz val="11"/>
      <color theme="0"/>
      <name val="Calibri"/>
      <family val="2"/>
      <scheme val="minor"/>
    </font>
    <font>
      <u/>
      <sz val="11"/>
      <color theme="0"/>
      <name val="Calibri"/>
      <family val="2"/>
      <scheme val="minor"/>
    </font>
    <font>
      <b/>
      <sz val="11"/>
      <color rgb="FFFFFF00"/>
      <name val="Calibri"/>
      <family val="2"/>
      <scheme val="minor"/>
    </font>
    <font>
      <sz val="11"/>
      <color rgb="FFFFFF00"/>
      <name val="Calibri"/>
      <family val="2"/>
      <scheme val="minor"/>
    </font>
    <font>
      <sz val="11"/>
      <color rgb="FFFF0000"/>
      <name val="Calibri"/>
      <family val="2"/>
      <scheme val="minor"/>
    </font>
    <font>
      <sz val="11"/>
      <color theme="9"/>
      <name val="Calibri"/>
      <family val="2"/>
      <scheme val="minor"/>
    </font>
    <font>
      <sz val="11"/>
      <color theme="8"/>
      <name val="Calibri"/>
      <family val="2"/>
      <scheme val="minor"/>
    </font>
    <font>
      <sz val="9"/>
      <color rgb="FF000000"/>
      <name val="Arial Nova"/>
      <family val="2"/>
    </font>
    <font>
      <b/>
      <sz val="9"/>
      <color rgb="FF000000"/>
      <name val="Arial Nova"/>
      <family val="2"/>
    </font>
    <font>
      <sz val="11"/>
      <color theme="8"/>
      <name val="Dreaming Outloud Pro"/>
      <family val="4"/>
    </font>
    <font>
      <sz val="9"/>
      <color rgb="FF000000"/>
      <name val="Grandview"/>
      <family val="2"/>
    </font>
    <font>
      <b/>
      <sz val="9"/>
      <color rgb="FF000000"/>
      <name val="Roboto"/>
    </font>
    <font>
      <sz val="9"/>
      <color rgb="FF000000"/>
      <name val="Roboto"/>
    </font>
    <font>
      <sz val="10"/>
      <color rgb="FF000000"/>
      <name val="Roboto"/>
    </font>
    <font>
      <sz val="10"/>
      <color rgb="FFFFFFFF"/>
      <name val="Roboto"/>
    </font>
    <font>
      <b/>
      <sz val="10"/>
      <color rgb="FF000000"/>
      <name val="Roboto"/>
    </font>
    <font>
      <b/>
      <sz val="10"/>
      <color theme="4"/>
      <name val="Roboto"/>
    </font>
    <font>
      <sz val="10"/>
      <color theme="0"/>
      <name val="Roboto"/>
    </font>
    <font>
      <b/>
      <sz val="10"/>
      <color theme="9"/>
      <name val="Roboto"/>
    </font>
    <font>
      <b/>
      <sz val="10"/>
      <color theme="5"/>
      <name val="Roboto"/>
    </font>
    <font>
      <b/>
      <sz val="10"/>
      <color rgb="FFFFFFFF"/>
      <name val="Roboto"/>
    </font>
    <font>
      <sz val="10"/>
      <color theme="1" tint="0.249977111117893"/>
      <name val="Roboto"/>
    </font>
    <font>
      <b/>
      <sz val="14"/>
      <color rgb="FFFFFFFF"/>
      <name val="Roboto"/>
    </font>
    <font>
      <sz val="14"/>
      <color rgb="FF000000"/>
      <name val="Roboto"/>
    </font>
    <font>
      <sz val="9"/>
      <color theme="1"/>
      <name val="Roboto"/>
    </font>
    <font>
      <b/>
      <sz val="9"/>
      <color rgb="FFFFFFFF"/>
      <name val="Roboto"/>
    </font>
    <font>
      <sz val="11"/>
      <color theme="1"/>
      <name val="Roboto"/>
    </font>
    <font>
      <b/>
      <sz val="9"/>
      <color theme="0"/>
      <name val="Roboto"/>
    </font>
    <font>
      <b/>
      <u/>
      <sz val="10"/>
      <color theme="8" tint="-0.499984740745262"/>
      <name val="Roboto"/>
    </font>
    <font>
      <sz val="10"/>
      <color theme="8" tint="-0.499984740745262"/>
      <name val="Roboto"/>
    </font>
    <font>
      <b/>
      <u/>
      <sz val="10"/>
      <color theme="5" tint="-0.249977111117893"/>
      <name val="Roboto"/>
    </font>
    <font>
      <sz val="10"/>
      <color theme="5" tint="-0.249977111117893"/>
      <name val="Roboto"/>
    </font>
  </fonts>
  <fills count="24">
    <fill>
      <patternFill patternType="none"/>
    </fill>
    <fill>
      <patternFill patternType="gray125"/>
    </fill>
    <fill>
      <patternFill patternType="solid">
        <fgColor rgb="FF4F606C"/>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000000"/>
        <bgColor indexed="64"/>
      </patternFill>
    </fill>
    <fill>
      <patternFill patternType="solid">
        <fgColor rgb="FFFFFFCC"/>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rgb="FF262626"/>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2C4C4"/>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6" tint="0.39997558519241921"/>
        <bgColor indexed="64"/>
      </patternFill>
    </fill>
  </fills>
  <borders count="14">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cellStyleXfs>
  <cellXfs count="121">
    <xf numFmtId="0" fontId="0" fillId="0" borderId="0" xfId="0"/>
    <xf numFmtId="0" fontId="0" fillId="6" borderId="0" xfId="0" applyFill="1"/>
    <xf numFmtId="0" fontId="3" fillId="6" borderId="0" xfId="0" applyFont="1" applyFill="1"/>
    <xf numFmtId="3" fontId="3" fillId="6" borderId="0" xfId="0" applyNumberFormat="1" applyFont="1" applyFill="1"/>
    <xf numFmtId="0" fontId="4" fillId="6" borderId="0" xfId="0" applyFont="1" applyFill="1"/>
    <xf numFmtId="0" fontId="5" fillId="6" borderId="0" xfId="0" applyFont="1" applyFill="1"/>
    <xf numFmtId="3" fontId="4" fillId="6" borderId="0" xfId="0" applyNumberFormat="1" applyFont="1" applyFill="1"/>
    <xf numFmtId="3" fontId="0" fillId="6" borderId="0" xfId="0" applyNumberFormat="1" applyFill="1"/>
    <xf numFmtId="3" fontId="5" fillId="6" borderId="0" xfId="0" applyNumberFormat="1" applyFont="1" applyFill="1"/>
    <xf numFmtId="9" fontId="3" fillId="6" borderId="0" xfId="3" applyFont="1" applyFill="1"/>
    <xf numFmtId="9" fontId="6" fillId="6" borderId="0" xfId="3" applyFont="1" applyFill="1"/>
    <xf numFmtId="0" fontId="6" fillId="6" borderId="0" xfId="0" applyFont="1" applyFill="1"/>
    <xf numFmtId="3" fontId="6" fillId="6" borderId="0" xfId="0" applyNumberFormat="1" applyFont="1" applyFill="1"/>
    <xf numFmtId="10" fontId="8" fillId="6" borderId="0" xfId="3" applyNumberFormat="1" applyFont="1" applyFill="1"/>
    <xf numFmtId="10" fontId="7" fillId="6" borderId="0" xfId="3" applyNumberFormat="1" applyFont="1" applyFill="1"/>
    <xf numFmtId="0" fontId="9" fillId="6" borderId="0" xfId="0" applyFont="1" applyFill="1"/>
    <xf numFmtId="44" fontId="3" fillId="6" borderId="0" xfId="2" applyFont="1" applyFill="1"/>
    <xf numFmtId="0" fontId="10" fillId="0" borderId="0" xfId="0" applyFont="1" applyAlignment="1">
      <alignment horizontal="left"/>
    </xf>
    <xf numFmtId="0" fontId="10" fillId="0" borderId="0" xfId="0" applyFont="1"/>
    <xf numFmtId="43" fontId="10" fillId="0" borderId="0" xfId="1" applyFont="1"/>
    <xf numFmtId="17" fontId="10" fillId="0" borderId="0" xfId="0" applyNumberFormat="1" applyFont="1"/>
    <xf numFmtId="0" fontId="10" fillId="3" borderId="0" xfId="0" applyFont="1" applyFill="1"/>
    <xf numFmtId="0" fontId="10" fillId="4" borderId="0" xfId="0" applyFont="1" applyFill="1"/>
    <xf numFmtId="0" fontId="10" fillId="5" borderId="0" xfId="0" applyFont="1" applyFill="1"/>
    <xf numFmtId="0" fontId="11" fillId="0" borderId="0" xfId="0" applyFont="1"/>
    <xf numFmtId="44" fontId="10" fillId="0" borderId="0" xfId="2" applyFont="1"/>
    <xf numFmtId="43" fontId="10" fillId="0" borderId="0" xfId="1" applyFont="1" applyAlignment="1">
      <alignment horizontal="right"/>
    </xf>
    <xf numFmtId="4" fontId="10" fillId="0" borderId="0" xfId="0" applyNumberFormat="1" applyFont="1" applyAlignment="1">
      <alignment horizontal="right"/>
    </xf>
    <xf numFmtId="0" fontId="11" fillId="2" borderId="0" xfId="0" applyFont="1" applyFill="1"/>
    <xf numFmtId="43" fontId="11" fillId="2" borderId="0" xfId="1" applyFont="1" applyFill="1"/>
    <xf numFmtId="43" fontId="11" fillId="2" borderId="1" xfId="0" applyNumberFormat="1" applyFont="1" applyFill="1" applyBorder="1"/>
    <xf numFmtId="0" fontId="11" fillId="2" borderId="2" xfId="0" applyFont="1" applyFill="1" applyBorder="1"/>
    <xf numFmtId="0" fontId="12" fillId="6" borderId="0" xfId="0" applyFont="1" applyFill="1"/>
    <xf numFmtId="164" fontId="10" fillId="0" borderId="0" xfId="0" applyNumberFormat="1" applyFont="1" applyAlignment="1">
      <alignment horizontal="left"/>
    </xf>
    <xf numFmtId="0" fontId="13" fillId="0" borderId="0" xfId="0" applyFont="1"/>
    <xf numFmtId="0" fontId="14" fillId="0" borderId="0" xfId="0" applyFont="1" applyAlignment="1">
      <alignment horizontal="left"/>
    </xf>
    <xf numFmtId="0" fontId="14" fillId="0" borderId="0" xfId="0" applyFont="1"/>
    <xf numFmtId="0" fontId="14" fillId="0" borderId="0" xfId="0" applyFont="1" applyAlignment="1">
      <alignment horizontal="right"/>
    </xf>
    <xf numFmtId="0" fontId="14" fillId="7" borderId="3" xfId="4" applyFont="1" applyFill="1" applyBorder="1" applyAlignment="1">
      <alignment horizontal="right"/>
    </xf>
    <xf numFmtId="0" fontId="15" fillId="0" borderId="0" xfId="0" applyFont="1" applyAlignment="1">
      <alignment horizontal="left"/>
    </xf>
    <xf numFmtId="0" fontId="15" fillId="0" borderId="0" xfId="0" applyFont="1"/>
    <xf numFmtId="164" fontId="15" fillId="0" borderId="0" xfId="0" applyNumberFormat="1" applyFont="1" applyAlignment="1">
      <alignment horizontal="right"/>
    </xf>
    <xf numFmtId="3" fontId="15" fillId="0" borderId="0" xfId="0" applyNumberFormat="1" applyFont="1" applyAlignment="1">
      <alignment horizontal="right"/>
    </xf>
    <xf numFmtId="165" fontId="15" fillId="0" borderId="0" xfId="0" applyNumberFormat="1" applyFont="1" applyAlignment="1">
      <alignment horizontal="right"/>
    </xf>
    <xf numFmtId="4" fontId="15" fillId="0" borderId="0" xfId="0" applyNumberFormat="1" applyFont="1" applyAlignment="1">
      <alignment horizontal="right"/>
    </xf>
    <xf numFmtId="0" fontId="16" fillId="0" borderId="0" xfId="0" applyFont="1"/>
    <xf numFmtId="166" fontId="16" fillId="0" borderId="0" xfId="0" applyNumberFormat="1" applyFont="1"/>
    <xf numFmtId="0" fontId="17" fillId="11" borderId="0" xfId="0" applyFont="1" applyFill="1" applyAlignment="1">
      <alignment horizontal="center"/>
    </xf>
    <xf numFmtId="0" fontId="17" fillId="11" borderId="0" xfId="0" applyFont="1" applyFill="1"/>
    <xf numFmtId="0" fontId="18" fillId="0" borderId="0" xfId="0" applyFont="1"/>
    <xf numFmtId="166" fontId="18" fillId="0" borderId="0" xfId="0" applyNumberFormat="1" applyFont="1"/>
    <xf numFmtId="0" fontId="21" fillId="0" borderId="8" xfId="0" applyFont="1" applyBorder="1"/>
    <xf numFmtId="0" fontId="16" fillId="0" borderId="9" xfId="0" applyFont="1" applyBorder="1"/>
    <xf numFmtId="0" fontId="20" fillId="13" borderId="8" xfId="0" applyFont="1" applyFill="1" applyBorder="1"/>
    <xf numFmtId="0" fontId="20" fillId="13" borderId="0" xfId="0" applyFont="1" applyFill="1" applyAlignment="1">
      <alignment horizontal="center"/>
    </xf>
    <xf numFmtId="0" fontId="16" fillId="0" borderId="8" xfId="0" applyFont="1" applyBorder="1"/>
    <xf numFmtId="0" fontId="19" fillId="0" borderId="8" xfId="0" applyFont="1" applyBorder="1"/>
    <xf numFmtId="0" fontId="20" fillId="12" borderId="8" xfId="0" applyFont="1" applyFill="1" applyBorder="1"/>
    <xf numFmtId="0" fontId="20" fillId="12" borderId="0" xfId="0" applyFont="1" applyFill="1" applyAlignment="1">
      <alignment horizontal="center"/>
    </xf>
    <xf numFmtId="0" fontId="20" fillId="12" borderId="9" xfId="0" applyFont="1" applyFill="1" applyBorder="1" applyAlignment="1">
      <alignment horizontal="center"/>
    </xf>
    <xf numFmtId="0" fontId="22" fillId="0" borderId="8" xfId="0" applyFont="1" applyBorder="1"/>
    <xf numFmtId="0" fontId="20" fillId="14" borderId="8" xfId="0" applyFont="1" applyFill="1" applyBorder="1"/>
    <xf numFmtId="0" fontId="20" fillId="14" borderId="0" xfId="0" applyFont="1" applyFill="1" applyAlignment="1">
      <alignment horizontal="center"/>
    </xf>
    <xf numFmtId="0" fontId="20" fillId="14" borderId="9" xfId="0" applyFont="1" applyFill="1" applyBorder="1" applyAlignment="1">
      <alignment horizontal="center"/>
    </xf>
    <xf numFmtId="0" fontId="16" fillId="0" borderId="10" xfId="0" applyFont="1" applyBorder="1"/>
    <xf numFmtId="0" fontId="16" fillId="0" borderId="11" xfId="0" applyFont="1" applyBorder="1"/>
    <xf numFmtId="0" fontId="16" fillId="0" borderId="12" xfId="0" applyFont="1" applyBorder="1"/>
    <xf numFmtId="0" fontId="23" fillId="11" borderId="5" xfId="0" applyFont="1" applyFill="1" applyBorder="1"/>
    <xf numFmtId="0" fontId="17" fillId="11" borderId="6" xfId="0" applyFont="1" applyFill="1" applyBorder="1"/>
    <xf numFmtId="0" fontId="17" fillId="11" borderId="7" xfId="0" applyFont="1" applyFill="1" applyBorder="1"/>
    <xf numFmtId="0" fontId="16" fillId="15" borderId="0" xfId="0" applyFont="1" applyFill="1"/>
    <xf numFmtId="0" fontId="16" fillId="16" borderId="0" xfId="0" applyFont="1" applyFill="1"/>
    <xf numFmtId="0" fontId="16" fillId="17" borderId="0" xfId="0" applyFont="1" applyFill="1"/>
    <xf numFmtId="0" fontId="16" fillId="17" borderId="9" xfId="0" applyFont="1" applyFill="1" applyBorder="1"/>
    <xf numFmtId="0" fontId="16" fillId="18" borderId="0" xfId="0" applyFont="1" applyFill="1"/>
    <xf numFmtId="0" fontId="16" fillId="19" borderId="0" xfId="0" applyFont="1" applyFill="1"/>
    <xf numFmtId="0" fontId="16" fillId="15" borderId="9" xfId="0" applyFont="1" applyFill="1" applyBorder="1"/>
    <xf numFmtId="0" fontId="16" fillId="16" borderId="9" xfId="0" applyFont="1" applyFill="1" applyBorder="1"/>
    <xf numFmtId="0" fontId="16" fillId="20" borderId="0" xfId="0" applyFont="1" applyFill="1"/>
    <xf numFmtId="0" fontId="16" fillId="20" borderId="9" xfId="0" applyFont="1" applyFill="1" applyBorder="1"/>
    <xf numFmtId="0" fontId="16" fillId="16" borderId="11" xfId="0" applyFont="1" applyFill="1" applyBorder="1"/>
    <xf numFmtId="0" fontId="16" fillId="21" borderId="0" xfId="0" applyFont="1" applyFill="1"/>
    <xf numFmtId="9" fontId="16" fillId="0" borderId="0" xfId="3" applyFont="1"/>
    <xf numFmtId="0" fontId="16" fillId="0" borderId="13" xfId="0" applyFont="1" applyBorder="1"/>
    <xf numFmtId="166" fontId="16" fillId="0" borderId="13" xfId="0" applyNumberFormat="1" applyFont="1" applyBorder="1"/>
    <xf numFmtId="0" fontId="24" fillId="22" borderId="3" xfId="0" applyFont="1" applyFill="1" applyBorder="1"/>
    <xf numFmtId="166" fontId="16" fillId="22" borderId="3" xfId="0" applyNumberFormat="1" applyFont="1" applyFill="1" applyBorder="1"/>
    <xf numFmtId="9" fontId="16" fillId="22" borderId="3" xfId="3" applyFont="1" applyFill="1" applyBorder="1"/>
    <xf numFmtId="0" fontId="16" fillId="22" borderId="3" xfId="0" applyFont="1" applyFill="1" applyBorder="1"/>
    <xf numFmtId="0" fontId="16" fillId="22" borderId="0" xfId="0" applyFont="1" applyFill="1"/>
    <xf numFmtId="9" fontId="16" fillId="22" borderId="0" xfId="3" applyFont="1" applyFill="1"/>
    <xf numFmtId="0" fontId="25" fillId="2" borderId="0" xfId="0" applyFont="1" applyFill="1"/>
    <xf numFmtId="43" fontId="25" fillId="2" borderId="0" xfId="1" applyFont="1" applyFill="1"/>
    <xf numFmtId="0" fontId="26" fillId="0" borderId="0" xfId="0" applyFont="1"/>
    <xf numFmtId="0" fontId="27" fillId="0" borderId="0" xfId="0" pivotButton="1" applyFont="1"/>
    <xf numFmtId="0" fontId="27" fillId="0" borderId="0" xfId="0" applyFont="1"/>
    <xf numFmtId="0" fontId="28" fillId="2" borderId="0" xfId="0" applyFont="1" applyFill="1"/>
    <xf numFmtId="0" fontId="28" fillId="8" borderId="0" xfId="0" applyFont="1" applyFill="1"/>
    <xf numFmtId="0" fontId="28" fillId="9" borderId="0" xfId="0" applyFont="1" applyFill="1"/>
    <xf numFmtId="0" fontId="28" fillId="10" borderId="0" xfId="0" applyFont="1" applyFill="1"/>
    <xf numFmtId="44" fontId="15" fillId="0" borderId="0" xfId="2" applyFont="1"/>
    <xf numFmtId="9" fontId="15" fillId="0" borderId="0" xfId="3" applyFont="1"/>
    <xf numFmtId="0" fontId="27" fillId="0" borderId="0" xfId="0" applyFont="1" applyAlignment="1">
      <alignment horizontal="left"/>
    </xf>
    <xf numFmtId="43" fontId="27" fillId="0" borderId="0" xfId="0" applyNumberFormat="1" applyFont="1"/>
    <xf numFmtId="17" fontId="27" fillId="0" borderId="0" xfId="0" applyNumberFormat="1" applyFont="1"/>
    <xf numFmtId="43" fontId="15" fillId="0" borderId="0" xfId="1" applyFont="1"/>
    <xf numFmtId="44" fontId="14" fillId="0" borderId="4" xfId="2" applyFont="1" applyBorder="1"/>
    <xf numFmtId="9" fontId="15" fillId="0" borderId="4" xfId="0" applyNumberFormat="1" applyFont="1" applyBorder="1"/>
    <xf numFmtId="0" fontId="29" fillId="0" borderId="0" xfId="0" applyFont="1"/>
    <xf numFmtId="0" fontId="30" fillId="2" borderId="0" xfId="0" applyFont="1" applyFill="1"/>
    <xf numFmtId="0" fontId="31" fillId="0" borderId="0" xfId="0" applyFont="1"/>
    <xf numFmtId="0" fontId="32" fillId="0" borderId="0" xfId="0" applyFont="1"/>
    <xf numFmtId="0" fontId="16" fillId="8" borderId="9" xfId="0" applyFont="1" applyFill="1" applyBorder="1"/>
    <xf numFmtId="0" fontId="16" fillId="8" borderId="0" xfId="0" applyFont="1" applyFill="1"/>
    <xf numFmtId="0" fontId="16" fillId="18" borderId="9" xfId="0" applyFont="1" applyFill="1" applyBorder="1"/>
    <xf numFmtId="0" fontId="16" fillId="23" borderId="0" xfId="0" applyFont="1" applyFill="1"/>
    <xf numFmtId="0" fontId="33" fillId="0" borderId="0" xfId="0" applyFont="1"/>
    <xf numFmtId="0" fontId="34" fillId="0" borderId="0" xfId="0" applyFont="1"/>
    <xf numFmtId="0" fontId="10" fillId="0" borderId="0" xfId="0" applyNumberFormat="1" applyFont="1"/>
    <xf numFmtId="43" fontId="10" fillId="0" borderId="0" xfId="1" applyNumberFormat="1" applyFont="1"/>
    <xf numFmtId="0" fontId="27" fillId="0" borderId="0" xfId="0" applyNumberFormat="1" applyFont="1"/>
  </cellXfs>
  <cellStyles count="5">
    <cellStyle name="Comma" xfId="1" builtinId="3"/>
    <cellStyle name="Currency" xfId="2" builtinId="4"/>
    <cellStyle name="Normal" xfId="0" builtinId="0"/>
    <cellStyle name="Normal 2" xfId="4" xr:uid="{0E59DA28-3E40-495D-BED0-521A486A1A2D}"/>
    <cellStyle name="Percent" xfId="3" builtinId="5"/>
  </cellStyles>
  <dxfs count="355">
    <dxf>
      <font>
        <sz val="9"/>
      </font>
    </dxf>
    <dxf>
      <font>
        <sz val="9"/>
      </font>
    </dxf>
    <dxf>
      <font>
        <sz val="9"/>
      </font>
    </dxf>
    <dxf>
      <font>
        <sz val="9"/>
      </font>
    </dxf>
    <dxf>
      <font>
        <sz val="9"/>
      </font>
    </dxf>
    <dxf>
      <font>
        <sz val="9"/>
      </font>
    </dxf>
    <dxf>
      <font>
        <sz val="9"/>
      </font>
    </dxf>
    <dxf>
      <font>
        <sz val="9"/>
      </font>
    </dxf>
    <dxf>
      <font>
        <name val="Lato"/>
        <family val="2"/>
      </font>
    </dxf>
    <dxf>
      <font>
        <name val="Lato"/>
        <family val="2"/>
      </font>
    </dxf>
    <dxf>
      <font>
        <name val="Lato"/>
        <family val="2"/>
      </font>
    </dxf>
    <dxf>
      <font>
        <name val="Lato"/>
        <family val="2"/>
      </font>
    </dxf>
    <dxf>
      <font>
        <name val="Lato"/>
        <family val="2"/>
      </font>
    </dxf>
    <dxf>
      <font>
        <name val="Lato"/>
        <family val="2"/>
      </font>
    </dxf>
    <dxf>
      <numFmt numFmtId="35" formatCode="_-* #,##0.00_-;\-* #,##0.00_-;_-* &quot;-&quot;??_-;_-@_-"/>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Lato"/>
        <family val="2"/>
      </font>
    </dxf>
    <dxf>
      <font>
        <name val="Lato"/>
        <family val="2"/>
      </font>
    </dxf>
    <dxf>
      <font>
        <name val="Lato"/>
        <family val="2"/>
      </font>
    </dxf>
    <dxf>
      <numFmt numFmtId="35" formatCode="_-* #,##0.00_-;\-* #,##0.00_-;_-* &quot;-&quot;??_-;_-@_-"/>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sz val="9"/>
      </font>
    </dxf>
    <dxf>
      <font>
        <sz val="9"/>
      </font>
    </dxf>
    <dxf>
      <font>
        <sz val="9"/>
      </font>
    </dxf>
    <dxf>
      <font>
        <sz val="9"/>
      </font>
    </dxf>
    <dxf>
      <font>
        <sz val="9"/>
      </font>
    </dxf>
    <dxf>
      <font>
        <sz val="9"/>
      </font>
    </dxf>
    <dxf>
      <font>
        <sz val="9"/>
      </font>
    </dxf>
    <dxf>
      <font>
        <sz val="9"/>
      </font>
    </dxf>
    <dxf>
      <font>
        <name val="Lato"/>
        <family val="2"/>
      </font>
    </dxf>
    <dxf>
      <font>
        <name val="Lato"/>
        <family val="2"/>
      </font>
    </dxf>
    <dxf>
      <font>
        <name val="Lato"/>
        <family val="2"/>
      </font>
    </dxf>
    <dxf>
      <font>
        <name val="Lato"/>
        <family val="2"/>
      </font>
    </dxf>
    <dxf>
      <font>
        <name val="Lato"/>
        <family val="2"/>
      </font>
    </dxf>
    <dxf>
      <font>
        <name val="Lato"/>
        <family val="2"/>
      </font>
    </dxf>
    <dxf>
      <font>
        <name val="Lato"/>
        <family val="2"/>
      </font>
    </dxf>
    <dxf>
      <numFmt numFmtId="35" formatCode="_-* #,##0.00_-;\-* #,##0.00_-;_-* &quot;-&quot;??_-;_-@_-"/>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Lato"/>
        <scheme val="none"/>
      </font>
    </dxf>
    <dxf>
      <font>
        <name val="Lato"/>
        <scheme val="none"/>
      </font>
    </dxf>
    <dxf>
      <font>
        <name val="Lato"/>
        <scheme val="none"/>
      </font>
    </dxf>
    <dxf>
      <font>
        <name val="Lato"/>
        <scheme val="none"/>
      </font>
    </dxf>
    <dxf>
      <font>
        <name val="Lato"/>
        <scheme val="none"/>
      </font>
    </dxf>
    <dxf>
      <font>
        <name val="Lato"/>
        <scheme val="none"/>
      </font>
    </dxf>
    <dxf>
      <font>
        <sz val="9"/>
      </font>
    </dxf>
    <dxf>
      <font>
        <sz val="9"/>
      </font>
    </dxf>
    <dxf>
      <font>
        <sz val="9"/>
      </font>
    </dxf>
    <dxf>
      <font>
        <sz val="9"/>
      </font>
    </dxf>
    <dxf>
      <font>
        <sz val="9"/>
      </font>
    </dxf>
    <dxf>
      <font>
        <sz val="9"/>
      </font>
    </dxf>
    <dxf>
      <fill>
        <patternFill patternType="solid"/>
      </fill>
    </dxf>
    <dxf>
      <fill>
        <patternFill patternType="solid"/>
      </fill>
    </dxf>
    <dxf>
      <fill>
        <patternFill>
          <bgColor rgb="FF4F606C"/>
        </patternFill>
      </fill>
    </dxf>
    <dxf>
      <fill>
        <patternFill>
          <bgColor rgb="FF4F606C"/>
        </patternFill>
      </fill>
    </dxf>
    <dxf>
      <font>
        <color rgb="FFFFFFFF"/>
      </font>
    </dxf>
    <dxf>
      <font>
        <color rgb="FFFFFFFF"/>
      </font>
    </dxf>
    <dxf>
      <font>
        <b/>
      </font>
    </dxf>
    <dxf>
      <font>
        <b/>
      </font>
    </dxf>
    <dxf>
      <fill>
        <patternFill patternType="solid"/>
      </fill>
    </dxf>
    <dxf>
      <fill>
        <patternFill patternType="solid"/>
      </fill>
    </dxf>
    <dxf>
      <fill>
        <patternFill patternType="solid"/>
      </fill>
    </dxf>
    <dxf>
      <fill>
        <patternFill patternType="solid"/>
      </fill>
    </dxf>
    <dxf>
      <fill>
        <patternFill patternType="solid"/>
      </fill>
    </dxf>
    <dxf>
      <fill>
        <patternFill patternType="solid"/>
      </fill>
    </dxf>
    <dxf>
      <fill>
        <patternFill>
          <bgColor rgb="FF4F606C"/>
        </patternFill>
      </fill>
    </dxf>
    <dxf>
      <fill>
        <patternFill>
          <bgColor rgb="FF4F606C"/>
        </patternFill>
      </fill>
    </dxf>
    <dxf>
      <fill>
        <patternFill>
          <bgColor rgb="FF4F606C"/>
        </patternFill>
      </fill>
    </dxf>
    <dxf>
      <fill>
        <patternFill>
          <bgColor rgb="FF4F606C"/>
        </patternFill>
      </fill>
    </dxf>
    <dxf>
      <fill>
        <patternFill>
          <bgColor rgb="FF4F606C"/>
        </patternFill>
      </fill>
    </dxf>
    <dxf>
      <fill>
        <patternFill>
          <bgColor rgb="FF4F606C"/>
        </patternFill>
      </fill>
    </dxf>
    <dxf>
      <font>
        <b/>
      </font>
    </dxf>
    <dxf>
      <font>
        <b/>
      </font>
    </dxf>
    <dxf>
      <font>
        <b/>
      </font>
    </dxf>
    <dxf>
      <font>
        <b/>
      </font>
    </dxf>
    <dxf>
      <font>
        <b/>
      </font>
    </dxf>
    <dxf>
      <font>
        <b/>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sz val="9"/>
      </font>
    </dxf>
    <dxf>
      <font>
        <sz val="9"/>
      </font>
    </dxf>
    <dxf>
      <font>
        <sz val="9"/>
      </font>
    </dxf>
    <dxf>
      <font>
        <sz val="9"/>
      </font>
    </dxf>
    <dxf>
      <font>
        <sz val="9"/>
      </font>
    </dxf>
    <dxf>
      <font>
        <sz val="9"/>
      </font>
    </dxf>
    <dxf>
      <font>
        <sz val="9"/>
      </font>
    </dxf>
    <dxf>
      <font>
        <sz val="9"/>
      </font>
    </dxf>
    <dxf>
      <font>
        <sz val="9"/>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FF0000"/>
      </font>
    </dxf>
    <dxf>
      <font>
        <color theme="9"/>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numFmt numFmtId="35" formatCode="_-* #,##0.00_-;\-* #,##0.00_-;_-* &quot;-&quot;??_-;_-@_-"/>
    </dxf>
    <dxf>
      <font>
        <name val="Lato"/>
        <family val="2"/>
      </font>
    </dxf>
    <dxf>
      <font>
        <name val="Lato"/>
        <family val="2"/>
      </font>
    </dxf>
    <dxf>
      <font>
        <name val="Lato"/>
        <family val="2"/>
      </font>
    </dxf>
    <dxf>
      <font>
        <name val="Lato"/>
        <family val="2"/>
      </font>
    </dxf>
    <dxf>
      <font>
        <name val="Lato"/>
        <family val="2"/>
      </font>
    </dxf>
    <dxf>
      <font>
        <name val="Lato"/>
        <family val="2"/>
      </font>
    </dxf>
    <dxf>
      <font>
        <name val="Lato"/>
        <family val="2"/>
      </font>
    </dxf>
    <dxf>
      <font>
        <sz val="9"/>
      </font>
    </dxf>
    <dxf>
      <font>
        <sz val="9"/>
      </font>
    </dxf>
    <dxf>
      <font>
        <sz val="9"/>
      </font>
    </dxf>
    <dxf>
      <font>
        <sz val="9"/>
      </font>
    </dxf>
    <dxf>
      <font>
        <sz val="9"/>
      </font>
    </dxf>
    <dxf>
      <font>
        <sz val="9"/>
      </font>
    </dxf>
    <dxf>
      <font>
        <sz val="9"/>
      </font>
    </dxf>
    <dxf>
      <font>
        <sz val="9"/>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numFmt numFmtId="35" formatCode="_-* #,##0.00_-;\-* #,##0.00_-;_-* &quot;-&quot;??_-;_-@_-"/>
    </dxf>
    <dxf>
      <font>
        <name val="Lato"/>
        <family val="2"/>
      </font>
    </dxf>
    <dxf>
      <font>
        <name val="Lato"/>
        <family val="2"/>
      </font>
    </dxf>
    <dxf>
      <font>
        <name val="Lato"/>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Roboto"/>
        <scheme val="none"/>
      </font>
    </dxf>
    <dxf>
      <font>
        <name val="Roboto"/>
        <scheme val="none"/>
      </font>
    </dxf>
    <dxf>
      <font>
        <name val="Roboto"/>
        <scheme val="none"/>
      </font>
    </dxf>
    <dxf>
      <font>
        <name val="Roboto"/>
        <scheme val="none"/>
      </font>
    </dxf>
    <dxf>
      <font>
        <name val="Roboto"/>
        <scheme val="none"/>
      </font>
    </dxf>
    <dxf>
      <font>
        <name val="Roboto"/>
        <scheme val="none"/>
      </font>
    </dxf>
    <dxf>
      <numFmt numFmtId="35" formatCode="_-* #,##0.00_-;\-* #,##0.00_-;_-* &quot;-&quot;??_-;_-@_-"/>
    </dxf>
    <dxf>
      <font>
        <name val="Lato"/>
        <family val="2"/>
      </font>
    </dxf>
    <dxf>
      <font>
        <name val="Lato"/>
        <family val="2"/>
      </font>
    </dxf>
    <dxf>
      <font>
        <name val="Lato"/>
        <family val="2"/>
      </font>
    </dxf>
    <dxf>
      <font>
        <name val="Lato"/>
        <family val="2"/>
      </font>
    </dxf>
    <dxf>
      <font>
        <name val="Lato"/>
        <family val="2"/>
      </font>
    </dxf>
    <dxf>
      <font>
        <name val="Lato"/>
        <family val="2"/>
      </font>
    </dxf>
    <dxf>
      <font>
        <sz val="9"/>
      </font>
    </dxf>
    <dxf>
      <font>
        <sz val="9"/>
      </font>
    </dxf>
    <dxf>
      <font>
        <sz val="9"/>
      </font>
    </dxf>
    <dxf>
      <font>
        <sz val="9"/>
      </font>
    </dxf>
    <dxf>
      <font>
        <sz val="9"/>
      </font>
    </dxf>
    <dxf>
      <font>
        <sz val="9"/>
      </font>
    </dxf>
    <dxf>
      <font>
        <sz val="9"/>
      </font>
    </dxf>
    <dxf>
      <font>
        <sz val="9"/>
      </font>
    </dxf>
    <dxf>
      <font>
        <b val="0"/>
        <i val="0"/>
        <strike val="0"/>
        <condense val="0"/>
        <extend val="0"/>
        <outline val="0"/>
        <shadow val="0"/>
        <u val="none"/>
        <vertAlign val="baseline"/>
        <sz val="9"/>
        <color rgb="FF000000"/>
        <name val="Arial Nova"/>
        <family val="2"/>
        <scheme val="none"/>
      </font>
      <numFmt numFmtId="35" formatCode="_-* #,##0.00_-;\-* #,##0.00_-;_-* &quot;-&quot;??_-;_-@_-"/>
    </dxf>
    <dxf>
      <font>
        <b val="0"/>
        <i val="0"/>
        <strike val="0"/>
        <condense val="0"/>
        <extend val="0"/>
        <outline val="0"/>
        <shadow val="0"/>
        <u val="none"/>
        <vertAlign val="baseline"/>
        <sz val="9"/>
        <color rgb="FF000000"/>
        <name val="Arial Nova"/>
        <family val="2"/>
        <scheme val="none"/>
      </font>
      <numFmt numFmtId="35" formatCode="_-* #,##0.00_-;\-* #,##0.00_-;_-* &quot;-&quot;??_-;_-@_-"/>
    </dxf>
    <dxf>
      <font>
        <b val="0"/>
        <i val="0"/>
        <strike val="0"/>
        <condense val="0"/>
        <extend val="0"/>
        <outline val="0"/>
        <shadow val="0"/>
        <u val="none"/>
        <vertAlign val="baseline"/>
        <sz val="9"/>
        <color rgb="FF000000"/>
        <name val="Arial Nova"/>
        <family val="2"/>
        <scheme val="none"/>
      </font>
    </dxf>
    <dxf>
      <font>
        <b val="0"/>
        <i val="0"/>
        <strike val="0"/>
        <condense val="0"/>
        <extend val="0"/>
        <outline val="0"/>
        <shadow val="0"/>
        <u val="none"/>
        <vertAlign val="baseline"/>
        <sz val="9"/>
        <color rgb="FF000000"/>
        <name val="Arial Nova"/>
        <family val="2"/>
        <scheme val="none"/>
      </font>
    </dxf>
    <dxf>
      <font>
        <b val="0"/>
        <i val="0"/>
        <strike val="0"/>
        <condense val="0"/>
        <extend val="0"/>
        <outline val="0"/>
        <shadow val="0"/>
        <u val="none"/>
        <vertAlign val="baseline"/>
        <sz val="9"/>
        <color rgb="FF000000"/>
        <name val="Arial Nova"/>
        <family val="2"/>
        <scheme val="none"/>
      </font>
    </dxf>
    <dxf>
      <font>
        <b val="0"/>
        <i val="0"/>
        <strike val="0"/>
        <condense val="0"/>
        <extend val="0"/>
        <outline val="0"/>
        <shadow val="0"/>
        <u val="none"/>
        <vertAlign val="baseline"/>
        <sz val="9"/>
        <color rgb="FF000000"/>
        <name val="Arial Nova"/>
        <family val="2"/>
        <scheme val="none"/>
      </font>
    </dxf>
    <dxf>
      <font>
        <b val="0"/>
        <i val="0"/>
        <strike val="0"/>
        <condense val="0"/>
        <extend val="0"/>
        <outline val="0"/>
        <shadow val="0"/>
        <u val="none"/>
        <vertAlign val="baseline"/>
        <sz val="9"/>
        <color rgb="FF000000"/>
        <name val="Arial Nova"/>
        <family val="2"/>
        <scheme val="none"/>
      </font>
    </dxf>
    <dxf>
      <font>
        <b val="0"/>
        <i val="0"/>
        <strike val="0"/>
        <condense val="0"/>
        <extend val="0"/>
        <outline val="0"/>
        <shadow val="0"/>
        <u val="none"/>
        <vertAlign val="baseline"/>
        <sz val="9"/>
        <color rgb="FF000000"/>
        <name val="Arial Nov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0000"/>
        <name val="Arial Nova"/>
        <family val="2"/>
        <scheme val="none"/>
      </font>
      <numFmt numFmtId="0" formatCode="General"/>
    </dxf>
    <dxf>
      <font>
        <b val="0"/>
        <i val="0"/>
        <strike val="0"/>
        <condense val="0"/>
        <extend val="0"/>
        <outline val="0"/>
        <shadow val="0"/>
        <u val="none"/>
        <vertAlign val="baseline"/>
        <sz val="9"/>
        <color rgb="FF000000"/>
        <name val="Arial Nova"/>
        <family val="2"/>
        <scheme val="none"/>
      </font>
      <numFmt numFmtId="22" formatCode="mmm\-yy"/>
    </dxf>
    <dxf>
      <font>
        <b val="0"/>
        <i val="0"/>
        <strike val="0"/>
        <condense val="0"/>
        <extend val="0"/>
        <outline val="0"/>
        <shadow val="0"/>
        <u val="none"/>
        <vertAlign val="baseline"/>
        <sz val="9"/>
        <color rgb="FF000000"/>
        <name val="Arial Nova"/>
        <family val="2"/>
        <scheme val="none"/>
      </font>
    </dxf>
    <dxf>
      <border outline="0">
        <top style="thin">
          <color theme="4" tint="0.39997558519241921"/>
        </top>
      </border>
    </dxf>
    <dxf>
      <font>
        <b val="0"/>
        <i val="0"/>
        <strike val="0"/>
        <condense val="0"/>
        <extend val="0"/>
        <outline val="0"/>
        <shadow val="0"/>
        <u val="none"/>
        <vertAlign val="baseline"/>
        <sz val="9"/>
        <color rgb="FF000000"/>
        <name val="Arial Nova"/>
        <family val="2"/>
        <scheme val="none"/>
      </font>
    </dxf>
    <dxf>
      <border outline="0">
        <bottom style="thin">
          <color theme="4" tint="0.39997558519241921"/>
        </bottom>
      </border>
    </dxf>
    <dxf>
      <font>
        <b/>
        <i val="0"/>
        <strike val="0"/>
        <condense val="0"/>
        <extend val="0"/>
        <outline val="0"/>
        <shadow val="0"/>
        <u val="none"/>
        <vertAlign val="baseline"/>
        <sz val="9"/>
        <color rgb="FF000000"/>
        <name val="Arial Nova"/>
        <family val="2"/>
        <scheme val="none"/>
      </font>
      <fill>
        <patternFill patternType="solid">
          <fgColor indexed="64"/>
          <bgColor rgb="FF4F606C"/>
        </patternFill>
      </fill>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sz val="9"/>
      </font>
    </dxf>
    <dxf>
      <font>
        <sz val="9"/>
      </font>
    </dxf>
    <dxf>
      <font>
        <sz val="9"/>
      </font>
    </dxf>
    <dxf>
      <font>
        <sz val="9"/>
      </font>
    </dxf>
    <dxf>
      <font>
        <sz val="9"/>
      </font>
    </dxf>
    <dxf>
      <font>
        <sz val="9"/>
      </font>
    </dxf>
    <dxf>
      <font>
        <sz val="9"/>
      </font>
    </dxf>
    <dxf>
      <font>
        <sz val="9"/>
      </font>
    </dxf>
    <dxf>
      <font>
        <sz val="9"/>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name val="Arial Nova"/>
        <family val="2"/>
      </font>
    </dxf>
    <dxf>
      <font>
        <b/>
      </font>
    </dxf>
    <dxf>
      <font>
        <b/>
      </font>
    </dxf>
    <dxf>
      <font>
        <b/>
      </font>
    </dxf>
    <dxf>
      <font>
        <b/>
      </font>
    </dxf>
    <dxf>
      <font>
        <b/>
      </font>
    </dxf>
    <dxf>
      <font>
        <b/>
      </font>
    </dxf>
    <dxf>
      <fill>
        <patternFill>
          <bgColor rgb="FF4F606C"/>
        </patternFill>
      </fill>
    </dxf>
    <dxf>
      <fill>
        <patternFill>
          <bgColor rgb="FF4F606C"/>
        </patternFill>
      </fill>
    </dxf>
    <dxf>
      <fill>
        <patternFill>
          <bgColor rgb="FF4F606C"/>
        </patternFill>
      </fill>
    </dxf>
    <dxf>
      <fill>
        <patternFill>
          <bgColor rgb="FF4F606C"/>
        </patternFill>
      </fill>
    </dxf>
    <dxf>
      <fill>
        <patternFill>
          <bgColor rgb="FF4F606C"/>
        </patternFill>
      </fill>
    </dxf>
    <dxf>
      <fill>
        <patternFill>
          <bgColor rgb="FF4F606C"/>
        </patternFill>
      </fill>
    </dxf>
    <dxf>
      <fill>
        <patternFill patternType="solid"/>
      </fill>
    </dxf>
    <dxf>
      <fill>
        <patternFill patternType="solid"/>
      </fill>
    </dxf>
    <dxf>
      <fill>
        <patternFill patternType="solid"/>
      </fill>
    </dxf>
    <dxf>
      <fill>
        <patternFill patternType="solid"/>
      </fill>
    </dxf>
    <dxf>
      <fill>
        <patternFill patternType="solid"/>
      </fill>
    </dxf>
    <dxf>
      <fill>
        <patternFill patternType="solid"/>
      </fill>
    </dxf>
    <dxf>
      <font>
        <b/>
      </font>
    </dxf>
    <dxf>
      <font>
        <b/>
      </font>
    </dxf>
    <dxf>
      <font>
        <color rgb="FFFFFFFF"/>
      </font>
    </dxf>
    <dxf>
      <font>
        <color rgb="FFFFFFFF"/>
      </font>
    </dxf>
    <dxf>
      <fill>
        <patternFill>
          <bgColor rgb="FF4F606C"/>
        </patternFill>
      </fill>
    </dxf>
    <dxf>
      <fill>
        <patternFill>
          <bgColor rgb="FF4F606C"/>
        </patternFill>
      </fill>
    </dxf>
    <dxf>
      <fill>
        <patternFill patternType="solid"/>
      </fill>
    </dxf>
    <dxf>
      <fill>
        <patternFill patternType="solid"/>
      </fill>
    </dxf>
    <dxf>
      <font>
        <sz val="9"/>
      </font>
    </dxf>
    <dxf>
      <font>
        <sz val="9"/>
      </font>
    </dxf>
    <dxf>
      <font>
        <sz val="9"/>
      </font>
    </dxf>
    <dxf>
      <font>
        <sz val="9"/>
      </font>
    </dxf>
    <dxf>
      <font>
        <sz val="9"/>
      </font>
    </dxf>
    <dxf>
      <font>
        <sz val="9"/>
      </font>
    </dxf>
    <dxf>
      <font>
        <name val="Lato"/>
        <scheme val="none"/>
      </font>
    </dxf>
    <dxf>
      <font>
        <name val="Lato"/>
        <scheme val="none"/>
      </font>
    </dxf>
    <dxf>
      <font>
        <name val="Lato"/>
        <scheme val="none"/>
      </font>
    </dxf>
    <dxf>
      <font>
        <name val="Lato"/>
        <scheme val="none"/>
      </font>
    </dxf>
    <dxf>
      <font>
        <name val="Lato"/>
        <scheme val="none"/>
      </font>
    </dxf>
    <dxf>
      <font>
        <name val="Lato"/>
        <scheme val="none"/>
      </font>
    </dxf>
    <dxf>
      <font>
        <sz val="10"/>
        <color rgb="FF9CABB6"/>
        <name val="Lato"/>
        <family val="2"/>
        <scheme val="none"/>
      </font>
      <fill>
        <patternFill patternType="solid">
          <fgColor indexed="64"/>
          <bgColor rgb="FF000000"/>
        </patternFill>
      </fill>
      <border diagonalUp="0" diagonalDown="0">
        <left/>
        <right/>
        <top/>
        <bottom/>
        <vertical/>
        <horizontal/>
      </border>
    </dxf>
    <dxf>
      <font>
        <b/>
        <i val="0"/>
        <sz val="12"/>
        <color rgb="FF9CABB6"/>
        <name val="Lato"/>
        <family val="2"/>
      </font>
      <fill>
        <patternFill patternType="solid">
          <bgColor rgb="FF000000"/>
        </patternFill>
      </fill>
      <border diagonalUp="0" diagonalDown="0">
        <left/>
        <right/>
        <top/>
        <bottom/>
        <vertical/>
        <horizontal/>
      </border>
    </dxf>
    <dxf>
      <fill>
        <patternFill>
          <fgColor rgb="FF000000"/>
        </patternFill>
      </fill>
    </dxf>
  </dxfs>
  <tableStyles count="2" defaultTableStyle="TableStyleMedium2" defaultPivotStyle="PivotStyleLight16">
    <tableStyle name="Slicer Style 1" pivot="0" table="0" count="1" xr9:uid="{4FBEDCD2-CCE9-473D-9816-D0BD377ED72A}">
      <tableStyleElement type="wholeTable" dxfId="354"/>
    </tableStyle>
    <tableStyle name="Slicer Style 2" pivot="0" table="0" count="3" xr9:uid="{85866D72-7C3B-4F2B-96B1-A834899A44EF}">
      <tableStyleElement type="wholeTable" dxfId="353"/>
      <tableStyleElement type="headerRow" dxfId="352"/>
    </tableStyle>
  </tableStyles>
  <colors>
    <mruColors>
      <color rgb="FFF2C4C4"/>
      <color rgb="FFFFB7B7"/>
      <color rgb="FF9CABB6"/>
      <color rgb="FF000000"/>
      <color rgb="FF263036"/>
      <color rgb="FF1C242A"/>
      <color rgb="FF4F606C"/>
      <color rgb="FF333F47"/>
    </mruColors>
  </colors>
  <extLst>
    <ext xmlns:x14="http://schemas.microsoft.com/office/spreadsheetml/2009/9/main" uri="{46F421CA-312F-682f-3DD2-61675219B42D}">
      <x14:dxfs count="1">
        <dxf>
          <font>
            <sz val="12"/>
            <color theme="7" tint="0.39994506668294322"/>
            <name val="Lato"/>
            <family val="2"/>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'Tables and Pivots'!$AB$2</c:f>
              <c:strCache>
                <c:ptCount val="1"/>
                <c:pt idx="0">
                  <c:v>PROFILED</c:v>
                </c:pt>
              </c:strCache>
            </c:strRef>
          </c:tx>
          <c:spPr>
            <a:ln w="28575" cap="rnd">
              <a:solidFill>
                <a:schemeClr val="accent5">
                  <a:lumMod val="60000"/>
                  <a:lumOff val="40000"/>
                </a:schemeClr>
              </a:solidFill>
              <a:round/>
            </a:ln>
            <a:effectLst/>
          </c:spPr>
          <c:marker>
            <c:symbol val="none"/>
          </c:marker>
          <c:dLbls>
            <c:dLbl>
              <c:idx val="1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00B4-4187-8ACE-B1ACC0D357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Pivots'!$Z$3:$Z$14</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Pivots'!$AB$3:$AB$14</c:f>
              <c:numCache>
                <c:formatCode>General</c:formatCode>
                <c:ptCount val="12"/>
                <c:pt idx="0">
                  <c:v>10</c:v>
                </c:pt>
                <c:pt idx="1">
                  <c:v>18</c:v>
                </c:pt>
                <c:pt idx="2">
                  <c:v>23</c:v>
                </c:pt>
                <c:pt idx="3">
                  <c:v>10</c:v>
                </c:pt>
                <c:pt idx="4">
                  <c:v>7</c:v>
                </c:pt>
                <c:pt idx="5">
                  <c:v>31</c:v>
                </c:pt>
                <c:pt idx="6">
                  <c:v>12</c:v>
                </c:pt>
                <c:pt idx="7">
                  <c:v>14</c:v>
                </c:pt>
                <c:pt idx="8">
                  <c:v>0</c:v>
                </c:pt>
                <c:pt idx="9">
                  <c:v>0</c:v>
                </c:pt>
                <c:pt idx="10">
                  <c:v>0</c:v>
                </c:pt>
                <c:pt idx="11">
                  <c:v>0</c:v>
                </c:pt>
              </c:numCache>
            </c:numRef>
          </c:val>
          <c:smooth val="0"/>
          <c:extLst>
            <c:ext xmlns:c16="http://schemas.microsoft.com/office/drawing/2014/chart" uri="{C3380CC4-5D6E-409C-BE32-E72D297353CC}">
              <c16:uniqueId val="{00000000-F6C0-44B0-A28C-040B1B6EE39C}"/>
            </c:ext>
          </c:extLst>
        </c:ser>
        <c:dLbls>
          <c:showLegendKey val="0"/>
          <c:showVal val="0"/>
          <c:showCatName val="0"/>
          <c:showSerName val="0"/>
          <c:showPercent val="0"/>
          <c:showBubbleSize val="0"/>
        </c:dLbls>
        <c:smooth val="0"/>
        <c:axId val="2042184192"/>
        <c:axId val="2042177536"/>
      </c:lineChart>
      <c:dateAx>
        <c:axId val="204218419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2177536"/>
        <c:crosses val="autoZero"/>
        <c:auto val="1"/>
        <c:lblOffset val="100"/>
        <c:baseTimeUnit val="months"/>
      </c:dateAx>
      <c:valAx>
        <c:axId val="204217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21841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'Tables and Pivots'!$AC$2</c:f>
              <c:strCache>
                <c:ptCount val="1"/>
                <c:pt idx="0">
                  <c:v>MILESTONE</c:v>
                </c:pt>
              </c:strCache>
            </c:strRef>
          </c:tx>
          <c:spPr>
            <a:ln w="28575" cap="rnd">
              <a:solidFill>
                <a:schemeClr val="accent2">
                  <a:lumMod val="60000"/>
                  <a:lumOff val="40000"/>
                </a:schemeClr>
              </a:solidFill>
              <a:round/>
            </a:ln>
            <a:effectLst/>
          </c:spPr>
          <c:marker>
            <c:symbol val="none"/>
          </c:marker>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89B7-4C20-99AA-E831150159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Pivots'!$Z$3:$Z$14</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Pivots'!$AC$3:$AC$14</c:f>
              <c:numCache>
                <c:formatCode>General</c:formatCode>
                <c:ptCount val="12"/>
                <c:pt idx="0">
                  <c:v>1</c:v>
                </c:pt>
                <c:pt idx="1">
                  <c:v>11</c:v>
                </c:pt>
                <c:pt idx="2">
                  <c:v>5</c:v>
                </c:pt>
                <c:pt idx="3">
                  <c:v>0</c:v>
                </c:pt>
                <c:pt idx="4">
                  <c:v>0</c:v>
                </c:pt>
                <c:pt idx="5">
                  <c:v>3</c:v>
                </c:pt>
                <c:pt idx="6">
                  <c:v>3</c:v>
                </c:pt>
                <c:pt idx="7">
                  <c:v>0</c:v>
                </c:pt>
                <c:pt idx="8">
                  <c:v>0</c:v>
                </c:pt>
                <c:pt idx="9">
                  <c:v>0</c:v>
                </c:pt>
                <c:pt idx="10">
                  <c:v>0</c:v>
                </c:pt>
                <c:pt idx="11">
                  <c:v>0</c:v>
                </c:pt>
              </c:numCache>
            </c:numRef>
          </c:val>
          <c:smooth val="0"/>
          <c:extLst>
            <c:ext xmlns:c16="http://schemas.microsoft.com/office/drawing/2014/chart" uri="{C3380CC4-5D6E-409C-BE32-E72D297353CC}">
              <c16:uniqueId val="{00000000-047E-42CC-9ED3-480E211FEC09}"/>
            </c:ext>
          </c:extLst>
        </c:ser>
        <c:dLbls>
          <c:showLegendKey val="0"/>
          <c:showVal val="0"/>
          <c:showCatName val="0"/>
          <c:showSerName val="0"/>
          <c:showPercent val="0"/>
          <c:showBubbleSize val="0"/>
        </c:dLbls>
        <c:smooth val="0"/>
        <c:axId val="2042176288"/>
        <c:axId val="2042176704"/>
      </c:lineChart>
      <c:dateAx>
        <c:axId val="20421762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2176704"/>
        <c:crosses val="autoZero"/>
        <c:auto val="1"/>
        <c:lblOffset val="100"/>
        <c:baseTimeUnit val="months"/>
      </c:dateAx>
      <c:valAx>
        <c:axId val="204217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762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'Tables and Pivots'!$AM$3</c:f>
              <c:strCache>
                <c:ptCount val="1"/>
                <c:pt idx="0">
                  <c:v>PAID</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Pivots'!$AF$4:$AF$15</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Pivots'!$AM$4:$AM$15</c:f>
              <c:numCache>
                <c:formatCode>0%</c:formatCode>
                <c:ptCount val="12"/>
                <c:pt idx="0">
                  <c:v>1</c:v>
                </c:pt>
                <c:pt idx="1">
                  <c:v>1</c:v>
                </c:pt>
                <c:pt idx="2">
                  <c:v>0.99625431089107719</c:v>
                </c:pt>
                <c:pt idx="3">
                  <c:v>1</c:v>
                </c:pt>
                <c:pt idx="4">
                  <c:v>0.93983825716233704</c:v>
                </c:pt>
                <c:pt idx="5">
                  <c:v>0.56911576555151511</c:v>
                </c:pt>
                <c:pt idx="6">
                  <c:v>0.28850822951115995</c:v>
                </c:pt>
                <c:pt idx="7">
                  <c:v>1.8255023061611201E-2</c:v>
                </c:pt>
                <c:pt idx="8">
                  <c:v>0</c:v>
                </c:pt>
                <c:pt idx="9">
                  <c:v>0</c:v>
                </c:pt>
                <c:pt idx="10">
                  <c:v>0</c:v>
                </c:pt>
                <c:pt idx="11">
                  <c:v>0</c:v>
                </c:pt>
              </c:numCache>
            </c:numRef>
          </c:val>
          <c:extLst>
            <c:ext xmlns:c16="http://schemas.microsoft.com/office/drawing/2014/chart" uri="{C3380CC4-5D6E-409C-BE32-E72D297353CC}">
              <c16:uniqueId val="{00000000-E41D-4544-B116-61EC3F49331E}"/>
            </c:ext>
          </c:extLst>
        </c:ser>
        <c:ser>
          <c:idx val="1"/>
          <c:order val="1"/>
          <c:tx>
            <c:strRef>
              <c:f>'Tables and Pivots'!$AN$3</c:f>
              <c:strCache>
                <c:ptCount val="1"/>
                <c:pt idx="0">
                  <c:v>UNPAID</c:v>
                </c:pt>
              </c:strCache>
            </c:strRef>
          </c:tx>
          <c:spPr>
            <a:solidFill>
              <a:srgbClr val="FFB7B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Pivots'!$AF$4:$AF$15</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Pivots'!$AN$4:$AN$15</c:f>
              <c:numCache>
                <c:formatCode>0%</c:formatCode>
                <c:ptCount val="12"/>
                <c:pt idx="0">
                  <c:v>0</c:v>
                </c:pt>
                <c:pt idx="1">
                  <c:v>0</c:v>
                </c:pt>
                <c:pt idx="2">
                  <c:v>3.7456891089229149E-3</c:v>
                </c:pt>
                <c:pt idx="3">
                  <c:v>0</c:v>
                </c:pt>
                <c:pt idx="4">
                  <c:v>6.0161742837663013E-2</c:v>
                </c:pt>
                <c:pt idx="5">
                  <c:v>0.43088423444848489</c:v>
                </c:pt>
                <c:pt idx="6">
                  <c:v>0.71149177048884005</c:v>
                </c:pt>
                <c:pt idx="7">
                  <c:v>0.9817449769383888</c:v>
                </c:pt>
                <c:pt idx="8">
                  <c:v>0</c:v>
                </c:pt>
                <c:pt idx="9">
                  <c:v>0</c:v>
                </c:pt>
                <c:pt idx="10">
                  <c:v>0</c:v>
                </c:pt>
                <c:pt idx="11">
                  <c:v>0</c:v>
                </c:pt>
              </c:numCache>
            </c:numRef>
          </c:val>
          <c:extLst>
            <c:ext xmlns:c16="http://schemas.microsoft.com/office/drawing/2014/chart" uri="{C3380CC4-5D6E-409C-BE32-E72D297353CC}">
              <c16:uniqueId val="{00000001-E41D-4544-B116-61EC3F49331E}"/>
            </c:ext>
          </c:extLst>
        </c:ser>
        <c:dLbls>
          <c:dLblPos val="ctr"/>
          <c:showLegendKey val="0"/>
          <c:showVal val="1"/>
          <c:showCatName val="0"/>
          <c:showSerName val="0"/>
          <c:showPercent val="0"/>
          <c:showBubbleSize val="0"/>
        </c:dLbls>
        <c:gapWidth val="25"/>
        <c:overlap val="100"/>
        <c:axId val="1492555664"/>
        <c:axId val="1492560656"/>
      </c:barChart>
      <c:dateAx>
        <c:axId val="14925556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560656"/>
        <c:crosses val="autoZero"/>
        <c:auto val="1"/>
        <c:lblOffset val="100"/>
        <c:baseTimeUnit val="months"/>
      </c:dateAx>
      <c:valAx>
        <c:axId val="1492560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55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'Tables and Pivots'!$AQ$3</c:f>
              <c:strCache>
                <c:ptCount val="1"/>
                <c:pt idx="0">
                  <c:v>PAID</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Pivots'!$AF$4:$AF$15</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Pivots'!$AQ$4:$AQ$15</c:f>
              <c:numCache>
                <c:formatCode>0%</c:formatCode>
                <c:ptCount val="12"/>
                <c:pt idx="0">
                  <c:v>1</c:v>
                </c:pt>
                <c:pt idx="1">
                  <c:v>0.2726012209155268</c:v>
                </c:pt>
                <c:pt idx="2">
                  <c:v>1</c:v>
                </c:pt>
                <c:pt idx="3">
                  <c:v>0</c:v>
                </c:pt>
                <c:pt idx="4">
                  <c:v>0</c:v>
                </c:pt>
                <c:pt idx="5">
                  <c:v>0.78063440519502236</c:v>
                </c:pt>
                <c:pt idx="6">
                  <c:v>0.93894911069204579</c:v>
                </c:pt>
                <c:pt idx="7">
                  <c:v>0</c:v>
                </c:pt>
                <c:pt idx="8">
                  <c:v>0</c:v>
                </c:pt>
                <c:pt idx="9">
                  <c:v>0</c:v>
                </c:pt>
                <c:pt idx="10">
                  <c:v>0</c:v>
                </c:pt>
                <c:pt idx="11">
                  <c:v>0</c:v>
                </c:pt>
              </c:numCache>
            </c:numRef>
          </c:val>
          <c:extLst>
            <c:ext xmlns:c16="http://schemas.microsoft.com/office/drawing/2014/chart" uri="{C3380CC4-5D6E-409C-BE32-E72D297353CC}">
              <c16:uniqueId val="{00000000-80CD-4E37-AE1F-A6A4AAD4DC23}"/>
            </c:ext>
          </c:extLst>
        </c:ser>
        <c:ser>
          <c:idx val="1"/>
          <c:order val="1"/>
          <c:tx>
            <c:strRef>
              <c:f>'Tables and Pivots'!$AR$3</c:f>
              <c:strCache>
                <c:ptCount val="1"/>
                <c:pt idx="0">
                  <c:v>UNPAID</c:v>
                </c:pt>
              </c:strCache>
            </c:strRef>
          </c:tx>
          <c:spPr>
            <a:solidFill>
              <a:srgbClr val="FFB7B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Pivots'!$AF$4:$AF$15</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Pivots'!$AR$4:$AR$15</c:f>
              <c:numCache>
                <c:formatCode>0%</c:formatCode>
                <c:ptCount val="12"/>
                <c:pt idx="0">
                  <c:v>0</c:v>
                </c:pt>
                <c:pt idx="1">
                  <c:v>0.72739877908447326</c:v>
                </c:pt>
                <c:pt idx="2">
                  <c:v>0</c:v>
                </c:pt>
                <c:pt idx="3">
                  <c:v>0</c:v>
                </c:pt>
                <c:pt idx="4">
                  <c:v>0</c:v>
                </c:pt>
                <c:pt idx="5">
                  <c:v>0.21936559480497764</c:v>
                </c:pt>
                <c:pt idx="6">
                  <c:v>6.1050889307954249E-2</c:v>
                </c:pt>
                <c:pt idx="7">
                  <c:v>0</c:v>
                </c:pt>
                <c:pt idx="8">
                  <c:v>0</c:v>
                </c:pt>
                <c:pt idx="9">
                  <c:v>0</c:v>
                </c:pt>
                <c:pt idx="10">
                  <c:v>0</c:v>
                </c:pt>
                <c:pt idx="11">
                  <c:v>0</c:v>
                </c:pt>
              </c:numCache>
            </c:numRef>
          </c:val>
          <c:extLst>
            <c:ext xmlns:c16="http://schemas.microsoft.com/office/drawing/2014/chart" uri="{C3380CC4-5D6E-409C-BE32-E72D297353CC}">
              <c16:uniqueId val="{00000001-80CD-4E37-AE1F-A6A4AAD4DC23}"/>
            </c:ext>
          </c:extLst>
        </c:ser>
        <c:dLbls>
          <c:showLegendKey val="0"/>
          <c:showVal val="0"/>
          <c:showCatName val="0"/>
          <c:showSerName val="0"/>
          <c:showPercent val="0"/>
          <c:showBubbleSize val="0"/>
        </c:dLbls>
        <c:gapWidth val="25"/>
        <c:overlap val="100"/>
        <c:axId val="1420027120"/>
        <c:axId val="1420033360"/>
      </c:barChart>
      <c:dateAx>
        <c:axId val="142002712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0033360"/>
        <c:crosses val="autoZero"/>
        <c:auto val="1"/>
        <c:lblOffset val="100"/>
        <c:baseTimeUnit val="months"/>
      </c:dateAx>
      <c:valAx>
        <c:axId val="1420033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00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399937252741365E-2"/>
          <c:y val="7.6388888888888895E-2"/>
          <c:w val="0.8640655632331673"/>
          <c:h val="0.64466426071741034"/>
        </c:manualLayout>
      </c:layout>
      <c:lineChart>
        <c:grouping val="standard"/>
        <c:varyColors val="0"/>
        <c:ser>
          <c:idx val="0"/>
          <c:order val="0"/>
          <c:tx>
            <c:strRef>
              <c:f>'Tables and Pivots'!$AA$2</c:f>
              <c:strCache>
                <c:ptCount val="1"/>
                <c:pt idx="0">
                  <c:v>WORK</c:v>
                </c:pt>
              </c:strCache>
            </c:strRef>
          </c:tx>
          <c:spPr>
            <a:ln w="28575" cap="rnd">
              <a:solidFill>
                <a:schemeClr val="accent6">
                  <a:lumMod val="60000"/>
                  <a:lumOff val="40000"/>
                </a:schemeClr>
              </a:solidFill>
              <a:round/>
            </a:ln>
            <a:effectLst/>
          </c:spPr>
          <c:marker>
            <c:symbol val="none"/>
          </c:marker>
          <c:dLbls>
            <c:dLbl>
              <c:idx val="1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C56E-4419-83BA-7748C96E5C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Pivots'!$Z$3:$Z$14</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Pivots'!$AA$3:$AA$14</c:f>
              <c:numCache>
                <c:formatCode>General</c:formatCode>
                <c:ptCount val="12"/>
                <c:pt idx="0">
                  <c:v>0</c:v>
                </c:pt>
                <c:pt idx="1">
                  <c:v>55</c:v>
                </c:pt>
                <c:pt idx="2">
                  <c:v>56</c:v>
                </c:pt>
                <c:pt idx="3">
                  <c:v>32</c:v>
                </c:pt>
                <c:pt idx="4">
                  <c:v>32</c:v>
                </c:pt>
                <c:pt idx="5">
                  <c:v>65</c:v>
                </c:pt>
                <c:pt idx="6">
                  <c:v>24</c:v>
                </c:pt>
                <c:pt idx="7">
                  <c:v>40</c:v>
                </c:pt>
                <c:pt idx="8">
                  <c:v>0</c:v>
                </c:pt>
                <c:pt idx="9">
                  <c:v>0</c:v>
                </c:pt>
                <c:pt idx="10">
                  <c:v>0</c:v>
                </c:pt>
                <c:pt idx="11">
                  <c:v>0</c:v>
                </c:pt>
              </c:numCache>
            </c:numRef>
          </c:val>
          <c:smooth val="0"/>
          <c:extLst>
            <c:ext xmlns:c16="http://schemas.microsoft.com/office/drawing/2014/chart" uri="{C3380CC4-5D6E-409C-BE32-E72D297353CC}">
              <c16:uniqueId val="{00000000-FADA-43FA-B8DB-025A3B5375F3}"/>
            </c:ext>
          </c:extLst>
        </c:ser>
        <c:dLbls>
          <c:showLegendKey val="0"/>
          <c:showVal val="0"/>
          <c:showCatName val="0"/>
          <c:showSerName val="0"/>
          <c:showPercent val="0"/>
          <c:showBubbleSize val="0"/>
        </c:dLbls>
        <c:smooth val="0"/>
        <c:axId val="1998997952"/>
        <c:axId val="1998984640"/>
      </c:lineChart>
      <c:dateAx>
        <c:axId val="1998997952"/>
        <c:scaling>
          <c:orientation val="minMax"/>
        </c:scaling>
        <c:delete val="0"/>
        <c:axPos val="b"/>
        <c:numFmt formatCode="mmm\-yy"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984640"/>
        <c:crosses val="autoZero"/>
        <c:auto val="1"/>
        <c:lblOffset val="100"/>
        <c:baseTimeUnit val="months"/>
      </c:dateAx>
      <c:valAx>
        <c:axId val="199898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997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'Tables and Pivots'!$AI$3</c:f>
              <c:strCache>
                <c:ptCount val="1"/>
                <c:pt idx="0">
                  <c:v>PAID</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'Tables and Pivots'!$AF$4:$AF$15</c:f>
              <c:numCache>
                <c:formatCode>mmm\-yy</c:formatCode>
                <c:ptCount val="12"/>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numCache>
            </c:numRef>
          </c:cat>
          <c:val>
            <c:numRef>
              <c:f>'Tables and Pivots'!$AI$4:$AI$15</c:f>
              <c:numCache>
                <c:formatCode>0%</c:formatCode>
                <c:ptCount val="12"/>
                <c:pt idx="0">
                  <c:v>0</c:v>
                </c:pt>
                <c:pt idx="1">
                  <c:v>0.96238287199060368</c:v>
                </c:pt>
                <c:pt idx="2">
                  <c:v>0.9587614032090177</c:v>
                </c:pt>
                <c:pt idx="3">
                  <c:v>0.6906545023052898</c:v>
                </c:pt>
                <c:pt idx="4">
                  <c:v>0.78303980980670485</c:v>
                </c:pt>
                <c:pt idx="5">
                  <c:v>0.60971289546976748</c:v>
                </c:pt>
                <c:pt idx="6">
                  <c:v>0.50596060480349525</c:v>
                </c:pt>
                <c:pt idx="7">
                  <c:v>0</c:v>
                </c:pt>
                <c:pt idx="8">
                  <c:v>0</c:v>
                </c:pt>
                <c:pt idx="9">
                  <c:v>0</c:v>
                </c:pt>
                <c:pt idx="10">
                  <c:v>0</c:v>
                </c:pt>
                <c:pt idx="11">
                  <c:v>0</c:v>
                </c:pt>
              </c:numCache>
            </c:numRef>
          </c:val>
          <c:extLst>
            <c:ext xmlns:c16="http://schemas.microsoft.com/office/drawing/2014/chart" uri="{C3380CC4-5D6E-409C-BE32-E72D297353CC}">
              <c16:uniqueId val="{00000000-CD77-4474-9906-70C06A56E06B}"/>
            </c:ext>
          </c:extLst>
        </c:ser>
        <c:ser>
          <c:idx val="1"/>
          <c:order val="1"/>
          <c:tx>
            <c:strRef>
              <c:f>'Tables and Pivots'!$AJ$3</c:f>
              <c:strCache>
                <c:ptCount val="1"/>
                <c:pt idx="0">
                  <c:v>UNPAID</c:v>
                </c:pt>
              </c:strCache>
            </c:strRef>
          </c:tx>
          <c:spPr>
            <a:solidFill>
              <a:srgbClr val="FFB7B7"/>
            </a:solidFill>
            <a:ln>
              <a:noFill/>
            </a:ln>
            <a:effectLst/>
          </c:spPr>
          <c:invertIfNegative val="0"/>
          <c:dPt>
            <c:idx val="0"/>
            <c:invertIfNegative val="0"/>
            <c:bubble3D val="0"/>
            <c:spPr>
              <a:solidFill>
                <a:srgbClr val="FFB7B7"/>
              </a:solidFill>
              <a:ln>
                <a:noFill/>
              </a:ln>
              <a:effectLst/>
            </c:spPr>
            <c:extLst>
              <c:ext xmlns:c16="http://schemas.microsoft.com/office/drawing/2014/chart" uri="{C3380CC4-5D6E-409C-BE32-E72D297353CC}">
                <c16:uniqueId val="{00000003-CD77-4474-9906-70C06A56E06B}"/>
              </c:ext>
            </c:extLst>
          </c:dPt>
          <c:dPt>
            <c:idx val="1"/>
            <c:invertIfNegative val="0"/>
            <c:bubble3D val="0"/>
            <c:spPr>
              <a:solidFill>
                <a:srgbClr val="FFB7B7"/>
              </a:solidFill>
              <a:ln>
                <a:noFill/>
              </a:ln>
              <a:effectLst/>
            </c:spPr>
            <c:extLst>
              <c:ext xmlns:c16="http://schemas.microsoft.com/office/drawing/2014/chart" uri="{C3380CC4-5D6E-409C-BE32-E72D297353CC}">
                <c16:uniqueId val="{00000004-CD77-4474-9906-70C06A56E06B}"/>
              </c:ext>
            </c:extLst>
          </c:dPt>
          <c:dPt>
            <c:idx val="2"/>
            <c:invertIfNegative val="0"/>
            <c:bubble3D val="0"/>
            <c:spPr>
              <a:solidFill>
                <a:srgbClr val="FFB7B7"/>
              </a:solidFill>
              <a:ln>
                <a:noFill/>
              </a:ln>
              <a:effectLst/>
            </c:spPr>
            <c:extLst>
              <c:ext xmlns:c16="http://schemas.microsoft.com/office/drawing/2014/chart" uri="{C3380CC4-5D6E-409C-BE32-E72D297353CC}">
                <c16:uniqueId val="{00000005-CD77-4474-9906-70C06A56E06B}"/>
              </c:ext>
            </c:extLst>
          </c:dPt>
          <c:dPt>
            <c:idx val="3"/>
            <c:invertIfNegative val="0"/>
            <c:bubble3D val="0"/>
            <c:spPr>
              <a:solidFill>
                <a:srgbClr val="FFB7B7"/>
              </a:solidFill>
              <a:ln>
                <a:noFill/>
              </a:ln>
              <a:effectLst/>
            </c:spPr>
            <c:extLst>
              <c:ext xmlns:c16="http://schemas.microsoft.com/office/drawing/2014/chart" uri="{C3380CC4-5D6E-409C-BE32-E72D297353CC}">
                <c16:uniqueId val="{00000007-CB47-4FEF-92EA-53DED1A3C6B5}"/>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'Tables and Pivots'!$AJ$4:$AJ$15</c:f>
              <c:numCache>
                <c:formatCode>0%</c:formatCode>
                <c:ptCount val="12"/>
                <c:pt idx="0">
                  <c:v>0</c:v>
                </c:pt>
                <c:pt idx="1">
                  <c:v>3.7617128009396282E-2</c:v>
                </c:pt>
                <c:pt idx="2">
                  <c:v>4.1238596790982344E-2</c:v>
                </c:pt>
                <c:pt idx="3">
                  <c:v>0.30934549769471026</c:v>
                </c:pt>
                <c:pt idx="4">
                  <c:v>0.21696019019329513</c:v>
                </c:pt>
                <c:pt idx="5">
                  <c:v>0.39028710453023258</c:v>
                </c:pt>
                <c:pt idx="6">
                  <c:v>0.49403939519650475</c:v>
                </c:pt>
                <c:pt idx="7">
                  <c:v>1</c:v>
                </c:pt>
                <c:pt idx="8">
                  <c:v>0</c:v>
                </c:pt>
                <c:pt idx="9">
                  <c:v>0</c:v>
                </c:pt>
                <c:pt idx="10">
                  <c:v>0</c:v>
                </c:pt>
                <c:pt idx="11">
                  <c:v>0</c:v>
                </c:pt>
              </c:numCache>
            </c:numRef>
          </c:val>
          <c:extLst>
            <c:ext xmlns:c16="http://schemas.microsoft.com/office/drawing/2014/chart" uri="{C3380CC4-5D6E-409C-BE32-E72D297353CC}">
              <c16:uniqueId val="{00000001-CD77-4474-9906-70C06A56E06B}"/>
            </c:ext>
          </c:extLst>
        </c:ser>
        <c:dLbls>
          <c:showLegendKey val="0"/>
          <c:showVal val="0"/>
          <c:showCatName val="0"/>
          <c:showSerName val="0"/>
          <c:showPercent val="0"/>
          <c:showBubbleSize val="0"/>
        </c:dLbls>
        <c:gapWidth val="25"/>
        <c:overlap val="100"/>
        <c:axId val="1423082912"/>
        <c:axId val="1423083328"/>
      </c:barChart>
      <c:dateAx>
        <c:axId val="14230829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083328"/>
        <c:crosses val="autoZero"/>
        <c:auto val="1"/>
        <c:lblOffset val="100"/>
        <c:baseTimeUnit val="months"/>
      </c:dateAx>
      <c:valAx>
        <c:axId val="1423083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0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bg1"/>
                </a:solidFill>
                <a:latin typeface="Roboto" panose="02000000000000000000" pitchFamily="2" charset="0"/>
                <a:ea typeface="Roboto" panose="02000000000000000000" pitchFamily="2" charset="0"/>
              </a:rPr>
              <a:t>INVOICES AUTOMATED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Analysis!$B$5</c:f>
              <c:strCache>
                <c:ptCount val="1"/>
                <c:pt idx="0">
                  <c:v>Work</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3"/>
            <c:marker>
              <c:symbol val="circle"/>
              <c:size val="5"/>
              <c:spPr>
                <a:solidFill>
                  <a:srgbClr val="FFFF00"/>
                </a:solidFill>
                <a:ln w="9525">
                  <a:noFill/>
                </a:ln>
                <a:effectLst/>
              </c:spPr>
            </c:marker>
            <c:bubble3D val="0"/>
            <c:extLst>
              <c:ext xmlns:c16="http://schemas.microsoft.com/office/drawing/2014/chart" uri="{C3380CC4-5D6E-409C-BE32-E72D297353CC}">
                <c16:uniqueId val="{00000008-8ACE-4418-B533-0755B058F2F5}"/>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9-8ACE-4418-B533-0755B058F2F5}"/>
              </c:ext>
            </c:extLst>
          </c:dPt>
          <c:dPt>
            <c:idx val="5"/>
            <c:marker>
              <c:symbol val="circle"/>
              <c:size val="5"/>
              <c:spPr>
                <a:solidFill>
                  <a:srgbClr val="C00000"/>
                </a:solidFill>
                <a:ln w="9525">
                  <a:noFill/>
                </a:ln>
                <a:effectLst/>
              </c:spPr>
            </c:marker>
            <c:bubble3D val="0"/>
            <c:extLst>
              <c:ext xmlns:c16="http://schemas.microsoft.com/office/drawing/2014/chart" uri="{C3380CC4-5D6E-409C-BE32-E72D297353CC}">
                <c16:uniqueId val="{00000006-62B8-41F7-85B6-2F2B2B8FAD50}"/>
              </c:ext>
            </c:extLst>
          </c:dPt>
          <c:dLbls>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8-8ACE-4418-B533-0755B058F2F5}"/>
                </c:ext>
              </c:extLst>
            </c:dLbl>
            <c:dLbl>
              <c:idx val="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62B8-41F7-85B6-2F2B2B8FAD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Analysis!$C$4:$H$4</c:f>
              <c:strCache>
                <c:ptCount val="6"/>
                <c:pt idx="0">
                  <c:v>2019-20</c:v>
                </c:pt>
                <c:pt idx="1">
                  <c:v>2020-21</c:v>
                </c:pt>
                <c:pt idx="2">
                  <c:v>2021-22</c:v>
                </c:pt>
                <c:pt idx="3">
                  <c:v>2022-23</c:v>
                </c:pt>
                <c:pt idx="4">
                  <c:v>2023-24</c:v>
                </c:pt>
                <c:pt idx="5">
                  <c:v>2024-25</c:v>
                </c:pt>
              </c:strCache>
            </c:strRef>
          </c:cat>
          <c:val>
            <c:numRef>
              <c:f>Analysis!$C$5:$H$5</c:f>
              <c:numCache>
                <c:formatCode>#,##0_ ;[Red]\-#,##0\ </c:formatCode>
                <c:ptCount val="6"/>
                <c:pt idx="0">
                  <c:v>652</c:v>
                </c:pt>
                <c:pt idx="1">
                  <c:v>557</c:v>
                </c:pt>
                <c:pt idx="2">
                  <c:v>652</c:v>
                </c:pt>
                <c:pt idx="3">
                  <c:v>664</c:v>
                </c:pt>
                <c:pt idx="4">
                  <c:v>575</c:v>
                </c:pt>
                <c:pt idx="5">
                  <c:v>533</c:v>
                </c:pt>
              </c:numCache>
            </c:numRef>
          </c:val>
          <c:smooth val="0"/>
          <c:extLst>
            <c:ext xmlns:c16="http://schemas.microsoft.com/office/drawing/2014/chart" uri="{C3380CC4-5D6E-409C-BE32-E72D297353CC}">
              <c16:uniqueId val="{00000000-8ACE-4418-B533-0755B058F2F5}"/>
            </c:ext>
          </c:extLst>
        </c:ser>
        <c:ser>
          <c:idx val="1"/>
          <c:order val="1"/>
          <c:tx>
            <c:strRef>
              <c:f>Analysis!$B$7</c:f>
              <c:strCache>
                <c:ptCount val="1"/>
                <c:pt idx="0">
                  <c:v>Profiled</c:v>
                </c:pt>
              </c:strCache>
            </c:strRef>
          </c:tx>
          <c:spPr>
            <a:ln w="28575" cap="rnd">
              <a:solidFill>
                <a:schemeClr val="accent1"/>
              </a:solidFill>
              <a:round/>
            </a:ln>
            <a:effectLst/>
          </c:spPr>
          <c:marker>
            <c:symbol val="circle"/>
            <c:size val="5"/>
            <c:spPr>
              <a:solidFill>
                <a:schemeClr val="accent1"/>
              </a:solidFill>
              <a:ln w="9525">
                <a:noFill/>
              </a:ln>
              <a:effectLst/>
            </c:spPr>
          </c:marker>
          <c:dPt>
            <c:idx val="1"/>
            <c:marker>
              <c:symbol val="circle"/>
              <c:size val="5"/>
              <c:spPr>
                <a:solidFill>
                  <a:srgbClr val="FFFF00"/>
                </a:solidFill>
                <a:ln w="9525">
                  <a:noFill/>
                </a:ln>
                <a:effectLst/>
              </c:spPr>
            </c:marker>
            <c:bubble3D val="0"/>
            <c:extLst>
              <c:ext xmlns:c16="http://schemas.microsoft.com/office/drawing/2014/chart" uri="{C3380CC4-5D6E-409C-BE32-E72D297353CC}">
                <c16:uniqueId val="{0000000B-8ACE-4418-B533-0755B058F2F5}"/>
              </c:ext>
            </c:extLst>
          </c:dPt>
          <c:dPt>
            <c:idx val="4"/>
            <c:marker>
              <c:symbol val="circle"/>
              <c:size val="5"/>
              <c:spPr>
                <a:solidFill>
                  <a:schemeClr val="accent1"/>
                </a:solidFill>
                <a:ln w="9525">
                  <a:noFill/>
                </a:ln>
                <a:effectLst/>
              </c:spPr>
            </c:marker>
            <c:bubble3D val="0"/>
            <c:extLst>
              <c:ext xmlns:c16="http://schemas.microsoft.com/office/drawing/2014/chart" uri="{C3380CC4-5D6E-409C-BE32-E72D297353CC}">
                <c16:uniqueId val="{0000000A-8ACE-4418-B533-0755B058F2F5}"/>
              </c:ext>
            </c:extLst>
          </c:dPt>
          <c:dPt>
            <c:idx val="5"/>
            <c:marker>
              <c:symbol val="circle"/>
              <c:size val="5"/>
              <c:spPr>
                <a:solidFill>
                  <a:srgbClr val="C00000"/>
                </a:solidFill>
                <a:ln w="9525">
                  <a:noFill/>
                </a:ln>
                <a:effectLst/>
              </c:spPr>
            </c:marker>
            <c:bubble3D val="0"/>
            <c:extLst>
              <c:ext xmlns:c16="http://schemas.microsoft.com/office/drawing/2014/chart" uri="{C3380CC4-5D6E-409C-BE32-E72D297353CC}">
                <c16:uniqueId val="{00000007-62B8-41F7-85B6-2F2B2B8FAD50}"/>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8ACE-4418-B533-0755B058F2F5}"/>
                </c:ext>
              </c:extLst>
            </c:dLbl>
            <c:dLbl>
              <c:idx val="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7-62B8-41F7-85B6-2F2B2B8FAD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Analysis!$C$4:$H$4</c:f>
              <c:strCache>
                <c:ptCount val="6"/>
                <c:pt idx="0">
                  <c:v>2019-20</c:v>
                </c:pt>
                <c:pt idx="1">
                  <c:v>2020-21</c:v>
                </c:pt>
                <c:pt idx="2">
                  <c:v>2021-22</c:v>
                </c:pt>
                <c:pt idx="3">
                  <c:v>2022-23</c:v>
                </c:pt>
                <c:pt idx="4">
                  <c:v>2023-24</c:v>
                </c:pt>
                <c:pt idx="5">
                  <c:v>2024-25</c:v>
                </c:pt>
              </c:strCache>
            </c:strRef>
          </c:cat>
          <c:val>
            <c:numRef>
              <c:f>Analysis!$C$7:$H$7</c:f>
              <c:numCache>
                <c:formatCode>#,##0_ ;[Red]\-#,##0\ </c:formatCode>
                <c:ptCount val="6"/>
                <c:pt idx="0">
                  <c:v>377</c:v>
                </c:pt>
                <c:pt idx="1">
                  <c:v>404</c:v>
                </c:pt>
                <c:pt idx="2">
                  <c:v>377</c:v>
                </c:pt>
                <c:pt idx="3">
                  <c:v>285</c:v>
                </c:pt>
                <c:pt idx="4">
                  <c:v>210</c:v>
                </c:pt>
                <c:pt idx="5">
                  <c:v>179</c:v>
                </c:pt>
              </c:numCache>
            </c:numRef>
          </c:val>
          <c:smooth val="0"/>
          <c:extLst>
            <c:ext xmlns:c16="http://schemas.microsoft.com/office/drawing/2014/chart" uri="{C3380CC4-5D6E-409C-BE32-E72D297353CC}">
              <c16:uniqueId val="{00000001-8ACE-4418-B533-0755B058F2F5}"/>
            </c:ext>
          </c:extLst>
        </c:ser>
        <c:ser>
          <c:idx val="2"/>
          <c:order val="2"/>
          <c:tx>
            <c:strRef>
              <c:f>Analysis!$B$9</c:f>
              <c:strCache>
                <c:ptCount val="1"/>
                <c:pt idx="0">
                  <c:v>Milestone</c:v>
                </c:pt>
              </c:strCache>
            </c:strRef>
          </c:tx>
          <c:spPr>
            <a:ln w="28575" cap="rnd">
              <a:solidFill>
                <a:schemeClr val="accent2"/>
              </a:solidFill>
              <a:round/>
            </a:ln>
            <a:effectLst/>
          </c:spPr>
          <c:marker>
            <c:symbol val="circle"/>
            <c:size val="5"/>
            <c:spPr>
              <a:solidFill>
                <a:schemeClr val="accent2"/>
              </a:solidFill>
              <a:ln w="9525">
                <a:noFill/>
              </a:ln>
              <a:effectLst/>
            </c:spPr>
          </c:marker>
          <c:dPt>
            <c:idx val="1"/>
            <c:marker>
              <c:symbol val="circle"/>
              <c:size val="5"/>
              <c:spPr>
                <a:solidFill>
                  <a:srgbClr val="FFFF00"/>
                </a:solidFill>
                <a:ln w="9525">
                  <a:noFill/>
                </a:ln>
                <a:effectLst/>
              </c:spPr>
            </c:marker>
            <c:bubble3D val="0"/>
            <c:extLst>
              <c:ext xmlns:c16="http://schemas.microsoft.com/office/drawing/2014/chart" uri="{C3380CC4-5D6E-409C-BE32-E72D297353CC}">
                <c16:uniqueId val="{0000000C-8ACE-4418-B533-0755B058F2F5}"/>
              </c:ext>
            </c:extLst>
          </c:dPt>
          <c:dPt>
            <c:idx val="4"/>
            <c:marker>
              <c:symbol val="circle"/>
              <c:size val="5"/>
              <c:spPr>
                <a:solidFill>
                  <a:schemeClr val="accent2"/>
                </a:solidFill>
                <a:ln w="9525">
                  <a:noFill/>
                </a:ln>
                <a:effectLst/>
              </c:spPr>
            </c:marker>
            <c:bubble3D val="0"/>
            <c:extLst>
              <c:ext xmlns:c16="http://schemas.microsoft.com/office/drawing/2014/chart" uri="{C3380CC4-5D6E-409C-BE32-E72D297353CC}">
                <c16:uniqueId val="{00000003-8ACE-4418-B533-0755B058F2F5}"/>
              </c:ext>
            </c:extLst>
          </c:dPt>
          <c:dPt>
            <c:idx val="5"/>
            <c:marker>
              <c:symbol val="circle"/>
              <c:size val="5"/>
              <c:spPr>
                <a:solidFill>
                  <a:srgbClr val="C00000"/>
                </a:solidFill>
                <a:ln w="9525">
                  <a:noFill/>
                </a:ln>
                <a:effectLst/>
              </c:spPr>
            </c:marker>
            <c:bubble3D val="0"/>
            <c:extLst>
              <c:ext xmlns:c16="http://schemas.microsoft.com/office/drawing/2014/chart" uri="{C3380CC4-5D6E-409C-BE32-E72D297353CC}">
                <c16:uniqueId val="{00000008-62B8-41F7-85B6-2F2B2B8FAD50}"/>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C-8ACE-4418-B533-0755B058F2F5}"/>
                </c:ext>
              </c:extLst>
            </c:dLbl>
            <c:dLbl>
              <c:idx val="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8-62B8-41F7-85B6-2F2B2B8FAD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Analysis!$C$4:$H$4</c:f>
              <c:strCache>
                <c:ptCount val="6"/>
                <c:pt idx="0">
                  <c:v>2019-20</c:v>
                </c:pt>
                <c:pt idx="1">
                  <c:v>2020-21</c:v>
                </c:pt>
                <c:pt idx="2">
                  <c:v>2021-22</c:v>
                </c:pt>
                <c:pt idx="3">
                  <c:v>2022-23</c:v>
                </c:pt>
                <c:pt idx="4">
                  <c:v>2023-24</c:v>
                </c:pt>
                <c:pt idx="5">
                  <c:v>2024-25</c:v>
                </c:pt>
              </c:strCache>
            </c:strRef>
          </c:cat>
          <c:val>
            <c:numRef>
              <c:f>Analysis!$C$9:$H$9</c:f>
              <c:numCache>
                <c:formatCode>#,##0_ ;[Red]\-#,##0\ </c:formatCode>
                <c:ptCount val="6"/>
                <c:pt idx="0">
                  <c:v>106</c:v>
                </c:pt>
                <c:pt idx="1">
                  <c:v>174</c:v>
                </c:pt>
                <c:pt idx="2">
                  <c:v>97</c:v>
                </c:pt>
                <c:pt idx="3">
                  <c:v>70</c:v>
                </c:pt>
                <c:pt idx="4">
                  <c:v>68</c:v>
                </c:pt>
                <c:pt idx="5">
                  <c:v>55</c:v>
                </c:pt>
              </c:numCache>
            </c:numRef>
          </c:val>
          <c:smooth val="0"/>
          <c:extLst>
            <c:ext xmlns:c16="http://schemas.microsoft.com/office/drawing/2014/chart" uri="{C3380CC4-5D6E-409C-BE32-E72D297353CC}">
              <c16:uniqueId val="{00000002-8ACE-4418-B533-0755B058F2F5}"/>
            </c:ext>
          </c:extLst>
        </c:ser>
        <c:dLbls>
          <c:dLblPos val="t"/>
          <c:showLegendKey val="0"/>
          <c:showVal val="1"/>
          <c:showCatName val="0"/>
          <c:showSerName val="0"/>
          <c:showPercent val="0"/>
          <c:showBubbleSize val="0"/>
        </c:dLbls>
        <c:marker val="1"/>
        <c:smooth val="0"/>
        <c:axId val="253231632"/>
        <c:axId val="127832224"/>
      </c:lineChart>
      <c:catAx>
        <c:axId val="25323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832224"/>
        <c:crosses val="autoZero"/>
        <c:auto val="1"/>
        <c:lblAlgn val="ctr"/>
        <c:lblOffset val="100"/>
        <c:noMultiLvlLbl val="0"/>
      </c:catAx>
      <c:valAx>
        <c:axId val="127832224"/>
        <c:scaling>
          <c:orientation val="minMax"/>
        </c:scaling>
        <c:delete val="0"/>
        <c:axPos val="l"/>
        <c:majorGridlines>
          <c:spPr>
            <a:ln w="9525" cap="flat" cmpd="sng" algn="ctr">
              <a:solidFill>
                <a:schemeClr val="tx1">
                  <a:lumMod val="65000"/>
                  <a:lumOff val="35000"/>
                </a:schemeClr>
              </a:solidFill>
              <a:round/>
            </a:ln>
            <a:effectLst/>
          </c:spPr>
        </c:majorGridlines>
        <c:numFmt formatCode="#,##0_ ;[Red]\-#,##0\ " sourceLinked="1"/>
        <c:majorTickMark val="none"/>
        <c:minorTickMark val="none"/>
        <c:tickLblPos val="nextTo"/>
        <c:spPr>
          <a:solidFill>
            <a:schemeClr val="tx1">
              <a:lumMod val="75000"/>
              <a:lumOff val="2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231632"/>
        <c:crosses val="autoZero"/>
        <c:crossBetween val="between"/>
        <c:majorUnit val="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chart" Target="../charts/chart3.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523875</xdr:colOff>
      <xdr:row>1</xdr:row>
      <xdr:rowOff>114300</xdr:rowOff>
    </xdr:from>
    <xdr:to>
      <xdr:col>25</xdr:col>
      <xdr:colOff>514350</xdr:colOff>
      <xdr:row>41</xdr:row>
      <xdr:rowOff>161925</xdr:rowOff>
    </xdr:to>
    <xdr:sp macro="" textlink="">
      <xdr:nvSpPr>
        <xdr:cNvPr id="2" name="Rectangle: Rounded Corners 1">
          <a:extLst>
            <a:ext uri="{FF2B5EF4-FFF2-40B4-BE49-F238E27FC236}">
              <a16:creationId xmlns:a16="http://schemas.microsoft.com/office/drawing/2014/main" id="{AF10A513-F9E1-486B-BF80-C7CD8D96545D}"/>
            </a:ext>
          </a:extLst>
        </xdr:cNvPr>
        <xdr:cNvSpPr/>
      </xdr:nvSpPr>
      <xdr:spPr>
        <a:xfrm>
          <a:off x="523875" y="304800"/>
          <a:ext cx="15230475" cy="7667625"/>
        </a:xfrm>
        <a:prstGeom prst="roundRect">
          <a:avLst>
            <a:gd name="adj" fmla="val 9214"/>
          </a:avLst>
        </a:prstGeom>
        <a:solidFill>
          <a:srgbClr val="4F606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561975</xdr:colOff>
      <xdr:row>1</xdr:row>
      <xdr:rowOff>95250</xdr:rowOff>
    </xdr:from>
    <xdr:to>
      <xdr:col>25</xdr:col>
      <xdr:colOff>552450</xdr:colOff>
      <xdr:row>41</xdr:row>
      <xdr:rowOff>142875</xdr:rowOff>
    </xdr:to>
    <xdr:sp macro="" textlink="">
      <xdr:nvSpPr>
        <xdr:cNvPr id="3" name="Rectangle: Rounded Corners 2">
          <a:extLst>
            <a:ext uri="{FF2B5EF4-FFF2-40B4-BE49-F238E27FC236}">
              <a16:creationId xmlns:a16="http://schemas.microsoft.com/office/drawing/2014/main" id="{BB5FDFE3-7826-4420-9F68-3DBEF7462D2A}"/>
            </a:ext>
          </a:extLst>
        </xdr:cNvPr>
        <xdr:cNvSpPr/>
      </xdr:nvSpPr>
      <xdr:spPr>
        <a:xfrm>
          <a:off x="561975" y="285750"/>
          <a:ext cx="15230475" cy="7686675"/>
        </a:xfrm>
        <a:prstGeom prst="roundRect">
          <a:avLst>
            <a:gd name="adj" fmla="val 10580"/>
          </a:avLst>
        </a:prstGeom>
        <a:gradFill flip="none" rotWithShape="1">
          <a:gsLst>
            <a:gs pos="44000">
              <a:srgbClr val="263036"/>
            </a:gs>
            <a:gs pos="0">
              <a:srgbClr val="000000"/>
            </a:gs>
            <a:gs pos="100000">
              <a:srgbClr val="4F606C">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381000</xdr:colOff>
      <xdr:row>4</xdr:row>
      <xdr:rowOff>19050</xdr:rowOff>
    </xdr:from>
    <xdr:to>
      <xdr:col>3</xdr:col>
      <xdr:colOff>228600</xdr:colOff>
      <xdr:row>10</xdr:row>
      <xdr:rowOff>131849</xdr:rowOff>
    </xdr:to>
    <xdr:pic>
      <xdr:nvPicPr>
        <xdr:cNvPr id="5" name="Picture 4">
          <a:extLst>
            <a:ext uri="{FF2B5EF4-FFF2-40B4-BE49-F238E27FC236}">
              <a16:creationId xmlns:a16="http://schemas.microsoft.com/office/drawing/2014/main" id="{C92E0E38-87B0-4649-B72E-AABE75260E4B}"/>
            </a:ext>
          </a:extLst>
        </xdr:cNvPr>
        <xdr:cNvPicPr>
          <a:picLocks noChangeAspect="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colorTemperature colorTemp="6798"/>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990600" y="781050"/>
          <a:ext cx="1066800" cy="1274849"/>
        </a:xfrm>
        <a:prstGeom prst="rect">
          <a:avLst/>
        </a:prstGeom>
      </xdr:spPr>
    </xdr:pic>
    <xdr:clientData/>
  </xdr:twoCellAnchor>
  <xdr:twoCellAnchor>
    <xdr:from>
      <xdr:col>6</xdr:col>
      <xdr:colOff>161926</xdr:colOff>
      <xdr:row>6</xdr:row>
      <xdr:rowOff>180975</xdr:rowOff>
    </xdr:from>
    <xdr:to>
      <xdr:col>7</xdr:col>
      <xdr:colOff>495300</xdr:colOff>
      <xdr:row>8</xdr:row>
      <xdr:rowOff>123825</xdr:rowOff>
    </xdr:to>
    <xdr:sp macro="" textlink="">
      <xdr:nvSpPr>
        <xdr:cNvPr id="7" name="TextBox 6">
          <a:extLst>
            <a:ext uri="{FF2B5EF4-FFF2-40B4-BE49-F238E27FC236}">
              <a16:creationId xmlns:a16="http://schemas.microsoft.com/office/drawing/2014/main" id="{F299A0A2-FCAC-4388-BC8D-0CFEDC6F8C8F}"/>
            </a:ext>
          </a:extLst>
        </xdr:cNvPr>
        <xdr:cNvSpPr txBox="1"/>
      </xdr:nvSpPr>
      <xdr:spPr>
        <a:xfrm>
          <a:off x="3819526" y="1323975"/>
          <a:ext cx="94297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4F606C"/>
              </a:solidFill>
              <a:latin typeface="Roboto" panose="02000000000000000000" pitchFamily="2" charset="0"/>
              <a:ea typeface="Roboto" panose="02000000000000000000" pitchFamily="2" charset="0"/>
              <a:cs typeface="Lato" panose="020F0502020204030203" pitchFamily="34" charset="0"/>
            </a:rPr>
            <a:t>2025-26</a:t>
          </a:r>
        </a:p>
      </xdr:txBody>
    </xdr:sp>
    <xdr:clientData/>
  </xdr:twoCellAnchor>
  <xdr:twoCellAnchor>
    <xdr:from>
      <xdr:col>3</xdr:col>
      <xdr:colOff>209550</xdr:colOff>
      <xdr:row>8</xdr:row>
      <xdr:rowOff>28575</xdr:rowOff>
    </xdr:from>
    <xdr:to>
      <xdr:col>7</xdr:col>
      <xdr:colOff>419100</xdr:colOff>
      <xdr:row>9</xdr:row>
      <xdr:rowOff>161925</xdr:rowOff>
    </xdr:to>
    <xdr:sp macro="" textlink="">
      <xdr:nvSpPr>
        <xdr:cNvPr id="21" name="TextBox 20">
          <a:extLst>
            <a:ext uri="{FF2B5EF4-FFF2-40B4-BE49-F238E27FC236}">
              <a16:creationId xmlns:a16="http://schemas.microsoft.com/office/drawing/2014/main" id="{D78D66FD-1DBA-48C2-B9CE-DDE144BCE265}"/>
            </a:ext>
          </a:extLst>
        </xdr:cNvPr>
        <xdr:cNvSpPr txBox="1"/>
      </xdr:nvSpPr>
      <xdr:spPr>
        <a:xfrm>
          <a:off x="2038350" y="1552575"/>
          <a:ext cx="26479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000">
              <a:solidFill>
                <a:schemeClr val="bg1">
                  <a:lumMod val="75000"/>
                </a:schemeClr>
              </a:solidFill>
              <a:latin typeface="Roboto" panose="02000000000000000000" pitchFamily="2" charset="0"/>
              <a:ea typeface="Roboto" panose="02000000000000000000" pitchFamily="2" charset="0"/>
              <a:cs typeface="Lato" panose="020F0502020204030203" pitchFamily="34" charset="0"/>
            </a:rPr>
            <a:t>Last updated by Jamie |</a:t>
          </a:r>
          <a:r>
            <a:rPr lang="en-GB" sz="1000" baseline="0">
              <a:solidFill>
                <a:schemeClr val="bg1">
                  <a:lumMod val="75000"/>
                </a:schemeClr>
              </a:solidFill>
              <a:latin typeface="Roboto" panose="02000000000000000000" pitchFamily="2" charset="0"/>
              <a:ea typeface="Roboto" panose="02000000000000000000" pitchFamily="2" charset="0"/>
              <a:cs typeface="Lato" panose="020F0502020204030203" pitchFamily="34" charset="0"/>
            </a:rPr>
            <a:t> 10-Mar-2026</a:t>
          </a:r>
          <a:endParaRPr lang="en-GB" sz="1000">
            <a:solidFill>
              <a:schemeClr val="bg1">
                <a:lumMod val="75000"/>
              </a:schemeClr>
            </a:solidFill>
            <a:latin typeface="Roboto" panose="02000000000000000000" pitchFamily="2" charset="0"/>
            <a:ea typeface="Roboto" panose="02000000000000000000" pitchFamily="2" charset="0"/>
            <a:cs typeface="Lato" panose="020F0502020204030203" pitchFamily="34" charset="0"/>
          </a:endParaRPr>
        </a:p>
      </xdr:txBody>
    </xdr:sp>
    <xdr:clientData/>
  </xdr:twoCellAnchor>
  <xdr:twoCellAnchor>
    <xdr:from>
      <xdr:col>8</xdr:col>
      <xdr:colOff>609599</xdr:colOff>
      <xdr:row>4</xdr:row>
      <xdr:rowOff>9525</xdr:rowOff>
    </xdr:from>
    <xdr:to>
      <xdr:col>13</xdr:col>
      <xdr:colOff>600074</xdr:colOff>
      <xdr:row>10</xdr:row>
      <xdr:rowOff>142875</xdr:rowOff>
    </xdr:to>
    <xdr:grpSp>
      <xdr:nvGrpSpPr>
        <xdr:cNvPr id="11" name="Group 10">
          <a:extLst>
            <a:ext uri="{FF2B5EF4-FFF2-40B4-BE49-F238E27FC236}">
              <a16:creationId xmlns:a16="http://schemas.microsoft.com/office/drawing/2014/main" id="{DFDF01C4-D9C4-482A-A781-5E953CA65049}"/>
            </a:ext>
          </a:extLst>
        </xdr:cNvPr>
        <xdr:cNvGrpSpPr/>
      </xdr:nvGrpSpPr>
      <xdr:grpSpPr>
        <a:xfrm>
          <a:off x="5450540" y="771525"/>
          <a:ext cx="3016063" cy="1298762"/>
          <a:chOff x="5362574" y="771525"/>
          <a:chExt cx="3038475" cy="1276350"/>
        </a:xfrm>
      </xdr:grpSpPr>
      <xdr:sp macro="" textlink="">
        <xdr:nvSpPr>
          <xdr:cNvPr id="12" name="Freeform: Shape 11">
            <a:extLst>
              <a:ext uri="{FF2B5EF4-FFF2-40B4-BE49-F238E27FC236}">
                <a16:creationId xmlns:a16="http://schemas.microsoft.com/office/drawing/2014/main" id="{BEE14592-A26F-43BF-A1D9-46A450B79D97}"/>
              </a:ext>
            </a:extLst>
          </xdr:cNvPr>
          <xdr:cNvSpPr/>
        </xdr:nvSpPr>
        <xdr:spPr>
          <a:xfrm>
            <a:off x="5362576" y="1190625"/>
            <a:ext cx="2257794" cy="854600"/>
          </a:xfrm>
          <a:custGeom>
            <a:avLst/>
            <a:gdLst>
              <a:gd name="connsiteX0" fmla="*/ 776288 w 1882675"/>
              <a:gd name="connsiteY0" fmla="*/ 0 h 733425"/>
              <a:gd name="connsiteX1" fmla="*/ 1881547 w 1882675"/>
              <a:gd name="connsiteY1" fmla="*/ 729489 h 733425"/>
              <a:gd name="connsiteX2" fmla="*/ 1882675 w 1882675"/>
              <a:gd name="connsiteY2" fmla="*/ 733425 h 733425"/>
              <a:gd name="connsiteX3" fmla="*/ 182566 w 1882675"/>
              <a:gd name="connsiteY3" fmla="*/ 733425 h 733425"/>
              <a:gd name="connsiteX4" fmla="*/ 0 w 1882675"/>
              <a:gd name="connsiteY4" fmla="*/ 550859 h 733425"/>
              <a:gd name="connsiteX5" fmla="*/ 0 w 1882675"/>
              <a:gd name="connsiteY5" fmla="*/ 269813 h 733425"/>
              <a:gd name="connsiteX6" fmla="*/ 40145 w 1882675"/>
              <a:gd name="connsiteY6" fmla="*/ 237080 h 733425"/>
              <a:gd name="connsiteX7" fmla="*/ 776288 w 1882675"/>
              <a:gd name="connsiteY7" fmla="*/ 0 h 7334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882675" h="733425">
                <a:moveTo>
                  <a:pt x="776288" y="0"/>
                </a:moveTo>
                <a:cubicBezTo>
                  <a:pt x="1295600" y="0"/>
                  <a:pt x="1735021" y="306860"/>
                  <a:pt x="1881547" y="729489"/>
                </a:cubicBezTo>
                <a:lnTo>
                  <a:pt x="1882675" y="733425"/>
                </a:lnTo>
                <a:lnTo>
                  <a:pt x="182566" y="733425"/>
                </a:lnTo>
                <a:cubicBezTo>
                  <a:pt x="81738" y="733425"/>
                  <a:pt x="0" y="651687"/>
                  <a:pt x="0" y="550859"/>
                </a:cubicBezTo>
                <a:lnTo>
                  <a:pt x="0" y="269813"/>
                </a:lnTo>
                <a:lnTo>
                  <a:pt x="40145" y="237080"/>
                </a:lnTo>
                <a:cubicBezTo>
                  <a:pt x="240193" y="88971"/>
                  <a:pt x="496659" y="0"/>
                  <a:pt x="776288" y="0"/>
                </a:cubicBezTo>
                <a:close/>
              </a:path>
            </a:pathLst>
          </a:custGeom>
          <a:gradFill flip="none" rotWithShape="1">
            <a:gsLst>
              <a:gs pos="0">
                <a:srgbClr val="263036"/>
              </a:gs>
              <a:gs pos="100000">
                <a:srgbClr val="4F606C"/>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GB" sz="1100">
              <a:latin typeface="Product Sans" panose="020B0403030502040203" pitchFamily="34" charset="0"/>
            </a:endParaRPr>
          </a:p>
        </xdr:txBody>
      </xdr:sp>
      <xdr:sp macro="" textlink="">
        <xdr:nvSpPr>
          <xdr:cNvPr id="13" name="Freeform: Shape 12">
            <a:extLst>
              <a:ext uri="{FF2B5EF4-FFF2-40B4-BE49-F238E27FC236}">
                <a16:creationId xmlns:a16="http://schemas.microsoft.com/office/drawing/2014/main" id="{DE155A66-B370-4A69-8127-475524388DB5}"/>
              </a:ext>
            </a:extLst>
          </xdr:cNvPr>
          <xdr:cNvSpPr/>
        </xdr:nvSpPr>
        <xdr:spPr>
          <a:xfrm>
            <a:off x="5362574" y="771525"/>
            <a:ext cx="3038475" cy="1276350"/>
          </a:xfrm>
          <a:custGeom>
            <a:avLst/>
            <a:gdLst>
              <a:gd name="connsiteX0" fmla="*/ 182566 w 2533650"/>
              <a:gd name="connsiteY0" fmla="*/ 0 h 1095375"/>
              <a:gd name="connsiteX1" fmla="*/ 2351084 w 2533650"/>
              <a:gd name="connsiteY1" fmla="*/ 0 h 1095375"/>
              <a:gd name="connsiteX2" fmla="*/ 2533650 w 2533650"/>
              <a:gd name="connsiteY2" fmla="*/ 182566 h 1095375"/>
              <a:gd name="connsiteX3" fmla="*/ 2533650 w 2533650"/>
              <a:gd name="connsiteY3" fmla="*/ 912809 h 1095375"/>
              <a:gd name="connsiteX4" fmla="*/ 2351084 w 2533650"/>
              <a:gd name="connsiteY4" fmla="*/ 1095375 h 1095375"/>
              <a:gd name="connsiteX5" fmla="*/ 1882675 w 2533650"/>
              <a:gd name="connsiteY5" fmla="*/ 1095375 h 1095375"/>
              <a:gd name="connsiteX6" fmla="*/ 1881547 w 2533650"/>
              <a:gd name="connsiteY6" fmla="*/ 1091439 h 1095375"/>
              <a:gd name="connsiteX7" fmla="*/ 776288 w 2533650"/>
              <a:gd name="connsiteY7" fmla="*/ 361950 h 1095375"/>
              <a:gd name="connsiteX8" fmla="*/ 40145 w 2533650"/>
              <a:gd name="connsiteY8" fmla="*/ 599030 h 1095375"/>
              <a:gd name="connsiteX9" fmla="*/ 0 w 2533650"/>
              <a:gd name="connsiteY9" fmla="*/ 631763 h 1095375"/>
              <a:gd name="connsiteX10" fmla="*/ 0 w 2533650"/>
              <a:gd name="connsiteY10" fmla="*/ 182566 h 1095375"/>
              <a:gd name="connsiteX11" fmla="*/ 182566 w 2533650"/>
              <a:gd name="connsiteY11" fmla="*/ 0 h 1095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33650" h="1095375">
                <a:moveTo>
                  <a:pt x="182566" y="0"/>
                </a:moveTo>
                <a:lnTo>
                  <a:pt x="2351084" y="0"/>
                </a:lnTo>
                <a:cubicBezTo>
                  <a:pt x="2451912" y="0"/>
                  <a:pt x="2533650" y="81738"/>
                  <a:pt x="2533650" y="182566"/>
                </a:cubicBezTo>
                <a:lnTo>
                  <a:pt x="2533650" y="912809"/>
                </a:lnTo>
                <a:cubicBezTo>
                  <a:pt x="2533650" y="1013637"/>
                  <a:pt x="2451912" y="1095375"/>
                  <a:pt x="2351084" y="1095375"/>
                </a:cubicBezTo>
                <a:lnTo>
                  <a:pt x="1882675" y="1095375"/>
                </a:lnTo>
                <a:lnTo>
                  <a:pt x="1881547" y="1091439"/>
                </a:lnTo>
                <a:cubicBezTo>
                  <a:pt x="1735021" y="668810"/>
                  <a:pt x="1295600" y="361950"/>
                  <a:pt x="776288" y="361950"/>
                </a:cubicBezTo>
                <a:cubicBezTo>
                  <a:pt x="496659" y="361950"/>
                  <a:pt x="240193" y="450921"/>
                  <a:pt x="40145" y="599030"/>
                </a:cubicBezTo>
                <a:lnTo>
                  <a:pt x="0" y="631763"/>
                </a:lnTo>
                <a:lnTo>
                  <a:pt x="0" y="182566"/>
                </a:lnTo>
                <a:cubicBezTo>
                  <a:pt x="0" y="81738"/>
                  <a:pt x="81738" y="0"/>
                  <a:pt x="182566" y="0"/>
                </a:cubicBezTo>
                <a:close/>
              </a:path>
            </a:pathLst>
          </a:cu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GB" sz="1100">
              <a:latin typeface="Product Sans" panose="020B0403030502040203" pitchFamily="34" charset="0"/>
            </a:endParaRPr>
          </a:p>
        </xdr:txBody>
      </xdr:sp>
      <xdr:sp macro="" textlink="">
        <xdr:nvSpPr>
          <xdr:cNvPr id="9" name="TextBox 8">
            <a:extLst>
              <a:ext uri="{FF2B5EF4-FFF2-40B4-BE49-F238E27FC236}">
                <a16:creationId xmlns:a16="http://schemas.microsoft.com/office/drawing/2014/main" id="{99F26F2C-F009-401C-836A-783A6ABEEA99}"/>
              </a:ext>
            </a:extLst>
          </xdr:cNvPr>
          <xdr:cNvSpPr txBox="1"/>
        </xdr:nvSpPr>
        <xdr:spPr>
          <a:xfrm>
            <a:off x="5419724" y="1552575"/>
            <a:ext cx="17430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9CABB6"/>
                </a:solidFill>
                <a:latin typeface="Montserrat" pitchFamily="2" charset="0"/>
                <a:cs typeface="Lato" panose="020F0502020204030203" pitchFamily="34" charset="0"/>
              </a:rPr>
              <a:t>TOTAL</a:t>
            </a:r>
          </a:p>
          <a:p>
            <a:r>
              <a:rPr lang="en-GB" sz="1200">
                <a:solidFill>
                  <a:schemeClr val="bg1"/>
                </a:solidFill>
                <a:latin typeface="Montserrat" pitchFamily="2" charset="0"/>
                <a:cs typeface="Lato" panose="020F0502020204030203" pitchFamily="34" charset="0"/>
              </a:rPr>
              <a:t>INVOICES RAISED</a:t>
            </a:r>
          </a:p>
        </xdr:txBody>
      </xdr:sp>
      <xdr:sp macro="" textlink="'All Invoices'!AA3">
        <xdr:nvSpPr>
          <xdr:cNvPr id="14" name="TextBox 13">
            <a:extLst>
              <a:ext uri="{FF2B5EF4-FFF2-40B4-BE49-F238E27FC236}">
                <a16:creationId xmlns:a16="http://schemas.microsoft.com/office/drawing/2014/main" id="{1D4D0574-DFBB-4592-B326-8691F83518AF}"/>
              </a:ext>
            </a:extLst>
          </xdr:cNvPr>
          <xdr:cNvSpPr txBox="1"/>
        </xdr:nvSpPr>
        <xdr:spPr>
          <a:xfrm>
            <a:off x="5915026" y="790575"/>
            <a:ext cx="241935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5649D0E-5C85-4D61-B2FE-289F2074616A}" type="TxLink">
              <a:rPr lang="en-US" sz="2000" b="0" i="0" u="none" strike="noStrike">
                <a:solidFill>
                  <a:schemeClr val="bg1"/>
                </a:solidFill>
                <a:latin typeface="Montserrat" pitchFamily="2" charset="0"/>
                <a:cs typeface="Calibri"/>
              </a:rPr>
              <a:pPr algn="r"/>
              <a:t>452</a:t>
            </a:fld>
            <a:endParaRPr lang="en-GB" sz="2000">
              <a:solidFill>
                <a:schemeClr val="bg1"/>
              </a:solidFill>
              <a:latin typeface="Montserrat" pitchFamily="2" charset="0"/>
              <a:cs typeface="Lato" panose="020F0502020204030203" pitchFamily="34" charset="0"/>
            </a:endParaRPr>
          </a:p>
        </xdr:txBody>
      </xdr:sp>
      <xdr:sp macro="" textlink="'All Invoices'!AA6">
        <xdr:nvSpPr>
          <xdr:cNvPr id="22" name="TextBox 21">
            <a:extLst>
              <a:ext uri="{FF2B5EF4-FFF2-40B4-BE49-F238E27FC236}">
                <a16:creationId xmlns:a16="http://schemas.microsoft.com/office/drawing/2014/main" id="{C519F0BA-3BA1-4971-9EDA-83591C46991F}"/>
              </a:ext>
            </a:extLst>
          </xdr:cNvPr>
          <xdr:cNvSpPr txBox="1"/>
        </xdr:nvSpPr>
        <xdr:spPr>
          <a:xfrm>
            <a:off x="7924799" y="1435580"/>
            <a:ext cx="3905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060D41-F36F-428D-AA2F-BB9467208FCA}" type="TxLink">
              <a:rPr lang="en-US" sz="900" b="0" i="0" u="none" strike="noStrike">
                <a:solidFill>
                  <a:schemeClr val="bg1"/>
                </a:solidFill>
                <a:latin typeface="Roboto" panose="02000000000000000000" pitchFamily="2" charset="0"/>
                <a:ea typeface="Roboto" panose="02000000000000000000" pitchFamily="2" charset="0"/>
                <a:cs typeface="Lato"/>
              </a:rPr>
              <a:pPr algn="r"/>
              <a:t>23</a:t>
            </a:fld>
            <a:endParaRPr lang="en-GB" sz="105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All Invoices'!AA7">
        <xdr:nvSpPr>
          <xdr:cNvPr id="23" name="TextBox 22">
            <a:extLst>
              <a:ext uri="{FF2B5EF4-FFF2-40B4-BE49-F238E27FC236}">
                <a16:creationId xmlns:a16="http://schemas.microsoft.com/office/drawing/2014/main" id="{0C45FBF1-33E2-4D49-8B67-0DA1C43E01ED}"/>
              </a:ext>
            </a:extLst>
          </xdr:cNvPr>
          <xdr:cNvSpPr txBox="1"/>
        </xdr:nvSpPr>
        <xdr:spPr>
          <a:xfrm>
            <a:off x="7877174" y="1273655"/>
            <a:ext cx="4476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DCAFFE2-486D-4287-AD7E-7F2FABAFAA37}" type="TxLink">
              <a:rPr lang="en-US" sz="900" b="0" i="0" u="none" strike="noStrike">
                <a:solidFill>
                  <a:schemeClr val="bg1"/>
                </a:solidFill>
                <a:latin typeface="Roboto" panose="02000000000000000000" pitchFamily="2" charset="0"/>
                <a:ea typeface="Roboto" panose="02000000000000000000" pitchFamily="2" charset="0"/>
                <a:cs typeface="Lato"/>
              </a:rPr>
              <a:pPr algn="r"/>
              <a:t>125</a:t>
            </a:fld>
            <a:endParaRPr lang="en-GB" sz="105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All Invoices'!AA8">
        <xdr:nvSpPr>
          <xdr:cNvPr id="24" name="TextBox 23">
            <a:extLst>
              <a:ext uri="{FF2B5EF4-FFF2-40B4-BE49-F238E27FC236}">
                <a16:creationId xmlns:a16="http://schemas.microsoft.com/office/drawing/2014/main" id="{6CBC799A-C11D-4AFC-9429-25DE4B2361F9}"/>
              </a:ext>
            </a:extLst>
          </xdr:cNvPr>
          <xdr:cNvSpPr txBox="1"/>
        </xdr:nvSpPr>
        <xdr:spPr>
          <a:xfrm>
            <a:off x="7867650" y="1111730"/>
            <a:ext cx="4572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0A3571A-4CE5-4A97-9517-078C7A3E44D8}" type="TxLink">
              <a:rPr lang="en-US" sz="900" b="0" i="0" u="none" strike="noStrike">
                <a:solidFill>
                  <a:schemeClr val="bg1"/>
                </a:solidFill>
                <a:latin typeface="Roboto" panose="02000000000000000000" pitchFamily="2" charset="0"/>
                <a:ea typeface="Roboto" panose="02000000000000000000" pitchFamily="2" charset="0"/>
                <a:cs typeface="Lato"/>
              </a:rPr>
              <a:pPr algn="r"/>
              <a:t>304</a:t>
            </a:fld>
            <a:endParaRPr lang="en-GB" sz="105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
        <xdr:nvSpPr>
          <xdr:cNvPr id="32" name="TextBox 31">
            <a:extLst>
              <a:ext uri="{FF2B5EF4-FFF2-40B4-BE49-F238E27FC236}">
                <a16:creationId xmlns:a16="http://schemas.microsoft.com/office/drawing/2014/main" id="{C38E1C8A-9D31-4C1F-BA05-56269A4F7407}"/>
              </a:ext>
            </a:extLst>
          </xdr:cNvPr>
          <xdr:cNvSpPr txBox="1"/>
        </xdr:nvSpPr>
        <xdr:spPr>
          <a:xfrm>
            <a:off x="7038975" y="1111730"/>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6">
                    <a:lumMod val="75000"/>
                  </a:schemeClr>
                </a:solidFill>
                <a:latin typeface="Roboto" panose="02000000000000000000" pitchFamily="2" charset="0"/>
                <a:ea typeface="Roboto" panose="02000000000000000000" pitchFamily="2" charset="0"/>
                <a:cs typeface="Lato"/>
              </a:rPr>
              <a:t>WORK</a:t>
            </a:r>
          </a:p>
        </xdr:txBody>
      </xdr:sp>
      <xdr:sp macro="" textlink="">
        <xdr:nvSpPr>
          <xdr:cNvPr id="33" name="TextBox 32">
            <a:extLst>
              <a:ext uri="{FF2B5EF4-FFF2-40B4-BE49-F238E27FC236}">
                <a16:creationId xmlns:a16="http://schemas.microsoft.com/office/drawing/2014/main" id="{631FDAAE-327D-4E1B-9D5F-B986FA23A2DB}"/>
              </a:ext>
            </a:extLst>
          </xdr:cNvPr>
          <xdr:cNvSpPr txBox="1"/>
        </xdr:nvSpPr>
        <xdr:spPr>
          <a:xfrm>
            <a:off x="7038975" y="1273655"/>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5">
                    <a:lumMod val="75000"/>
                  </a:schemeClr>
                </a:solidFill>
                <a:latin typeface="Roboto" panose="02000000000000000000" pitchFamily="2" charset="0"/>
                <a:ea typeface="Roboto" panose="02000000000000000000" pitchFamily="2" charset="0"/>
                <a:cs typeface="Lato"/>
              </a:rPr>
              <a:t>PROFILED</a:t>
            </a:r>
          </a:p>
        </xdr:txBody>
      </xdr:sp>
      <xdr:sp macro="" textlink="">
        <xdr:nvSpPr>
          <xdr:cNvPr id="34" name="TextBox 33">
            <a:extLst>
              <a:ext uri="{FF2B5EF4-FFF2-40B4-BE49-F238E27FC236}">
                <a16:creationId xmlns:a16="http://schemas.microsoft.com/office/drawing/2014/main" id="{2C51F2B3-61F6-4944-95B6-EDE34E027CF2}"/>
              </a:ext>
            </a:extLst>
          </xdr:cNvPr>
          <xdr:cNvSpPr txBox="1"/>
        </xdr:nvSpPr>
        <xdr:spPr>
          <a:xfrm>
            <a:off x="7038975" y="1435580"/>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2">
                    <a:lumMod val="75000"/>
                  </a:schemeClr>
                </a:solidFill>
                <a:latin typeface="Roboto" panose="02000000000000000000" pitchFamily="2" charset="0"/>
                <a:ea typeface="Roboto" panose="02000000000000000000" pitchFamily="2" charset="0"/>
                <a:cs typeface="Lato"/>
              </a:rPr>
              <a:t>MILESTONE</a:t>
            </a:r>
          </a:p>
        </xdr:txBody>
      </xdr:sp>
    </xdr:grpSp>
    <xdr:clientData/>
  </xdr:twoCellAnchor>
  <xdr:twoCellAnchor>
    <xdr:from>
      <xdr:col>14</xdr:col>
      <xdr:colOff>200025</xdr:colOff>
      <xdr:row>4</xdr:row>
      <xdr:rowOff>9525</xdr:rowOff>
    </xdr:from>
    <xdr:to>
      <xdr:col>19</xdr:col>
      <xdr:colOff>190500</xdr:colOff>
      <xdr:row>10</xdr:row>
      <xdr:rowOff>142876</xdr:rowOff>
    </xdr:to>
    <xdr:grpSp>
      <xdr:nvGrpSpPr>
        <xdr:cNvPr id="17" name="Group 16">
          <a:extLst>
            <a:ext uri="{FF2B5EF4-FFF2-40B4-BE49-F238E27FC236}">
              <a16:creationId xmlns:a16="http://schemas.microsoft.com/office/drawing/2014/main" id="{49F85558-C58C-444A-A030-4B80483042E0}"/>
            </a:ext>
          </a:extLst>
        </xdr:cNvPr>
        <xdr:cNvGrpSpPr/>
      </xdr:nvGrpSpPr>
      <xdr:grpSpPr>
        <a:xfrm>
          <a:off x="8671672" y="771525"/>
          <a:ext cx="3016063" cy="1298763"/>
          <a:chOff x="8610600" y="771525"/>
          <a:chExt cx="3038475" cy="1276351"/>
        </a:xfrm>
      </xdr:grpSpPr>
      <xdr:sp macro="" textlink="">
        <xdr:nvSpPr>
          <xdr:cNvPr id="46" name="Freeform: Shape 45">
            <a:extLst>
              <a:ext uri="{FF2B5EF4-FFF2-40B4-BE49-F238E27FC236}">
                <a16:creationId xmlns:a16="http://schemas.microsoft.com/office/drawing/2014/main" id="{758A4A6E-0EC4-4D9C-837E-5C28AC0B1923}"/>
              </a:ext>
            </a:extLst>
          </xdr:cNvPr>
          <xdr:cNvSpPr/>
        </xdr:nvSpPr>
        <xdr:spPr>
          <a:xfrm>
            <a:off x="8610600" y="1228726"/>
            <a:ext cx="619125" cy="819150"/>
          </a:xfrm>
          <a:custGeom>
            <a:avLst/>
            <a:gdLst>
              <a:gd name="connsiteX0" fmla="*/ 0 w 619125"/>
              <a:gd name="connsiteY0" fmla="*/ 0 h 819150"/>
              <a:gd name="connsiteX1" fmla="*/ 619125 w 619125"/>
              <a:gd name="connsiteY1" fmla="*/ 0 h 819150"/>
              <a:gd name="connsiteX2" fmla="*/ 581458 w 619125"/>
              <a:gd name="connsiteY2" fmla="*/ 209550 h 819150"/>
              <a:gd name="connsiteX3" fmla="*/ 569119 w 619125"/>
              <a:gd name="connsiteY3" fmla="*/ 209550 h 819150"/>
              <a:gd name="connsiteX4" fmla="*/ 459542 w 619125"/>
              <a:gd name="connsiteY4" fmla="*/ 819150 h 819150"/>
              <a:gd name="connsiteX5" fmla="*/ 212729 w 619125"/>
              <a:gd name="connsiteY5" fmla="*/ 819150 h 819150"/>
              <a:gd name="connsiteX6" fmla="*/ 0 w 619125"/>
              <a:gd name="connsiteY6" fmla="*/ 606421 h 819150"/>
              <a:gd name="connsiteX7" fmla="*/ 0 w 619125"/>
              <a:gd name="connsiteY7" fmla="*/ 0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619125" h="819150">
                <a:moveTo>
                  <a:pt x="0" y="0"/>
                </a:moveTo>
                <a:lnTo>
                  <a:pt x="619125" y="0"/>
                </a:lnTo>
                <a:lnTo>
                  <a:pt x="581458" y="209550"/>
                </a:lnTo>
                <a:lnTo>
                  <a:pt x="569119" y="209550"/>
                </a:lnTo>
                <a:lnTo>
                  <a:pt x="459542" y="819150"/>
                </a:lnTo>
                <a:lnTo>
                  <a:pt x="212729" y="819150"/>
                </a:lnTo>
                <a:cubicBezTo>
                  <a:pt x="95242" y="819150"/>
                  <a:pt x="0" y="723908"/>
                  <a:pt x="0" y="606421"/>
                </a:cubicBezTo>
                <a:lnTo>
                  <a:pt x="0" y="0"/>
                </a:lnTo>
                <a:close/>
              </a:path>
            </a:pathLst>
          </a:custGeom>
          <a:gradFill flip="none" rotWithShape="1">
            <a:gsLst>
              <a:gs pos="0">
                <a:srgbClr val="263036"/>
              </a:gs>
              <a:gs pos="100000">
                <a:srgbClr val="4F606C"/>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47" name="Freeform: Shape 46">
            <a:extLst>
              <a:ext uri="{FF2B5EF4-FFF2-40B4-BE49-F238E27FC236}">
                <a16:creationId xmlns:a16="http://schemas.microsoft.com/office/drawing/2014/main" id="{85971440-3245-4F8E-B665-BD92E44E6740}"/>
              </a:ext>
            </a:extLst>
          </xdr:cNvPr>
          <xdr:cNvSpPr/>
        </xdr:nvSpPr>
        <xdr:spPr>
          <a:xfrm>
            <a:off x="9082481" y="1438276"/>
            <a:ext cx="718744" cy="609600"/>
          </a:xfrm>
          <a:custGeom>
            <a:avLst/>
            <a:gdLst>
              <a:gd name="connsiteX0" fmla="*/ 109577 w 718744"/>
              <a:gd name="connsiteY0" fmla="*/ 0 h 609600"/>
              <a:gd name="connsiteX1" fmla="*/ 718744 w 718744"/>
              <a:gd name="connsiteY1" fmla="*/ 0 h 609600"/>
              <a:gd name="connsiteX2" fmla="*/ 703335 w 718744"/>
              <a:gd name="connsiteY2" fmla="*/ 85725 h 609600"/>
              <a:gd name="connsiteX3" fmla="*/ 697313 w 718744"/>
              <a:gd name="connsiteY3" fmla="*/ 85725 h 609600"/>
              <a:gd name="connsiteX4" fmla="*/ 603146 w 718744"/>
              <a:gd name="connsiteY4" fmla="*/ 609600 h 609600"/>
              <a:gd name="connsiteX5" fmla="*/ 0 w 718744"/>
              <a:gd name="connsiteY5" fmla="*/ 609600 h 609600"/>
              <a:gd name="connsiteX6" fmla="*/ 109577 w 718744"/>
              <a:gd name="connsiteY6" fmla="*/ 0 h 609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718744" h="609600">
                <a:moveTo>
                  <a:pt x="109577" y="0"/>
                </a:moveTo>
                <a:lnTo>
                  <a:pt x="718744" y="0"/>
                </a:lnTo>
                <a:lnTo>
                  <a:pt x="703335" y="85725"/>
                </a:lnTo>
                <a:lnTo>
                  <a:pt x="697313" y="85725"/>
                </a:lnTo>
                <a:lnTo>
                  <a:pt x="603146" y="609600"/>
                </a:lnTo>
                <a:lnTo>
                  <a:pt x="0" y="609600"/>
                </a:lnTo>
                <a:lnTo>
                  <a:pt x="109577" y="0"/>
                </a:lnTo>
                <a:close/>
              </a:path>
            </a:pathLst>
          </a:custGeom>
          <a:gradFill flip="none" rotWithShape="1">
            <a:gsLst>
              <a:gs pos="0">
                <a:srgbClr val="263036"/>
              </a:gs>
              <a:gs pos="100000">
                <a:srgbClr val="4F606C"/>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48" name="Freeform: Shape 47">
            <a:extLst>
              <a:ext uri="{FF2B5EF4-FFF2-40B4-BE49-F238E27FC236}">
                <a16:creationId xmlns:a16="http://schemas.microsoft.com/office/drawing/2014/main" id="{C4A2704B-9A6D-446B-8A0F-AE87CBA74AC5}"/>
              </a:ext>
            </a:extLst>
          </xdr:cNvPr>
          <xdr:cNvSpPr/>
        </xdr:nvSpPr>
        <xdr:spPr>
          <a:xfrm>
            <a:off x="9691648" y="1524001"/>
            <a:ext cx="709652" cy="523875"/>
          </a:xfrm>
          <a:custGeom>
            <a:avLst/>
            <a:gdLst>
              <a:gd name="connsiteX0" fmla="*/ 94168 w 709652"/>
              <a:gd name="connsiteY0" fmla="*/ 0 h 523875"/>
              <a:gd name="connsiteX1" fmla="*/ 709652 w 709652"/>
              <a:gd name="connsiteY1" fmla="*/ 0 h 523875"/>
              <a:gd name="connsiteX2" fmla="*/ 677122 w 709652"/>
              <a:gd name="connsiteY2" fmla="*/ 180975 h 523875"/>
              <a:gd name="connsiteX3" fmla="*/ 669171 w 709652"/>
              <a:gd name="connsiteY3" fmla="*/ 180975 h 523875"/>
              <a:gd name="connsiteX4" fmla="*/ 607534 w 709652"/>
              <a:gd name="connsiteY4" fmla="*/ 523875 h 523875"/>
              <a:gd name="connsiteX5" fmla="*/ 0 w 709652"/>
              <a:gd name="connsiteY5" fmla="*/ 523875 h 523875"/>
              <a:gd name="connsiteX6" fmla="*/ 94168 w 709652"/>
              <a:gd name="connsiteY6" fmla="*/ 0 h 5238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709652" h="523875">
                <a:moveTo>
                  <a:pt x="94168" y="0"/>
                </a:moveTo>
                <a:lnTo>
                  <a:pt x="709652" y="0"/>
                </a:lnTo>
                <a:lnTo>
                  <a:pt x="677122" y="180975"/>
                </a:lnTo>
                <a:lnTo>
                  <a:pt x="669171" y="180975"/>
                </a:lnTo>
                <a:lnTo>
                  <a:pt x="607534" y="523875"/>
                </a:lnTo>
                <a:lnTo>
                  <a:pt x="0" y="523875"/>
                </a:lnTo>
                <a:lnTo>
                  <a:pt x="94168" y="0"/>
                </a:lnTo>
                <a:close/>
              </a:path>
            </a:pathLst>
          </a:custGeom>
          <a:gradFill flip="none" rotWithShape="1">
            <a:gsLst>
              <a:gs pos="0">
                <a:srgbClr val="263036"/>
              </a:gs>
              <a:gs pos="100000">
                <a:srgbClr val="4F606C"/>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49" name="Freeform: Shape 48">
            <a:extLst>
              <a:ext uri="{FF2B5EF4-FFF2-40B4-BE49-F238E27FC236}">
                <a16:creationId xmlns:a16="http://schemas.microsoft.com/office/drawing/2014/main" id="{08E97343-5FEE-4C29-97FE-21EB620F4FAC}"/>
              </a:ext>
            </a:extLst>
          </xdr:cNvPr>
          <xdr:cNvSpPr/>
        </xdr:nvSpPr>
        <xdr:spPr>
          <a:xfrm>
            <a:off x="10307133" y="1704976"/>
            <a:ext cx="675192" cy="342900"/>
          </a:xfrm>
          <a:custGeom>
            <a:avLst/>
            <a:gdLst>
              <a:gd name="connsiteX0" fmla="*/ 61637 w 675192"/>
              <a:gd name="connsiteY0" fmla="*/ 0 h 342900"/>
              <a:gd name="connsiteX1" fmla="*/ 675192 w 675192"/>
              <a:gd name="connsiteY1" fmla="*/ 0 h 342900"/>
              <a:gd name="connsiteX2" fmla="*/ 613555 w 675192"/>
              <a:gd name="connsiteY2" fmla="*/ 342900 h 342900"/>
              <a:gd name="connsiteX3" fmla="*/ 0 w 675192"/>
              <a:gd name="connsiteY3" fmla="*/ 342900 h 342900"/>
              <a:gd name="connsiteX4" fmla="*/ 61637 w 675192"/>
              <a:gd name="connsiteY4" fmla="*/ 0 h 3429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75192" h="342900">
                <a:moveTo>
                  <a:pt x="61637" y="0"/>
                </a:moveTo>
                <a:lnTo>
                  <a:pt x="675192" y="0"/>
                </a:lnTo>
                <a:lnTo>
                  <a:pt x="613555" y="342900"/>
                </a:lnTo>
                <a:lnTo>
                  <a:pt x="0" y="342900"/>
                </a:lnTo>
                <a:lnTo>
                  <a:pt x="61637" y="0"/>
                </a:lnTo>
                <a:close/>
              </a:path>
            </a:pathLst>
          </a:custGeom>
          <a:gradFill flip="none" rotWithShape="1">
            <a:gsLst>
              <a:gs pos="0">
                <a:srgbClr val="263036"/>
              </a:gs>
              <a:gs pos="100000">
                <a:srgbClr val="4F606C"/>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50" name="Freeform: Shape 49">
            <a:extLst>
              <a:ext uri="{FF2B5EF4-FFF2-40B4-BE49-F238E27FC236}">
                <a16:creationId xmlns:a16="http://schemas.microsoft.com/office/drawing/2014/main" id="{A535C8D9-5A66-4AAD-A6A4-128A2091E690}"/>
              </a:ext>
            </a:extLst>
          </xdr:cNvPr>
          <xdr:cNvSpPr/>
        </xdr:nvSpPr>
        <xdr:spPr>
          <a:xfrm>
            <a:off x="8610600" y="771525"/>
            <a:ext cx="3038475" cy="1276350"/>
          </a:xfrm>
          <a:custGeom>
            <a:avLst/>
            <a:gdLst>
              <a:gd name="connsiteX0" fmla="*/ 212729 w 3038475"/>
              <a:gd name="connsiteY0" fmla="*/ 0 h 1276350"/>
              <a:gd name="connsiteX1" fmla="*/ 2825746 w 3038475"/>
              <a:gd name="connsiteY1" fmla="*/ 0 h 1276350"/>
              <a:gd name="connsiteX2" fmla="*/ 3038475 w 3038475"/>
              <a:gd name="connsiteY2" fmla="*/ 212729 h 1276350"/>
              <a:gd name="connsiteX3" fmla="*/ 3038475 w 3038475"/>
              <a:gd name="connsiteY3" fmla="*/ 1063621 h 1276350"/>
              <a:gd name="connsiteX4" fmla="*/ 2825746 w 3038475"/>
              <a:gd name="connsiteY4" fmla="*/ 1276350 h 1276350"/>
              <a:gd name="connsiteX5" fmla="*/ 2310088 w 3038475"/>
              <a:gd name="connsiteY5" fmla="*/ 1276350 h 1276350"/>
              <a:gd name="connsiteX6" fmla="*/ 2371725 w 3038475"/>
              <a:gd name="connsiteY6" fmla="*/ 933450 h 1276350"/>
              <a:gd name="connsiteX7" fmla="*/ 1758170 w 3038475"/>
              <a:gd name="connsiteY7" fmla="*/ 933450 h 1276350"/>
              <a:gd name="connsiteX8" fmla="*/ 1790700 w 3038475"/>
              <a:gd name="connsiteY8" fmla="*/ 752475 h 1276350"/>
              <a:gd name="connsiteX9" fmla="*/ 1175216 w 3038475"/>
              <a:gd name="connsiteY9" fmla="*/ 752475 h 1276350"/>
              <a:gd name="connsiteX10" fmla="*/ 1190625 w 3038475"/>
              <a:gd name="connsiteY10" fmla="*/ 666750 h 1276350"/>
              <a:gd name="connsiteX11" fmla="*/ 581458 w 3038475"/>
              <a:gd name="connsiteY11" fmla="*/ 666750 h 1276350"/>
              <a:gd name="connsiteX12" fmla="*/ 619125 w 3038475"/>
              <a:gd name="connsiteY12" fmla="*/ 457200 h 1276350"/>
              <a:gd name="connsiteX13" fmla="*/ 0 w 3038475"/>
              <a:gd name="connsiteY13" fmla="*/ 457200 h 1276350"/>
              <a:gd name="connsiteX14" fmla="*/ 0 w 3038475"/>
              <a:gd name="connsiteY14" fmla="*/ 212729 h 1276350"/>
              <a:gd name="connsiteX15" fmla="*/ 212729 w 3038475"/>
              <a:gd name="connsiteY15" fmla="*/ 0 h 1276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038475" h="1276350">
                <a:moveTo>
                  <a:pt x="212729" y="0"/>
                </a:moveTo>
                <a:lnTo>
                  <a:pt x="2825746" y="0"/>
                </a:lnTo>
                <a:cubicBezTo>
                  <a:pt x="2943233" y="0"/>
                  <a:pt x="3038475" y="95242"/>
                  <a:pt x="3038475" y="212729"/>
                </a:cubicBezTo>
                <a:lnTo>
                  <a:pt x="3038475" y="1063621"/>
                </a:lnTo>
                <a:cubicBezTo>
                  <a:pt x="3038475" y="1181108"/>
                  <a:pt x="2943233" y="1276350"/>
                  <a:pt x="2825746" y="1276350"/>
                </a:cubicBezTo>
                <a:lnTo>
                  <a:pt x="2310088" y="1276350"/>
                </a:lnTo>
                <a:lnTo>
                  <a:pt x="2371725" y="933450"/>
                </a:lnTo>
                <a:lnTo>
                  <a:pt x="1758170" y="933450"/>
                </a:lnTo>
                <a:lnTo>
                  <a:pt x="1790700" y="752475"/>
                </a:lnTo>
                <a:lnTo>
                  <a:pt x="1175216" y="752475"/>
                </a:lnTo>
                <a:lnTo>
                  <a:pt x="1190625" y="666750"/>
                </a:lnTo>
                <a:lnTo>
                  <a:pt x="581458" y="666750"/>
                </a:lnTo>
                <a:lnTo>
                  <a:pt x="619125" y="457200"/>
                </a:lnTo>
                <a:lnTo>
                  <a:pt x="0" y="457200"/>
                </a:lnTo>
                <a:lnTo>
                  <a:pt x="0" y="212729"/>
                </a:lnTo>
                <a:cubicBezTo>
                  <a:pt x="0" y="95242"/>
                  <a:pt x="95242" y="0"/>
                  <a:pt x="212729" y="0"/>
                </a:cubicBezTo>
                <a:close/>
              </a:path>
            </a:pathLst>
          </a:cu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27" name="TextBox 26">
            <a:extLst>
              <a:ext uri="{FF2B5EF4-FFF2-40B4-BE49-F238E27FC236}">
                <a16:creationId xmlns:a16="http://schemas.microsoft.com/office/drawing/2014/main" id="{C4063DBE-AD86-4831-954C-5DDCA78ADD36}"/>
              </a:ext>
            </a:extLst>
          </xdr:cNvPr>
          <xdr:cNvSpPr txBox="1"/>
        </xdr:nvSpPr>
        <xdr:spPr>
          <a:xfrm>
            <a:off x="8667750" y="1552575"/>
            <a:ext cx="1809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9CABB6"/>
                </a:solidFill>
                <a:latin typeface="Montserrat" pitchFamily="2" charset="0"/>
                <a:cs typeface="Lato" panose="020F0502020204030203" pitchFamily="34" charset="0"/>
              </a:rPr>
              <a:t>TOTAL</a:t>
            </a:r>
          </a:p>
          <a:p>
            <a:r>
              <a:rPr lang="en-GB" sz="1200">
                <a:solidFill>
                  <a:schemeClr val="bg1"/>
                </a:solidFill>
                <a:latin typeface="Montserrat" pitchFamily="2" charset="0"/>
                <a:cs typeface="Lato" panose="020F0502020204030203" pitchFamily="34" charset="0"/>
              </a:rPr>
              <a:t>AMOUNT INVOICED</a:t>
            </a:r>
          </a:p>
        </xdr:txBody>
      </xdr:sp>
      <xdr:sp macro="" textlink="'All Invoices'!AA4">
        <xdr:nvSpPr>
          <xdr:cNvPr id="28" name="TextBox 27">
            <a:extLst>
              <a:ext uri="{FF2B5EF4-FFF2-40B4-BE49-F238E27FC236}">
                <a16:creationId xmlns:a16="http://schemas.microsoft.com/office/drawing/2014/main" id="{93C187E1-00F0-43B6-A391-9963DD2D218B}"/>
              </a:ext>
            </a:extLst>
          </xdr:cNvPr>
          <xdr:cNvSpPr txBox="1"/>
        </xdr:nvSpPr>
        <xdr:spPr>
          <a:xfrm>
            <a:off x="9372601" y="790575"/>
            <a:ext cx="220980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A5BEF11-5375-4C4B-A0D3-940574B970DE}" type="TxLink">
              <a:rPr lang="en-US" sz="2000" b="0" i="0" u="none" strike="noStrike">
                <a:solidFill>
                  <a:schemeClr val="bg1"/>
                </a:solidFill>
                <a:latin typeface="Montserrat" pitchFamily="2" charset="0"/>
                <a:cs typeface="Lato"/>
              </a:rPr>
              <a:pPr algn="r"/>
              <a:t> £27,086,115.18 </a:t>
            </a:fld>
            <a:endParaRPr lang="en-GB" sz="2000">
              <a:solidFill>
                <a:schemeClr val="bg1"/>
              </a:solidFill>
              <a:latin typeface="Montserrat" pitchFamily="2" charset="0"/>
              <a:cs typeface="Lato" panose="020F0502020204030203" pitchFamily="34" charset="0"/>
            </a:endParaRPr>
          </a:p>
        </xdr:txBody>
      </xdr:sp>
      <xdr:sp macro="" textlink="'All Invoices'!AB6">
        <xdr:nvSpPr>
          <xdr:cNvPr id="35" name="TextBox 34">
            <a:extLst>
              <a:ext uri="{FF2B5EF4-FFF2-40B4-BE49-F238E27FC236}">
                <a16:creationId xmlns:a16="http://schemas.microsoft.com/office/drawing/2014/main" id="{0BBCE4D2-584E-42A8-80AB-161701CB693E}"/>
              </a:ext>
            </a:extLst>
          </xdr:cNvPr>
          <xdr:cNvSpPr txBox="1"/>
        </xdr:nvSpPr>
        <xdr:spPr>
          <a:xfrm>
            <a:off x="10525125" y="1419226"/>
            <a:ext cx="1047749"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6C002FE-72A3-4E95-A32C-929D7BD9F4C3}" type="TxLink">
              <a:rPr lang="en-US" sz="900" b="0" i="0" u="none" strike="noStrike">
                <a:solidFill>
                  <a:schemeClr val="bg1"/>
                </a:solidFill>
                <a:latin typeface="Roboto" panose="02000000000000000000" pitchFamily="2" charset="0"/>
                <a:ea typeface="Roboto" panose="02000000000000000000" pitchFamily="2" charset="0"/>
                <a:cs typeface="Lato"/>
              </a:rPr>
              <a:pPr algn="r"/>
              <a:t> £2,958,243.68 </a:t>
            </a:fld>
            <a:endParaRPr lang="en-GB" sz="110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All Invoices'!AB7">
        <xdr:nvSpPr>
          <xdr:cNvPr id="36" name="TextBox 35">
            <a:extLst>
              <a:ext uri="{FF2B5EF4-FFF2-40B4-BE49-F238E27FC236}">
                <a16:creationId xmlns:a16="http://schemas.microsoft.com/office/drawing/2014/main" id="{29A3C089-CBAC-4A76-BBEF-3DCFA577BA20}"/>
              </a:ext>
            </a:extLst>
          </xdr:cNvPr>
          <xdr:cNvSpPr txBox="1"/>
        </xdr:nvSpPr>
        <xdr:spPr>
          <a:xfrm>
            <a:off x="10544175" y="1257300"/>
            <a:ext cx="1028699"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9BACA74-1AA9-4A10-A076-3890165623BF}" type="TxLink">
              <a:rPr lang="en-US" sz="900" b="0" i="0" u="none" strike="noStrike">
                <a:solidFill>
                  <a:schemeClr val="bg1"/>
                </a:solidFill>
                <a:latin typeface="Roboto" panose="02000000000000000000" pitchFamily="2" charset="0"/>
                <a:ea typeface="Roboto" panose="02000000000000000000" pitchFamily="2" charset="0"/>
                <a:cs typeface="Lato"/>
              </a:rPr>
              <a:pPr algn="r"/>
              <a:t> £16,340,215.20 </a:t>
            </a:fld>
            <a:endParaRPr lang="en-GB" sz="110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All Invoices'!AB8">
        <xdr:nvSpPr>
          <xdr:cNvPr id="37" name="TextBox 36">
            <a:extLst>
              <a:ext uri="{FF2B5EF4-FFF2-40B4-BE49-F238E27FC236}">
                <a16:creationId xmlns:a16="http://schemas.microsoft.com/office/drawing/2014/main" id="{D0D95F65-7195-4173-AF6A-D9305A12603F}"/>
              </a:ext>
            </a:extLst>
          </xdr:cNvPr>
          <xdr:cNvSpPr txBox="1"/>
        </xdr:nvSpPr>
        <xdr:spPr>
          <a:xfrm>
            <a:off x="10506075" y="1095377"/>
            <a:ext cx="1066800"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862530-E6F1-4D37-B76C-5E1D2EBCC8DA}" type="TxLink">
              <a:rPr lang="en-US" sz="900" b="0" i="0" u="none" strike="noStrike">
                <a:solidFill>
                  <a:schemeClr val="bg1"/>
                </a:solidFill>
                <a:latin typeface="Roboto" panose="02000000000000000000" pitchFamily="2" charset="0"/>
                <a:ea typeface="Roboto" panose="02000000000000000000" pitchFamily="2" charset="0"/>
                <a:cs typeface="Lato"/>
              </a:rPr>
              <a:pPr algn="r"/>
              <a:t> £7,787,656.30 </a:t>
            </a:fld>
            <a:endParaRPr lang="en-GB" sz="110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
        <xdr:nvSpPr>
          <xdr:cNvPr id="38" name="TextBox 37">
            <a:extLst>
              <a:ext uri="{FF2B5EF4-FFF2-40B4-BE49-F238E27FC236}">
                <a16:creationId xmlns:a16="http://schemas.microsoft.com/office/drawing/2014/main" id="{6BBB2CCC-536A-4BA9-B627-97A7229B188C}"/>
              </a:ext>
            </a:extLst>
          </xdr:cNvPr>
          <xdr:cNvSpPr txBox="1"/>
        </xdr:nvSpPr>
        <xdr:spPr>
          <a:xfrm>
            <a:off x="9639300" y="1095376"/>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6">
                    <a:lumMod val="75000"/>
                  </a:schemeClr>
                </a:solidFill>
                <a:latin typeface="Roboto" panose="02000000000000000000" pitchFamily="2" charset="0"/>
                <a:ea typeface="Roboto" panose="02000000000000000000" pitchFamily="2" charset="0"/>
                <a:cs typeface="Lato"/>
              </a:rPr>
              <a:t>WORK</a:t>
            </a:r>
          </a:p>
        </xdr:txBody>
      </xdr:sp>
      <xdr:sp macro="" textlink="">
        <xdr:nvSpPr>
          <xdr:cNvPr id="39" name="TextBox 38">
            <a:extLst>
              <a:ext uri="{FF2B5EF4-FFF2-40B4-BE49-F238E27FC236}">
                <a16:creationId xmlns:a16="http://schemas.microsoft.com/office/drawing/2014/main" id="{6DFFF434-D0EB-45A3-AAAA-F770947620B0}"/>
              </a:ext>
            </a:extLst>
          </xdr:cNvPr>
          <xdr:cNvSpPr txBox="1"/>
        </xdr:nvSpPr>
        <xdr:spPr>
          <a:xfrm>
            <a:off x="9639300" y="1257301"/>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5">
                    <a:lumMod val="75000"/>
                  </a:schemeClr>
                </a:solidFill>
                <a:latin typeface="Roboto" panose="02000000000000000000" pitchFamily="2" charset="0"/>
                <a:ea typeface="Roboto" panose="02000000000000000000" pitchFamily="2" charset="0"/>
                <a:cs typeface="Lato"/>
              </a:rPr>
              <a:t>PROFILED</a:t>
            </a:r>
          </a:p>
        </xdr:txBody>
      </xdr:sp>
      <xdr:sp macro="" textlink="">
        <xdr:nvSpPr>
          <xdr:cNvPr id="40" name="TextBox 39">
            <a:extLst>
              <a:ext uri="{FF2B5EF4-FFF2-40B4-BE49-F238E27FC236}">
                <a16:creationId xmlns:a16="http://schemas.microsoft.com/office/drawing/2014/main" id="{DA107D90-E8CD-4445-8347-D761CA03D9A5}"/>
              </a:ext>
            </a:extLst>
          </xdr:cNvPr>
          <xdr:cNvSpPr txBox="1"/>
        </xdr:nvSpPr>
        <xdr:spPr>
          <a:xfrm>
            <a:off x="9639300" y="1419226"/>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2">
                    <a:lumMod val="75000"/>
                  </a:schemeClr>
                </a:solidFill>
                <a:latin typeface="Roboto" panose="02000000000000000000" pitchFamily="2" charset="0"/>
                <a:ea typeface="Roboto" panose="02000000000000000000" pitchFamily="2" charset="0"/>
                <a:cs typeface="Lato"/>
              </a:rPr>
              <a:t>MILESTONE</a:t>
            </a:r>
          </a:p>
        </xdr:txBody>
      </xdr:sp>
    </xdr:grpSp>
    <xdr:clientData/>
  </xdr:twoCellAnchor>
  <xdr:twoCellAnchor>
    <xdr:from>
      <xdr:col>19</xdr:col>
      <xdr:colOff>400050</xdr:colOff>
      <xdr:row>4</xdr:row>
      <xdr:rowOff>9525</xdr:rowOff>
    </xdr:from>
    <xdr:to>
      <xdr:col>24</xdr:col>
      <xdr:colOff>390525</xdr:colOff>
      <xdr:row>10</xdr:row>
      <xdr:rowOff>142875</xdr:rowOff>
    </xdr:to>
    <xdr:grpSp>
      <xdr:nvGrpSpPr>
        <xdr:cNvPr id="16" name="Group 15">
          <a:extLst>
            <a:ext uri="{FF2B5EF4-FFF2-40B4-BE49-F238E27FC236}">
              <a16:creationId xmlns:a16="http://schemas.microsoft.com/office/drawing/2014/main" id="{AD4147FC-0FB5-4897-A687-83E281E69C69}"/>
            </a:ext>
          </a:extLst>
        </xdr:cNvPr>
        <xdr:cNvGrpSpPr/>
      </xdr:nvGrpSpPr>
      <xdr:grpSpPr>
        <a:xfrm>
          <a:off x="11897285" y="771525"/>
          <a:ext cx="3016064" cy="1298762"/>
          <a:chOff x="11858625" y="771525"/>
          <a:chExt cx="3038475" cy="1276350"/>
        </a:xfrm>
      </xdr:grpSpPr>
      <xdr:sp macro="" textlink="">
        <xdr:nvSpPr>
          <xdr:cNvPr id="53" name="Freeform: Shape 52">
            <a:extLst>
              <a:ext uri="{FF2B5EF4-FFF2-40B4-BE49-F238E27FC236}">
                <a16:creationId xmlns:a16="http://schemas.microsoft.com/office/drawing/2014/main" id="{2621B455-997B-4568-85C2-9E4BF23F42A5}"/>
              </a:ext>
            </a:extLst>
          </xdr:cNvPr>
          <xdr:cNvSpPr/>
        </xdr:nvSpPr>
        <xdr:spPr>
          <a:xfrm>
            <a:off x="11858625" y="983739"/>
            <a:ext cx="2876440" cy="1064136"/>
          </a:xfrm>
          <a:custGeom>
            <a:avLst/>
            <a:gdLst>
              <a:gd name="connsiteX0" fmla="*/ 52 w 2876440"/>
              <a:gd name="connsiteY0" fmla="*/ 0 h 1064136"/>
              <a:gd name="connsiteX1" fmla="*/ 2876440 w 2876440"/>
              <a:gd name="connsiteY1" fmla="*/ 1057386 h 1064136"/>
              <a:gd name="connsiteX2" fmla="*/ 2868618 w 2876440"/>
              <a:gd name="connsiteY2" fmla="*/ 1059814 h 1064136"/>
              <a:gd name="connsiteX3" fmla="*/ 2825746 w 2876440"/>
              <a:gd name="connsiteY3" fmla="*/ 1064136 h 1064136"/>
              <a:gd name="connsiteX4" fmla="*/ 212729 w 2876440"/>
              <a:gd name="connsiteY4" fmla="*/ 1064136 h 1064136"/>
              <a:gd name="connsiteX5" fmla="*/ 0 w 2876440"/>
              <a:gd name="connsiteY5" fmla="*/ 851407 h 1064136"/>
              <a:gd name="connsiteX6" fmla="*/ 0 w 2876440"/>
              <a:gd name="connsiteY6" fmla="*/ 515 h 1064136"/>
              <a:gd name="connsiteX7" fmla="*/ 52 w 2876440"/>
              <a:gd name="connsiteY7" fmla="*/ 0 h 10641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76440" h="1064136">
                <a:moveTo>
                  <a:pt x="52" y="0"/>
                </a:moveTo>
                <a:lnTo>
                  <a:pt x="2876440" y="1057386"/>
                </a:lnTo>
                <a:lnTo>
                  <a:pt x="2868618" y="1059814"/>
                </a:lnTo>
                <a:cubicBezTo>
                  <a:pt x="2854770" y="1062648"/>
                  <a:pt x="2840432" y="1064136"/>
                  <a:pt x="2825746" y="1064136"/>
                </a:cubicBezTo>
                <a:lnTo>
                  <a:pt x="212729" y="1064136"/>
                </a:lnTo>
                <a:cubicBezTo>
                  <a:pt x="95242" y="1064136"/>
                  <a:pt x="0" y="968894"/>
                  <a:pt x="0" y="851407"/>
                </a:cubicBezTo>
                <a:lnTo>
                  <a:pt x="0" y="515"/>
                </a:lnTo>
                <a:lnTo>
                  <a:pt x="52" y="0"/>
                </a:lnTo>
                <a:close/>
              </a:path>
            </a:pathLst>
          </a:custGeom>
          <a:gradFill flip="none" rotWithShape="1">
            <a:gsLst>
              <a:gs pos="0">
                <a:srgbClr val="263036"/>
              </a:gs>
              <a:gs pos="100000">
                <a:srgbClr val="4F606C"/>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54" name="Freeform: Shape 53">
            <a:extLst>
              <a:ext uri="{FF2B5EF4-FFF2-40B4-BE49-F238E27FC236}">
                <a16:creationId xmlns:a16="http://schemas.microsoft.com/office/drawing/2014/main" id="{06159855-ECE0-47C8-AB6A-7F0CCE536E74}"/>
              </a:ext>
            </a:extLst>
          </xdr:cNvPr>
          <xdr:cNvSpPr/>
        </xdr:nvSpPr>
        <xdr:spPr>
          <a:xfrm>
            <a:off x="11858677" y="771525"/>
            <a:ext cx="3038423" cy="1269600"/>
          </a:xfrm>
          <a:custGeom>
            <a:avLst/>
            <a:gdLst>
              <a:gd name="connsiteX0" fmla="*/ 212677 w 3038423"/>
              <a:gd name="connsiteY0" fmla="*/ 0 h 1269600"/>
              <a:gd name="connsiteX1" fmla="*/ 2825694 w 3038423"/>
              <a:gd name="connsiteY1" fmla="*/ 0 h 1269600"/>
              <a:gd name="connsiteX2" fmla="*/ 3038423 w 3038423"/>
              <a:gd name="connsiteY2" fmla="*/ 212729 h 1269600"/>
              <a:gd name="connsiteX3" fmla="*/ 3038423 w 3038423"/>
              <a:gd name="connsiteY3" fmla="*/ 1063621 h 1269600"/>
              <a:gd name="connsiteX4" fmla="*/ 2908498 w 3038423"/>
              <a:gd name="connsiteY4" fmla="*/ 1259633 h 1269600"/>
              <a:gd name="connsiteX5" fmla="*/ 2876388 w 3038423"/>
              <a:gd name="connsiteY5" fmla="*/ 1269600 h 1269600"/>
              <a:gd name="connsiteX6" fmla="*/ 0 w 3038423"/>
              <a:gd name="connsiteY6" fmla="*/ 212214 h 1269600"/>
              <a:gd name="connsiteX7" fmla="*/ 4270 w 3038423"/>
              <a:gd name="connsiteY7" fmla="*/ 169857 h 1269600"/>
              <a:gd name="connsiteX8" fmla="*/ 212677 w 3038423"/>
              <a:gd name="connsiteY8" fmla="*/ 0 h 1269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038423" h="1269600">
                <a:moveTo>
                  <a:pt x="212677" y="0"/>
                </a:moveTo>
                <a:lnTo>
                  <a:pt x="2825694" y="0"/>
                </a:lnTo>
                <a:cubicBezTo>
                  <a:pt x="2943181" y="0"/>
                  <a:pt x="3038423" y="95242"/>
                  <a:pt x="3038423" y="212729"/>
                </a:cubicBezTo>
                <a:lnTo>
                  <a:pt x="3038423" y="1063621"/>
                </a:lnTo>
                <a:cubicBezTo>
                  <a:pt x="3038423" y="1151736"/>
                  <a:pt x="2984850" y="1227339"/>
                  <a:pt x="2908498" y="1259633"/>
                </a:cubicBezTo>
                <a:lnTo>
                  <a:pt x="2876388" y="1269600"/>
                </a:lnTo>
                <a:lnTo>
                  <a:pt x="0" y="212214"/>
                </a:lnTo>
                <a:lnTo>
                  <a:pt x="4270" y="169857"/>
                </a:lnTo>
                <a:cubicBezTo>
                  <a:pt x="24106" y="72920"/>
                  <a:pt x="109876" y="0"/>
                  <a:pt x="212677" y="0"/>
                </a:cubicBezTo>
                <a:close/>
              </a:path>
            </a:pathLst>
          </a:cu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GB" sz="1100" kern="1200">
              <a:solidFill>
                <a:schemeClr val="lt1"/>
              </a:solidFill>
              <a:latin typeface="Product Sans" panose="020B0403030502040203" pitchFamily="34" charset="0"/>
              <a:ea typeface="+mn-ea"/>
              <a:cs typeface="+mn-cs"/>
            </a:endParaRPr>
          </a:p>
        </xdr:txBody>
      </xdr:sp>
      <xdr:sp macro="" textlink="">
        <xdr:nvSpPr>
          <xdr:cNvPr id="55" name="TextBox 54">
            <a:extLst>
              <a:ext uri="{FF2B5EF4-FFF2-40B4-BE49-F238E27FC236}">
                <a16:creationId xmlns:a16="http://schemas.microsoft.com/office/drawing/2014/main" id="{07E762F1-6D32-4D05-8A0D-3F2963F99118}"/>
              </a:ext>
            </a:extLst>
          </xdr:cNvPr>
          <xdr:cNvSpPr txBox="1"/>
        </xdr:nvSpPr>
        <xdr:spPr>
          <a:xfrm>
            <a:off x="11944349" y="1552575"/>
            <a:ext cx="1460492"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9CABB6"/>
                </a:solidFill>
                <a:latin typeface="Montserrat" pitchFamily="2" charset="0"/>
                <a:cs typeface="Lato" panose="020F0502020204030203" pitchFamily="34" charset="0"/>
              </a:rPr>
              <a:t>TOTAL</a:t>
            </a:r>
          </a:p>
          <a:p>
            <a:r>
              <a:rPr lang="en-GB" sz="1200">
                <a:solidFill>
                  <a:schemeClr val="bg1"/>
                </a:solidFill>
                <a:latin typeface="Montserrat" pitchFamily="2" charset="0"/>
                <a:cs typeface="Lato" panose="020F0502020204030203" pitchFamily="34" charset="0"/>
              </a:rPr>
              <a:t>CURRENT DEBT</a:t>
            </a:r>
          </a:p>
        </xdr:txBody>
      </xdr:sp>
      <xdr:sp macro="" textlink="'Tables and Pivots'!AU5">
        <xdr:nvSpPr>
          <xdr:cNvPr id="56" name="TextBox 55">
            <a:extLst>
              <a:ext uri="{FF2B5EF4-FFF2-40B4-BE49-F238E27FC236}">
                <a16:creationId xmlns:a16="http://schemas.microsoft.com/office/drawing/2014/main" id="{2FEC3C15-B06B-4B24-B02F-680929383109}"/>
              </a:ext>
            </a:extLst>
          </xdr:cNvPr>
          <xdr:cNvSpPr txBox="1"/>
        </xdr:nvSpPr>
        <xdr:spPr>
          <a:xfrm>
            <a:off x="12611101" y="790575"/>
            <a:ext cx="220980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7DE1C0A-8DF1-4106-BC8D-D4D25A9083A4}" type="TxLink">
              <a:rPr lang="en-US" sz="2000" b="0" i="0" u="none" strike="noStrike">
                <a:solidFill>
                  <a:schemeClr val="bg1"/>
                </a:solidFill>
                <a:latin typeface="Montserrat" pitchFamily="2" charset="0"/>
                <a:cs typeface="Lato"/>
              </a:rPr>
              <a:pPr algn="r"/>
              <a:t> £7,819,198.45 </a:t>
            </a:fld>
            <a:endParaRPr lang="en-US" sz="2000" b="0" i="0" u="none" strike="noStrike">
              <a:solidFill>
                <a:schemeClr val="bg1"/>
              </a:solidFill>
              <a:latin typeface="Montserrat" pitchFamily="2" charset="0"/>
              <a:cs typeface="Lato"/>
            </a:endParaRPr>
          </a:p>
        </xdr:txBody>
      </xdr:sp>
      <xdr:sp macro="" textlink="'Tables and Pivots'!AU4">
        <xdr:nvSpPr>
          <xdr:cNvPr id="58" name="TextBox 57">
            <a:extLst>
              <a:ext uri="{FF2B5EF4-FFF2-40B4-BE49-F238E27FC236}">
                <a16:creationId xmlns:a16="http://schemas.microsoft.com/office/drawing/2014/main" id="{EDE5FBD9-D8D5-4815-90C3-C2F941852523}"/>
              </a:ext>
            </a:extLst>
          </xdr:cNvPr>
          <xdr:cNvSpPr txBox="1"/>
        </xdr:nvSpPr>
        <xdr:spPr>
          <a:xfrm>
            <a:off x="13782675" y="1419226"/>
            <a:ext cx="1047749"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ADF2B7D-5841-4382-8E5D-1569E77BD821}" type="TxLink">
              <a:rPr lang="en-US" sz="900" b="0" i="0" u="none" strike="noStrike">
                <a:solidFill>
                  <a:schemeClr val="bg1"/>
                </a:solidFill>
                <a:latin typeface="Roboto" panose="02000000000000000000" pitchFamily="2" charset="0"/>
                <a:ea typeface="Roboto" panose="02000000000000000000" pitchFamily="2" charset="0"/>
                <a:cs typeface="Lato"/>
              </a:rPr>
              <a:pPr algn="r"/>
              <a:t> £829,829.71 </a:t>
            </a:fld>
            <a:endParaRPr lang="en-GB" sz="110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Tables and Pivots'!AU3">
        <xdr:nvSpPr>
          <xdr:cNvPr id="59" name="TextBox 58">
            <a:extLst>
              <a:ext uri="{FF2B5EF4-FFF2-40B4-BE49-F238E27FC236}">
                <a16:creationId xmlns:a16="http://schemas.microsoft.com/office/drawing/2014/main" id="{0031630A-DEF3-4219-BA7F-56068AAC377E}"/>
              </a:ext>
            </a:extLst>
          </xdr:cNvPr>
          <xdr:cNvSpPr txBox="1"/>
        </xdr:nvSpPr>
        <xdr:spPr>
          <a:xfrm>
            <a:off x="13801725" y="1257300"/>
            <a:ext cx="1028699"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78161EE-E4CE-48C0-A065-7618A0827759}" type="TxLink">
              <a:rPr lang="en-US" sz="900" b="0" i="0" u="none" strike="noStrike">
                <a:solidFill>
                  <a:schemeClr val="bg1"/>
                </a:solidFill>
                <a:latin typeface="Roboto" panose="02000000000000000000" pitchFamily="2" charset="0"/>
                <a:ea typeface="Roboto" panose="02000000000000000000" pitchFamily="2" charset="0"/>
                <a:cs typeface="Lato"/>
              </a:rPr>
              <a:pPr algn="r"/>
              <a:t> £4,869,509.03 </a:t>
            </a:fld>
            <a:endParaRPr lang="en-GB" sz="110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Tables and Pivots'!AU2">
        <xdr:nvSpPr>
          <xdr:cNvPr id="60" name="TextBox 59">
            <a:extLst>
              <a:ext uri="{FF2B5EF4-FFF2-40B4-BE49-F238E27FC236}">
                <a16:creationId xmlns:a16="http://schemas.microsoft.com/office/drawing/2014/main" id="{77BEA10C-D8A5-4AA2-9904-D1DF38ED05E4}"/>
              </a:ext>
            </a:extLst>
          </xdr:cNvPr>
          <xdr:cNvSpPr txBox="1"/>
        </xdr:nvSpPr>
        <xdr:spPr>
          <a:xfrm>
            <a:off x="13811250" y="1095376"/>
            <a:ext cx="1019175"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27BD503-ACD5-481C-8CBA-7CA6C5451ACA}" type="TxLink">
              <a:rPr lang="en-US" sz="900" b="0" i="0" u="none" strike="noStrike">
                <a:solidFill>
                  <a:schemeClr val="bg1"/>
                </a:solidFill>
                <a:latin typeface="Roboto" panose="02000000000000000000" pitchFamily="2" charset="0"/>
                <a:ea typeface="Roboto" panose="02000000000000000000" pitchFamily="2" charset="0"/>
                <a:cs typeface="Lato"/>
              </a:rPr>
              <a:pPr algn="r"/>
              <a:t> £2,119,859.71 </a:t>
            </a:fld>
            <a:endParaRPr lang="en-GB" sz="1100">
              <a:solidFill>
                <a:schemeClr val="bg1"/>
              </a:solidFill>
              <a:latin typeface="Roboto" panose="02000000000000000000" pitchFamily="2" charset="0"/>
              <a:ea typeface="Roboto" panose="02000000000000000000" pitchFamily="2" charset="0"/>
              <a:cs typeface="Lato" panose="020F0502020204030203" pitchFamily="34" charset="0"/>
            </a:endParaRPr>
          </a:p>
        </xdr:txBody>
      </xdr:sp>
      <xdr:sp macro="" textlink="">
        <xdr:nvSpPr>
          <xdr:cNvPr id="61" name="TextBox 60">
            <a:extLst>
              <a:ext uri="{FF2B5EF4-FFF2-40B4-BE49-F238E27FC236}">
                <a16:creationId xmlns:a16="http://schemas.microsoft.com/office/drawing/2014/main" id="{AE9B4C7F-BE19-4D32-B70C-0EAA539E0000}"/>
              </a:ext>
            </a:extLst>
          </xdr:cNvPr>
          <xdr:cNvSpPr txBox="1"/>
        </xdr:nvSpPr>
        <xdr:spPr>
          <a:xfrm>
            <a:off x="12896850" y="1095376"/>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6">
                    <a:lumMod val="75000"/>
                  </a:schemeClr>
                </a:solidFill>
                <a:latin typeface="Roboto" panose="02000000000000000000" pitchFamily="2" charset="0"/>
                <a:ea typeface="Roboto" panose="02000000000000000000" pitchFamily="2" charset="0"/>
                <a:cs typeface="Lato"/>
              </a:rPr>
              <a:t>WORK</a:t>
            </a:r>
          </a:p>
        </xdr:txBody>
      </xdr:sp>
      <xdr:sp macro="" textlink="">
        <xdr:nvSpPr>
          <xdr:cNvPr id="62" name="TextBox 61">
            <a:extLst>
              <a:ext uri="{FF2B5EF4-FFF2-40B4-BE49-F238E27FC236}">
                <a16:creationId xmlns:a16="http://schemas.microsoft.com/office/drawing/2014/main" id="{8FE1228F-DAE4-462B-AFD0-F9D575CB3E48}"/>
              </a:ext>
            </a:extLst>
          </xdr:cNvPr>
          <xdr:cNvSpPr txBox="1"/>
        </xdr:nvSpPr>
        <xdr:spPr>
          <a:xfrm>
            <a:off x="12896850" y="1257301"/>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5">
                    <a:lumMod val="75000"/>
                  </a:schemeClr>
                </a:solidFill>
                <a:latin typeface="Roboto" panose="02000000000000000000" pitchFamily="2" charset="0"/>
                <a:ea typeface="Roboto" panose="02000000000000000000" pitchFamily="2" charset="0"/>
                <a:cs typeface="Lato"/>
              </a:rPr>
              <a:t>PROFILED</a:t>
            </a:r>
          </a:p>
        </xdr:txBody>
      </xdr:sp>
      <xdr:sp macro="" textlink="">
        <xdr:nvSpPr>
          <xdr:cNvPr id="63" name="TextBox 62">
            <a:extLst>
              <a:ext uri="{FF2B5EF4-FFF2-40B4-BE49-F238E27FC236}">
                <a16:creationId xmlns:a16="http://schemas.microsoft.com/office/drawing/2014/main" id="{40C9FECB-2DBC-4523-8062-7F2A456EC7FE}"/>
              </a:ext>
            </a:extLst>
          </xdr:cNvPr>
          <xdr:cNvSpPr txBox="1"/>
        </xdr:nvSpPr>
        <xdr:spPr>
          <a:xfrm>
            <a:off x="12896850" y="1419226"/>
            <a:ext cx="962025"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0" i="0" u="none" strike="noStrike">
                <a:solidFill>
                  <a:schemeClr val="accent2">
                    <a:lumMod val="75000"/>
                  </a:schemeClr>
                </a:solidFill>
                <a:latin typeface="Roboto" panose="02000000000000000000" pitchFamily="2" charset="0"/>
                <a:ea typeface="Roboto" panose="02000000000000000000" pitchFamily="2" charset="0"/>
                <a:cs typeface="Lato"/>
              </a:rPr>
              <a:t>MILESTONE</a:t>
            </a:r>
          </a:p>
        </xdr:txBody>
      </xdr:sp>
      <xdr:sp macro="" textlink="'Tables and Pivots'!AW5">
        <xdr:nvSpPr>
          <xdr:cNvPr id="41" name="TextBox 40">
            <a:extLst>
              <a:ext uri="{FF2B5EF4-FFF2-40B4-BE49-F238E27FC236}">
                <a16:creationId xmlns:a16="http://schemas.microsoft.com/office/drawing/2014/main" id="{F7CE5B9D-8838-EAE7-6A90-E1639A9337AE}"/>
              </a:ext>
            </a:extLst>
          </xdr:cNvPr>
          <xdr:cNvSpPr txBox="1"/>
        </xdr:nvSpPr>
        <xdr:spPr>
          <a:xfrm>
            <a:off x="13322641" y="1715568"/>
            <a:ext cx="6011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EE6429-E086-4634-B177-5635AC05CF01}" type="TxLink">
              <a:rPr lang="en-US" sz="1200" b="0" i="0" u="none" strike="noStrike">
                <a:solidFill>
                  <a:schemeClr val="accent4">
                    <a:lumMod val="40000"/>
                    <a:lumOff val="60000"/>
                  </a:schemeClr>
                </a:solidFill>
                <a:latin typeface="Montserrat" pitchFamily="2" charset="0"/>
                <a:cs typeface="Lato" panose="020F0502020204030203" pitchFamily="34" charset="0"/>
              </a:rPr>
              <a:pPr/>
              <a:t>28%</a:t>
            </a:fld>
            <a:endParaRPr lang="en-GB" sz="1600" b="1">
              <a:solidFill>
                <a:schemeClr val="accent4">
                  <a:lumMod val="40000"/>
                  <a:lumOff val="60000"/>
                </a:schemeClr>
              </a:solidFill>
              <a:latin typeface="Montserrat" pitchFamily="2" charset="0"/>
              <a:cs typeface="Lato" panose="020F0502020204030203" pitchFamily="34" charset="0"/>
            </a:endParaRPr>
          </a:p>
        </xdr:txBody>
      </xdr:sp>
    </xdr:grpSp>
    <xdr:clientData/>
  </xdr:twoCellAnchor>
  <xdr:twoCellAnchor>
    <xdr:from>
      <xdr:col>1</xdr:col>
      <xdr:colOff>342900</xdr:colOff>
      <xdr:row>13</xdr:row>
      <xdr:rowOff>9524</xdr:rowOff>
    </xdr:from>
    <xdr:to>
      <xdr:col>7</xdr:col>
      <xdr:colOff>161925</xdr:colOff>
      <xdr:row>24</xdr:row>
      <xdr:rowOff>114300</xdr:rowOff>
    </xdr:to>
    <xdr:grpSp>
      <xdr:nvGrpSpPr>
        <xdr:cNvPr id="18" name="Group 17">
          <a:extLst>
            <a:ext uri="{FF2B5EF4-FFF2-40B4-BE49-F238E27FC236}">
              <a16:creationId xmlns:a16="http://schemas.microsoft.com/office/drawing/2014/main" id="{91DB0865-F271-47EA-9AEF-BC8479EDBB98}"/>
            </a:ext>
          </a:extLst>
        </xdr:cNvPr>
        <xdr:cNvGrpSpPr/>
      </xdr:nvGrpSpPr>
      <xdr:grpSpPr>
        <a:xfrm>
          <a:off x="948018" y="2508436"/>
          <a:ext cx="3449731" cy="2200276"/>
          <a:chOff x="952500" y="2486024"/>
          <a:chExt cx="3476625" cy="2200276"/>
        </a:xfrm>
      </xdr:grpSpPr>
      <xdr:sp macro="" textlink="">
        <xdr:nvSpPr>
          <xdr:cNvPr id="64" name="Rectangle: Rounded Corners 63">
            <a:extLst>
              <a:ext uri="{FF2B5EF4-FFF2-40B4-BE49-F238E27FC236}">
                <a16:creationId xmlns:a16="http://schemas.microsoft.com/office/drawing/2014/main" id="{34CD6EDC-125A-4C75-80DD-4CED5BDF8DDC}"/>
              </a:ext>
            </a:extLst>
          </xdr:cNvPr>
          <xdr:cNvSpPr/>
        </xdr:nvSpPr>
        <xdr:spPr>
          <a:xfrm>
            <a:off x="952500" y="2486024"/>
            <a:ext cx="3476625" cy="2200276"/>
          </a:xfrm>
          <a:prstGeom prst="roundRect">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Product Sans" panose="020B0403030502040203" pitchFamily="34" charset="0"/>
            </a:endParaRPr>
          </a:p>
        </xdr:txBody>
      </xdr:sp>
      <xdr:sp macro="" textlink="">
        <xdr:nvSpPr>
          <xdr:cNvPr id="65" name="TextBox 64">
            <a:extLst>
              <a:ext uri="{FF2B5EF4-FFF2-40B4-BE49-F238E27FC236}">
                <a16:creationId xmlns:a16="http://schemas.microsoft.com/office/drawing/2014/main" id="{A9BFD524-E8D3-4664-81E3-DFBAA4DF79B6}"/>
              </a:ext>
            </a:extLst>
          </xdr:cNvPr>
          <xdr:cNvSpPr txBox="1"/>
        </xdr:nvSpPr>
        <xdr:spPr>
          <a:xfrm>
            <a:off x="1133474" y="2619375"/>
            <a:ext cx="2038351" cy="47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9CABB6"/>
                </a:solidFill>
                <a:latin typeface="Montserrat" pitchFamily="2" charset="0"/>
                <a:cs typeface="Lato" panose="020F0502020204030203" pitchFamily="34" charset="0"/>
              </a:rPr>
              <a:t>MOST</a:t>
            </a:r>
          </a:p>
          <a:p>
            <a:r>
              <a:rPr lang="en-GB" sz="1200">
                <a:solidFill>
                  <a:schemeClr val="bg1"/>
                </a:solidFill>
                <a:latin typeface="Montserrat" pitchFamily="2" charset="0"/>
                <a:cs typeface="Lato" panose="020F0502020204030203" pitchFamily="34" charset="0"/>
              </a:rPr>
              <a:t>AUTOMATED FUNDERS</a:t>
            </a:r>
          </a:p>
        </xdr:txBody>
      </xdr:sp>
      <mc:AlternateContent xmlns:mc="http://schemas.openxmlformats.org/markup-compatibility/2006" xmlns:a14="http://schemas.microsoft.com/office/drawing/2010/main">
        <mc:Choice Requires="a14">
          <xdr:graphicFrame macro="">
            <xdr:nvGraphicFramePr>
              <xdr:cNvPr id="51" name="Type">
                <a:extLst>
                  <a:ext uri="{FF2B5EF4-FFF2-40B4-BE49-F238E27FC236}">
                    <a16:creationId xmlns:a16="http://schemas.microsoft.com/office/drawing/2014/main" id="{F350089F-D64C-44D3-85DB-714B6AF02E9A}"/>
                  </a:ext>
                </a:extLst>
              </xdr:cNvPr>
              <xdr:cNvGraphicFramePr/>
            </xdr:nvGraphicFramePr>
            <xdr:xfrm>
              <a:off x="1133474" y="2990849"/>
              <a:ext cx="3133726" cy="438151"/>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37822" y="3007414"/>
                <a:ext cx="3151643" cy="4381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0" name="Group 9">
            <a:extLst>
              <a:ext uri="{FF2B5EF4-FFF2-40B4-BE49-F238E27FC236}">
                <a16:creationId xmlns:a16="http://schemas.microsoft.com/office/drawing/2014/main" id="{CDC9C57D-E179-494E-97E5-013A2A881D77}"/>
              </a:ext>
            </a:extLst>
          </xdr:cNvPr>
          <xdr:cNvGrpSpPr/>
        </xdr:nvGrpSpPr>
        <xdr:grpSpPr>
          <a:xfrm>
            <a:off x="1219200" y="3505200"/>
            <a:ext cx="1085850" cy="895350"/>
            <a:chOff x="1219200" y="3429000"/>
            <a:chExt cx="1085850" cy="895350"/>
          </a:xfrm>
        </xdr:grpSpPr>
        <xdr:sp macro="" textlink="'Tables and Pivots'!O3">
          <xdr:nvSpPr>
            <xdr:cNvPr id="8" name="TextBox 7">
              <a:extLst>
                <a:ext uri="{FF2B5EF4-FFF2-40B4-BE49-F238E27FC236}">
                  <a16:creationId xmlns:a16="http://schemas.microsoft.com/office/drawing/2014/main" id="{8E7AE623-2187-4A8E-B422-5530F061BD58}"/>
                </a:ext>
              </a:extLst>
            </xdr:cNvPr>
            <xdr:cNvSpPr txBox="1"/>
          </xdr:nvSpPr>
          <xdr:spPr>
            <a:xfrm>
              <a:off x="1219200" y="34290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A7BF31-74A2-42DB-B39D-B158FC25FABE}" type="TxLink">
                <a:rPr lang="en-US" sz="900" b="0" i="0" u="none" strike="noStrike">
                  <a:solidFill>
                    <a:schemeClr val="bg1"/>
                  </a:solidFill>
                  <a:latin typeface="Roboto" panose="02000000000000000000" pitchFamily="2" charset="0"/>
                  <a:ea typeface="Roboto" panose="02000000000000000000" pitchFamily="2" charset="0"/>
                  <a:cs typeface="Lato"/>
                </a:rPr>
                <a:pPr/>
                <a:t> £1,080,000.00 </a:t>
              </a:fld>
              <a:endParaRPr lang="en-GB" sz="1100">
                <a:solidFill>
                  <a:schemeClr val="bg1"/>
                </a:solidFill>
                <a:latin typeface="Roboto" panose="02000000000000000000" pitchFamily="2" charset="0"/>
                <a:ea typeface="Roboto" panose="02000000000000000000" pitchFamily="2" charset="0"/>
              </a:endParaRPr>
            </a:p>
          </xdr:txBody>
        </xdr:sp>
        <xdr:sp macro="" textlink="'Tables and Pivots'!O4">
          <xdr:nvSpPr>
            <xdr:cNvPr id="66" name="TextBox 65">
              <a:extLst>
                <a:ext uri="{FF2B5EF4-FFF2-40B4-BE49-F238E27FC236}">
                  <a16:creationId xmlns:a16="http://schemas.microsoft.com/office/drawing/2014/main" id="{86CC341E-A927-41EA-80C7-D2E5539E720C}"/>
                </a:ext>
              </a:extLst>
            </xdr:cNvPr>
            <xdr:cNvSpPr txBox="1"/>
          </xdr:nvSpPr>
          <xdr:spPr>
            <a:xfrm>
              <a:off x="1219200" y="36004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3BFB69-4084-406F-B462-98AC55F26A08}"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£590,097.62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O5">
          <xdr:nvSpPr>
            <xdr:cNvPr id="67" name="TextBox 66">
              <a:extLst>
                <a:ext uri="{FF2B5EF4-FFF2-40B4-BE49-F238E27FC236}">
                  <a16:creationId xmlns:a16="http://schemas.microsoft.com/office/drawing/2014/main" id="{BB3677E5-A4DF-4855-810B-D0AE1F81FDF6}"/>
                </a:ext>
              </a:extLst>
            </xdr:cNvPr>
            <xdr:cNvSpPr txBox="1"/>
          </xdr:nvSpPr>
          <xdr:spPr>
            <a:xfrm>
              <a:off x="1219200" y="37719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C435C0-D2A6-4C04-AF45-D88848631DF8}"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£276,836.00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O6">
          <xdr:nvSpPr>
            <xdr:cNvPr id="68" name="TextBox 67">
              <a:extLst>
                <a:ext uri="{FF2B5EF4-FFF2-40B4-BE49-F238E27FC236}">
                  <a16:creationId xmlns:a16="http://schemas.microsoft.com/office/drawing/2014/main" id="{6EB8C7DC-5E58-4D71-AE9E-CAE699A5CB14}"/>
                </a:ext>
              </a:extLst>
            </xdr:cNvPr>
            <xdr:cNvSpPr txBox="1"/>
          </xdr:nvSpPr>
          <xdr:spPr>
            <a:xfrm>
              <a:off x="1219200" y="39433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C24F3E-251E-49A7-B9E6-F5EA7D97C37C}"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£244,983.81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O7">
          <xdr:nvSpPr>
            <xdr:cNvPr id="69" name="TextBox 68">
              <a:extLst>
                <a:ext uri="{FF2B5EF4-FFF2-40B4-BE49-F238E27FC236}">
                  <a16:creationId xmlns:a16="http://schemas.microsoft.com/office/drawing/2014/main" id="{4D8CC49C-E486-4AED-8BB1-A90EB12B77EE}"/>
                </a:ext>
              </a:extLst>
            </xdr:cNvPr>
            <xdr:cNvSpPr txBox="1"/>
          </xdr:nvSpPr>
          <xdr:spPr>
            <a:xfrm>
              <a:off x="1219200" y="41148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3A8304-AAF2-4F19-8F25-0BB9A23FED82}"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£123,789.34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grpSp>
      <xdr:grpSp>
        <xdr:nvGrpSpPr>
          <xdr:cNvPr id="77" name="Group 76">
            <a:extLst>
              <a:ext uri="{FF2B5EF4-FFF2-40B4-BE49-F238E27FC236}">
                <a16:creationId xmlns:a16="http://schemas.microsoft.com/office/drawing/2014/main" id="{891605A5-892D-4E55-986F-3F2144F8B7FA}"/>
              </a:ext>
            </a:extLst>
          </xdr:cNvPr>
          <xdr:cNvGrpSpPr/>
        </xdr:nvGrpSpPr>
        <xdr:grpSpPr>
          <a:xfrm>
            <a:off x="2190750" y="3505200"/>
            <a:ext cx="2181225" cy="895350"/>
            <a:chOff x="1219200" y="3429000"/>
            <a:chExt cx="1085850" cy="895350"/>
          </a:xfrm>
        </xdr:grpSpPr>
        <xdr:sp macro="" textlink="'Tables and Pivots'!P3">
          <xdr:nvSpPr>
            <xdr:cNvPr id="78" name="TextBox 77">
              <a:extLst>
                <a:ext uri="{FF2B5EF4-FFF2-40B4-BE49-F238E27FC236}">
                  <a16:creationId xmlns:a16="http://schemas.microsoft.com/office/drawing/2014/main" id="{16F6E02C-E860-4416-9682-7D07F7362B94}"/>
                </a:ext>
              </a:extLst>
            </xdr:cNvPr>
            <xdr:cNvSpPr txBox="1"/>
          </xdr:nvSpPr>
          <xdr:spPr>
            <a:xfrm>
              <a:off x="1219200" y="34290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C19330-B301-4D74-8F7D-6A8295632284}" type="TxLink">
                <a:rPr lang="en-US" sz="900" b="0" i="0" u="none" strike="noStrike">
                  <a:solidFill>
                    <a:schemeClr val="bg1"/>
                  </a:solidFill>
                  <a:latin typeface="Roboto" panose="02000000000000000000" pitchFamily="2" charset="0"/>
                  <a:ea typeface="Roboto" panose="02000000000000000000" pitchFamily="2" charset="0"/>
                  <a:cs typeface="Lato"/>
                </a:rPr>
                <a:pPr/>
                <a:t>Parker-Hannifin Corporation</a:t>
              </a:fld>
              <a:endParaRPr lang="en-GB" sz="1100">
                <a:solidFill>
                  <a:schemeClr val="bg1"/>
                </a:solidFill>
                <a:latin typeface="Roboto" panose="02000000000000000000" pitchFamily="2" charset="0"/>
                <a:ea typeface="Roboto" panose="02000000000000000000" pitchFamily="2" charset="0"/>
              </a:endParaRPr>
            </a:p>
          </xdr:txBody>
        </xdr:sp>
        <xdr:sp macro="" textlink="'Tables and Pivots'!P4">
          <xdr:nvSpPr>
            <xdr:cNvPr id="79" name="TextBox 78">
              <a:extLst>
                <a:ext uri="{FF2B5EF4-FFF2-40B4-BE49-F238E27FC236}">
                  <a16:creationId xmlns:a16="http://schemas.microsoft.com/office/drawing/2014/main" id="{1EFE6102-6627-4176-97A9-884207CDCD84}"/>
                </a:ext>
              </a:extLst>
            </xdr:cNvPr>
            <xdr:cNvSpPr txBox="1"/>
          </xdr:nvSpPr>
          <xdr:spPr>
            <a:xfrm>
              <a:off x="1219200" y="36004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1BE05B-E810-4A2D-AD30-3E066F0F63AF}"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ModernaTX INC</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P5">
          <xdr:nvSpPr>
            <xdr:cNvPr id="80" name="TextBox 79">
              <a:extLst>
                <a:ext uri="{FF2B5EF4-FFF2-40B4-BE49-F238E27FC236}">
                  <a16:creationId xmlns:a16="http://schemas.microsoft.com/office/drawing/2014/main" id="{A626D180-A8C0-4CAE-958F-205DE7BCBDEA}"/>
                </a:ext>
              </a:extLst>
            </xdr:cNvPr>
            <xdr:cNvSpPr txBox="1"/>
          </xdr:nvSpPr>
          <xdr:spPr>
            <a:xfrm>
              <a:off x="1219200" y="37719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4780A-56CF-4707-B7F9-919D77A47FD3}"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Marley Health Ltd</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P6">
          <xdr:nvSpPr>
            <xdr:cNvPr id="81" name="TextBox 80">
              <a:extLst>
                <a:ext uri="{FF2B5EF4-FFF2-40B4-BE49-F238E27FC236}">
                  <a16:creationId xmlns:a16="http://schemas.microsoft.com/office/drawing/2014/main" id="{C984CAE5-FBCB-4D47-87F7-A4721B26A76B}"/>
                </a:ext>
              </a:extLst>
            </xdr:cNvPr>
            <xdr:cNvSpPr txBox="1"/>
          </xdr:nvSpPr>
          <xdr:spPr>
            <a:xfrm>
              <a:off x="1219200" y="39433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795F437-AFB1-48FB-8836-F5A7C0284E1D}"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LifeArc</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P7">
          <xdr:nvSpPr>
            <xdr:cNvPr id="82" name="TextBox 81">
              <a:extLst>
                <a:ext uri="{FF2B5EF4-FFF2-40B4-BE49-F238E27FC236}">
                  <a16:creationId xmlns:a16="http://schemas.microsoft.com/office/drawing/2014/main" id="{D17FD9B2-92F5-4426-9EAE-B113EEEDB5FC}"/>
                </a:ext>
              </a:extLst>
            </xdr:cNvPr>
            <xdr:cNvSpPr txBox="1"/>
          </xdr:nvSpPr>
          <xdr:spPr>
            <a:xfrm>
              <a:off x="1219200" y="41148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A25318-BA11-45DA-9155-3A5275A7C7E0}"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Celgene Corporation</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grpSp>
      <xdr:cxnSp macro="">
        <xdr:nvCxnSpPr>
          <xdr:cNvPr id="15" name="Straight Connector 14">
            <a:extLst>
              <a:ext uri="{FF2B5EF4-FFF2-40B4-BE49-F238E27FC236}">
                <a16:creationId xmlns:a16="http://schemas.microsoft.com/office/drawing/2014/main" id="{1A7B8872-D064-4191-808E-702173C4D56E}"/>
              </a:ext>
            </a:extLst>
          </xdr:cNvPr>
          <xdr:cNvCxnSpPr/>
        </xdr:nvCxnSpPr>
        <xdr:spPr>
          <a:xfrm>
            <a:off x="1190624" y="3409950"/>
            <a:ext cx="2971800" cy="0"/>
          </a:xfrm>
          <a:prstGeom prst="line">
            <a:avLst/>
          </a:prstGeom>
          <a:ln>
            <a:solidFill>
              <a:srgbClr val="9CABB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342900</xdr:colOff>
      <xdr:row>25</xdr:row>
      <xdr:rowOff>76199</xdr:rowOff>
    </xdr:from>
    <xdr:to>
      <xdr:col>7</xdr:col>
      <xdr:colOff>357564</xdr:colOff>
      <xdr:row>36</xdr:row>
      <xdr:rowOff>180975</xdr:rowOff>
    </xdr:to>
    <xdr:grpSp>
      <xdr:nvGrpSpPr>
        <xdr:cNvPr id="19" name="Group 18">
          <a:extLst>
            <a:ext uri="{FF2B5EF4-FFF2-40B4-BE49-F238E27FC236}">
              <a16:creationId xmlns:a16="http://schemas.microsoft.com/office/drawing/2014/main" id="{DFB7360C-C09B-4EF0-B47B-7E30A54E6648}"/>
            </a:ext>
          </a:extLst>
        </xdr:cNvPr>
        <xdr:cNvGrpSpPr/>
      </xdr:nvGrpSpPr>
      <xdr:grpSpPr>
        <a:xfrm>
          <a:off x="948018" y="4861111"/>
          <a:ext cx="3645370" cy="2200276"/>
          <a:chOff x="952500" y="4838699"/>
          <a:chExt cx="3672264" cy="2200276"/>
        </a:xfrm>
      </xdr:grpSpPr>
      <xdr:sp macro="" textlink="">
        <xdr:nvSpPr>
          <xdr:cNvPr id="86" name="Rectangle: Rounded Corners 85">
            <a:extLst>
              <a:ext uri="{FF2B5EF4-FFF2-40B4-BE49-F238E27FC236}">
                <a16:creationId xmlns:a16="http://schemas.microsoft.com/office/drawing/2014/main" id="{8681C4C5-0ED0-4101-9473-F43D0C992599}"/>
              </a:ext>
            </a:extLst>
          </xdr:cNvPr>
          <xdr:cNvSpPr/>
        </xdr:nvSpPr>
        <xdr:spPr>
          <a:xfrm>
            <a:off x="952500" y="4838699"/>
            <a:ext cx="3476625" cy="2200276"/>
          </a:xfrm>
          <a:prstGeom prst="roundRect">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Product Sans" panose="020B0403030502040203" pitchFamily="34" charset="0"/>
            </a:endParaRPr>
          </a:p>
        </xdr:txBody>
      </xdr:sp>
      <xdr:sp macro="" textlink="">
        <xdr:nvSpPr>
          <xdr:cNvPr id="87" name="TextBox 86">
            <a:extLst>
              <a:ext uri="{FF2B5EF4-FFF2-40B4-BE49-F238E27FC236}">
                <a16:creationId xmlns:a16="http://schemas.microsoft.com/office/drawing/2014/main" id="{7EF7A746-11E2-4AF6-8138-C6AE0E4F691B}"/>
              </a:ext>
            </a:extLst>
          </xdr:cNvPr>
          <xdr:cNvSpPr txBox="1"/>
        </xdr:nvSpPr>
        <xdr:spPr>
          <a:xfrm>
            <a:off x="1133474" y="4972050"/>
            <a:ext cx="2676526" cy="45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rgbClr val="9CABB6"/>
                </a:solidFill>
                <a:latin typeface="Montserrat" pitchFamily="2" charset="0"/>
                <a:cs typeface="Lato" panose="020F0502020204030203" pitchFamily="34" charset="0"/>
              </a:rPr>
              <a:t>MOST</a:t>
            </a:r>
          </a:p>
          <a:p>
            <a:r>
              <a:rPr lang="en-GB" sz="1200">
                <a:solidFill>
                  <a:schemeClr val="bg1"/>
                </a:solidFill>
                <a:latin typeface="Montserrat" pitchFamily="2" charset="0"/>
                <a:cs typeface="Lato" panose="020F0502020204030203" pitchFamily="34" charset="0"/>
              </a:rPr>
              <a:t>AUTOMATED DEPARTMENTS</a:t>
            </a:r>
          </a:p>
        </xdr:txBody>
      </xdr:sp>
      <xdr:grpSp>
        <xdr:nvGrpSpPr>
          <xdr:cNvPr id="89" name="Group 88">
            <a:extLst>
              <a:ext uri="{FF2B5EF4-FFF2-40B4-BE49-F238E27FC236}">
                <a16:creationId xmlns:a16="http://schemas.microsoft.com/office/drawing/2014/main" id="{250E7BA8-50C5-475F-A163-A454035DD3EC}"/>
              </a:ext>
            </a:extLst>
          </xdr:cNvPr>
          <xdr:cNvGrpSpPr/>
        </xdr:nvGrpSpPr>
        <xdr:grpSpPr>
          <a:xfrm>
            <a:off x="1219200" y="5857875"/>
            <a:ext cx="1085850" cy="895350"/>
            <a:chOff x="1219200" y="3429000"/>
            <a:chExt cx="1085850" cy="895350"/>
          </a:xfrm>
        </xdr:grpSpPr>
        <xdr:sp macro="" textlink="'Tables and Pivots'!V3">
          <xdr:nvSpPr>
            <xdr:cNvPr id="90" name="TextBox 89">
              <a:extLst>
                <a:ext uri="{FF2B5EF4-FFF2-40B4-BE49-F238E27FC236}">
                  <a16:creationId xmlns:a16="http://schemas.microsoft.com/office/drawing/2014/main" id="{598B84BC-354E-4EB6-BB10-3AFCEDE8977D}"/>
                </a:ext>
              </a:extLst>
            </xdr:cNvPr>
            <xdr:cNvSpPr txBox="1"/>
          </xdr:nvSpPr>
          <xdr:spPr>
            <a:xfrm>
              <a:off x="1219200" y="34290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D339D-B97F-4F69-BE5F-2BDBA688389E}" type="TxLink">
                <a:rPr lang="en-US" sz="900" b="0" i="0" u="none" strike="noStrike">
                  <a:solidFill>
                    <a:schemeClr val="bg1"/>
                  </a:solidFill>
                  <a:latin typeface="Roboto" panose="02000000000000000000" pitchFamily="2" charset="0"/>
                  <a:ea typeface="Roboto" panose="02000000000000000000" pitchFamily="2" charset="0"/>
                  <a:cs typeface="Lato"/>
                </a:rPr>
                <a:pPr/>
                <a:t> £1,080,000.00 </a:t>
              </a:fld>
              <a:endParaRPr lang="en-GB" sz="1100">
                <a:solidFill>
                  <a:schemeClr val="bg1"/>
                </a:solidFill>
                <a:latin typeface="Roboto" panose="02000000000000000000" pitchFamily="2" charset="0"/>
                <a:ea typeface="Roboto" panose="02000000000000000000" pitchFamily="2" charset="0"/>
              </a:endParaRPr>
            </a:p>
          </xdr:txBody>
        </xdr:sp>
        <xdr:sp macro="" textlink="'Tables and Pivots'!V4">
          <xdr:nvSpPr>
            <xdr:cNvPr id="91" name="TextBox 90">
              <a:extLst>
                <a:ext uri="{FF2B5EF4-FFF2-40B4-BE49-F238E27FC236}">
                  <a16:creationId xmlns:a16="http://schemas.microsoft.com/office/drawing/2014/main" id="{CD27CB6F-BCEA-4EC5-83B9-79304939DF8F}"/>
                </a:ext>
              </a:extLst>
            </xdr:cNvPr>
            <xdr:cNvSpPr txBox="1"/>
          </xdr:nvSpPr>
          <xdr:spPr>
            <a:xfrm>
              <a:off x="1219200" y="36004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7DE713-8F64-45F6-A00E-5CFAAEF419BF}"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£590,097.62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V5">
          <xdr:nvSpPr>
            <xdr:cNvPr id="92" name="TextBox 91">
              <a:extLst>
                <a:ext uri="{FF2B5EF4-FFF2-40B4-BE49-F238E27FC236}">
                  <a16:creationId xmlns:a16="http://schemas.microsoft.com/office/drawing/2014/main" id="{AC5058C9-B31E-4821-B0A1-32CEE8DBD9BA}"/>
                </a:ext>
              </a:extLst>
            </xdr:cNvPr>
            <xdr:cNvSpPr txBox="1"/>
          </xdr:nvSpPr>
          <xdr:spPr>
            <a:xfrm>
              <a:off x="1219200" y="37719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11B1CB-A671-4372-AE64-4DC8E983BD65}"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£464,748.00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V6">
          <xdr:nvSpPr>
            <xdr:cNvPr id="93" name="TextBox 92">
              <a:extLst>
                <a:ext uri="{FF2B5EF4-FFF2-40B4-BE49-F238E27FC236}">
                  <a16:creationId xmlns:a16="http://schemas.microsoft.com/office/drawing/2014/main" id="{1A7DF1F1-5C3C-4A34-81C7-84D457B077E5}"/>
                </a:ext>
              </a:extLst>
            </xdr:cNvPr>
            <xdr:cNvSpPr txBox="1"/>
          </xdr:nvSpPr>
          <xdr:spPr>
            <a:xfrm>
              <a:off x="1219200" y="39433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645F74-7D43-4E37-80B6-2D1566429D5A}"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£244,983.81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V7">
          <xdr:nvSpPr>
            <xdr:cNvPr id="94" name="TextBox 93">
              <a:extLst>
                <a:ext uri="{FF2B5EF4-FFF2-40B4-BE49-F238E27FC236}">
                  <a16:creationId xmlns:a16="http://schemas.microsoft.com/office/drawing/2014/main" id="{3F04E1BF-B597-4F91-B370-E3DDDE8BC4C1}"/>
                </a:ext>
              </a:extLst>
            </xdr:cNvPr>
            <xdr:cNvSpPr txBox="1"/>
          </xdr:nvSpPr>
          <xdr:spPr>
            <a:xfrm>
              <a:off x="1219200" y="411480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92D3CF-629C-422E-B741-FAD07F59023A}"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 £133,801.85 </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grpSp>
      <xdr:grpSp>
        <xdr:nvGrpSpPr>
          <xdr:cNvPr id="95" name="Group 94">
            <a:extLst>
              <a:ext uri="{FF2B5EF4-FFF2-40B4-BE49-F238E27FC236}">
                <a16:creationId xmlns:a16="http://schemas.microsoft.com/office/drawing/2014/main" id="{3BC996F6-304A-460F-8F61-9FE04D801D81}"/>
              </a:ext>
            </a:extLst>
          </xdr:cNvPr>
          <xdr:cNvGrpSpPr/>
        </xdr:nvGrpSpPr>
        <xdr:grpSpPr>
          <a:xfrm>
            <a:off x="2190752" y="5857874"/>
            <a:ext cx="428626" cy="904875"/>
            <a:chOff x="1219200" y="3428999"/>
            <a:chExt cx="213377" cy="904875"/>
          </a:xfrm>
        </xdr:grpSpPr>
        <xdr:sp macro="" textlink="'Tables and Pivots'!W3">
          <xdr:nvSpPr>
            <xdr:cNvPr id="96" name="TextBox 95">
              <a:extLst>
                <a:ext uri="{FF2B5EF4-FFF2-40B4-BE49-F238E27FC236}">
                  <a16:creationId xmlns:a16="http://schemas.microsoft.com/office/drawing/2014/main" id="{BF5C792D-53FF-4A87-8C78-5F1100445EED}"/>
                </a:ext>
              </a:extLst>
            </xdr:cNvPr>
            <xdr:cNvSpPr txBox="1"/>
          </xdr:nvSpPr>
          <xdr:spPr>
            <a:xfrm>
              <a:off x="1219200" y="3428999"/>
              <a:ext cx="18966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31FA41-A075-47B2-9CFF-4D1A33DB7615}" type="TxLink">
                <a:rPr lang="en-US" sz="900" b="0" i="0" u="none" strike="noStrike">
                  <a:solidFill>
                    <a:schemeClr val="bg1"/>
                  </a:solidFill>
                  <a:latin typeface="Roboto" panose="02000000000000000000" pitchFamily="2" charset="0"/>
                  <a:ea typeface="Roboto" panose="02000000000000000000" pitchFamily="2" charset="0"/>
                  <a:cs typeface="Lato"/>
                </a:rPr>
                <a:pPr/>
                <a:t>H7</a:t>
              </a:fld>
              <a:endParaRPr lang="en-GB" sz="1100">
                <a:solidFill>
                  <a:schemeClr val="bg1"/>
                </a:solidFill>
                <a:latin typeface="Roboto" panose="02000000000000000000" pitchFamily="2" charset="0"/>
                <a:ea typeface="Roboto" panose="02000000000000000000" pitchFamily="2" charset="0"/>
              </a:endParaRPr>
            </a:p>
          </xdr:txBody>
        </xdr:sp>
        <xdr:sp macro="" textlink="'Tables and Pivots'!W4">
          <xdr:nvSpPr>
            <xdr:cNvPr id="97" name="TextBox 96">
              <a:extLst>
                <a:ext uri="{FF2B5EF4-FFF2-40B4-BE49-F238E27FC236}">
                  <a16:creationId xmlns:a16="http://schemas.microsoft.com/office/drawing/2014/main" id="{C4B699B9-26CF-4A35-B5BB-9D9018BD39CB}"/>
                </a:ext>
              </a:extLst>
            </xdr:cNvPr>
            <xdr:cNvSpPr txBox="1"/>
          </xdr:nvSpPr>
          <xdr:spPr>
            <a:xfrm>
              <a:off x="1219200" y="3600449"/>
              <a:ext cx="213377"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6DE622-B3E6-495D-944E-029BA6180C5A}"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BZ</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W5">
          <xdr:nvSpPr>
            <xdr:cNvPr id="98" name="TextBox 97">
              <a:extLst>
                <a:ext uri="{FF2B5EF4-FFF2-40B4-BE49-F238E27FC236}">
                  <a16:creationId xmlns:a16="http://schemas.microsoft.com/office/drawing/2014/main" id="{C5D6144B-1029-4DF8-85A5-D5C582179783}"/>
                </a:ext>
              </a:extLst>
            </xdr:cNvPr>
            <xdr:cNvSpPr txBox="1"/>
          </xdr:nvSpPr>
          <xdr:spPr>
            <a:xfrm>
              <a:off x="1219200" y="3771900"/>
              <a:ext cx="18018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FF357A-4EE7-4FEC-8064-49386CF0E0AD}"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DF</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W6">
          <xdr:nvSpPr>
            <xdr:cNvPr id="99" name="TextBox 98">
              <a:extLst>
                <a:ext uri="{FF2B5EF4-FFF2-40B4-BE49-F238E27FC236}">
                  <a16:creationId xmlns:a16="http://schemas.microsoft.com/office/drawing/2014/main" id="{CFACF340-BB18-4238-B7AB-95CE5A3B0442}"/>
                </a:ext>
              </a:extLst>
            </xdr:cNvPr>
            <xdr:cNvSpPr txBox="1"/>
          </xdr:nvSpPr>
          <xdr:spPr>
            <a:xfrm>
              <a:off x="1219200" y="3943350"/>
              <a:ext cx="184926"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751981-906A-407C-98F9-D33116BD44E9}"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BW</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W7">
          <xdr:nvSpPr>
            <xdr:cNvPr id="100" name="TextBox 99">
              <a:extLst>
                <a:ext uri="{FF2B5EF4-FFF2-40B4-BE49-F238E27FC236}">
                  <a16:creationId xmlns:a16="http://schemas.microsoft.com/office/drawing/2014/main" id="{A26EB211-F4E3-42B4-B657-A940802ACB9A}"/>
                </a:ext>
              </a:extLst>
            </xdr:cNvPr>
            <xdr:cNvSpPr txBox="1"/>
          </xdr:nvSpPr>
          <xdr:spPr>
            <a:xfrm>
              <a:off x="1219200" y="4114799"/>
              <a:ext cx="199152"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F30FE3-6CA1-473C-ABC1-8BA5294CEA30}"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CB</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grpSp>
      <xdr:cxnSp macro="">
        <xdr:nvCxnSpPr>
          <xdr:cNvPr id="101" name="Straight Connector 100">
            <a:extLst>
              <a:ext uri="{FF2B5EF4-FFF2-40B4-BE49-F238E27FC236}">
                <a16:creationId xmlns:a16="http://schemas.microsoft.com/office/drawing/2014/main" id="{6BC27997-6D99-4CCC-89D8-590AFA42E457}"/>
              </a:ext>
            </a:extLst>
          </xdr:cNvPr>
          <xdr:cNvCxnSpPr/>
        </xdr:nvCxnSpPr>
        <xdr:spPr>
          <a:xfrm>
            <a:off x="1190624" y="5762625"/>
            <a:ext cx="2971800" cy="0"/>
          </a:xfrm>
          <a:prstGeom prst="line">
            <a:avLst/>
          </a:prstGeom>
          <a:ln>
            <a:solidFill>
              <a:srgbClr val="9CABB6"/>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xmlns:a14="http://schemas.microsoft.com/office/drawing/2010/main">
        <mc:Choice Requires="a14">
          <xdr:graphicFrame macro="">
            <xdr:nvGraphicFramePr>
              <xdr:cNvPr id="102" name="Type 1">
                <a:extLst>
                  <a:ext uri="{FF2B5EF4-FFF2-40B4-BE49-F238E27FC236}">
                    <a16:creationId xmlns:a16="http://schemas.microsoft.com/office/drawing/2014/main" id="{AE841DF7-6D2D-4F0B-99C5-4B589A642280}"/>
                  </a:ext>
                </a:extLst>
              </xdr:cNvPr>
              <xdr:cNvGraphicFramePr/>
            </xdr:nvGraphicFramePr>
            <xdr:xfrm>
              <a:off x="1123950" y="5358847"/>
              <a:ext cx="3200400" cy="403777"/>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128191" y="5375412"/>
                <a:ext cx="3217724" cy="4037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84" name="Group 83">
            <a:extLst>
              <a:ext uri="{FF2B5EF4-FFF2-40B4-BE49-F238E27FC236}">
                <a16:creationId xmlns:a16="http://schemas.microsoft.com/office/drawing/2014/main" id="{B398042E-DDF6-427B-9844-A9C6D6A9C5B0}"/>
              </a:ext>
            </a:extLst>
          </xdr:cNvPr>
          <xdr:cNvGrpSpPr/>
        </xdr:nvGrpSpPr>
        <xdr:grpSpPr>
          <a:xfrm>
            <a:off x="2514602" y="5859173"/>
            <a:ext cx="2110162" cy="894051"/>
            <a:chOff x="1219200" y="3439823"/>
            <a:chExt cx="1050473" cy="894051"/>
          </a:xfrm>
        </xdr:grpSpPr>
        <xdr:sp macro="" textlink="'Tables and Pivots'!X3">
          <xdr:nvSpPr>
            <xdr:cNvPr id="88" name="TextBox 87">
              <a:extLst>
                <a:ext uri="{FF2B5EF4-FFF2-40B4-BE49-F238E27FC236}">
                  <a16:creationId xmlns:a16="http://schemas.microsoft.com/office/drawing/2014/main" id="{AA812EFD-CD53-4EC3-95E4-D47E4F34ADF2}"/>
                </a:ext>
              </a:extLst>
            </xdr:cNvPr>
            <xdr:cNvSpPr txBox="1"/>
          </xdr:nvSpPr>
          <xdr:spPr>
            <a:xfrm>
              <a:off x="1219200" y="3439823"/>
              <a:ext cx="986273" cy="22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AF7553-2780-4269-AB6F-95055016BA8B}" type="TxLink">
                <a:rPr lang="en-US" sz="900" b="0" i="0" u="none" strike="noStrike">
                  <a:solidFill>
                    <a:schemeClr val="bg1"/>
                  </a:solidFill>
                  <a:latin typeface="Roboto" panose="02000000000000000000" pitchFamily="2" charset="0"/>
                  <a:ea typeface="Roboto" panose="02000000000000000000" pitchFamily="2" charset="0"/>
                  <a:cs typeface="Lato"/>
                </a:rPr>
                <a:pPr/>
                <a:t>OCDEM</a:t>
              </a:fld>
              <a:endParaRPr lang="en-GB" sz="1100">
                <a:solidFill>
                  <a:schemeClr val="bg1"/>
                </a:solidFill>
                <a:latin typeface="Roboto" panose="02000000000000000000" pitchFamily="2" charset="0"/>
                <a:ea typeface="Roboto" panose="02000000000000000000" pitchFamily="2" charset="0"/>
              </a:endParaRPr>
            </a:p>
          </xdr:txBody>
        </xdr:sp>
        <xdr:sp macro="" textlink="'Tables and Pivots'!X4">
          <xdr:nvSpPr>
            <xdr:cNvPr id="104" name="TextBox 103">
              <a:extLst>
                <a:ext uri="{FF2B5EF4-FFF2-40B4-BE49-F238E27FC236}">
                  <a16:creationId xmlns:a16="http://schemas.microsoft.com/office/drawing/2014/main" id="{4B4929B1-2B06-4FC7-9FC7-26C5E0A82A86}"/>
                </a:ext>
              </a:extLst>
            </xdr:cNvPr>
            <xdr:cNvSpPr txBox="1"/>
          </xdr:nvSpPr>
          <xdr:spPr>
            <a:xfrm>
              <a:off x="1219200" y="3610407"/>
              <a:ext cx="1050473" cy="209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DD5352-22D8-4029-B0C1-52F0629F18AE}"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Primary Care Health Sciences</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X5">
          <xdr:nvSpPr>
            <xdr:cNvPr id="105" name="TextBox 104">
              <a:extLst>
                <a:ext uri="{FF2B5EF4-FFF2-40B4-BE49-F238E27FC236}">
                  <a16:creationId xmlns:a16="http://schemas.microsoft.com/office/drawing/2014/main" id="{5661477E-2563-40B6-BCE5-FFD6DDFE532E}"/>
                </a:ext>
              </a:extLst>
            </xdr:cNvPr>
            <xdr:cNvSpPr txBox="1"/>
          </xdr:nvSpPr>
          <xdr:spPr>
            <a:xfrm>
              <a:off x="1219200" y="3780993"/>
              <a:ext cx="1019465" cy="18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286EDF-35E2-4A7C-A9C7-0055D36D47B4}"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Engineering Science</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X6">
          <xdr:nvSpPr>
            <xdr:cNvPr id="106" name="TextBox 105">
              <a:extLst>
                <a:ext uri="{FF2B5EF4-FFF2-40B4-BE49-F238E27FC236}">
                  <a16:creationId xmlns:a16="http://schemas.microsoft.com/office/drawing/2014/main" id="{B7897B7D-B685-4E49-925C-034F4141A7ED}"/>
                </a:ext>
              </a:extLst>
            </xdr:cNvPr>
            <xdr:cNvSpPr txBox="1"/>
          </xdr:nvSpPr>
          <xdr:spPr>
            <a:xfrm>
              <a:off x="1219200" y="3952874"/>
              <a:ext cx="100049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B05FA8-4F9F-44FE-9706-31D9B77082CF}"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Pharmacology</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sp macro="" textlink="'Tables and Pivots'!X7">
          <xdr:nvSpPr>
            <xdr:cNvPr id="107" name="TextBox 106">
              <a:extLst>
                <a:ext uri="{FF2B5EF4-FFF2-40B4-BE49-F238E27FC236}">
                  <a16:creationId xmlns:a16="http://schemas.microsoft.com/office/drawing/2014/main" id="{E6D22F43-E6C5-4E28-A7A7-8EA45339E080}"/>
                </a:ext>
              </a:extLst>
            </xdr:cNvPr>
            <xdr:cNvSpPr txBox="1"/>
          </xdr:nvSpPr>
          <xdr:spPr>
            <a:xfrm>
              <a:off x="1219200" y="4124757"/>
              <a:ext cx="980442" cy="209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E25C50-4EF6-4489-95CD-9E73351DCD0B}" type="TxLink">
                <a:rPr lang="en-US" sz="900" b="0" i="0" u="none" strike="noStrike">
                  <a:solidFill>
                    <a:schemeClr val="bg1"/>
                  </a:solidFill>
                  <a:latin typeface="Roboto" panose="02000000000000000000" pitchFamily="2" charset="0"/>
                  <a:ea typeface="Roboto" panose="02000000000000000000" pitchFamily="2" charset="0"/>
                  <a:cs typeface="Lato"/>
                </a:rPr>
                <a:pPr marL="0" indent="0"/>
                <a:t>Biology</a:t>
              </a:fld>
              <a:endParaRPr lang="en-GB" sz="900" b="0" i="0" u="none" strike="noStrike">
                <a:solidFill>
                  <a:schemeClr val="bg1"/>
                </a:solidFill>
                <a:latin typeface="Roboto" panose="02000000000000000000" pitchFamily="2" charset="0"/>
                <a:ea typeface="Roboto" panose="02000000000000000000" pitchFamily="2" charset="0"/>
                <a:cs typeface="Lato"/>
              </a:endParaRPr>
            </a:p>
          </xdr:txBody>
        </xdr:sp>
      </xdr:grpSp>
    </xdr:grpSp>
    <xdr:clientData/>
  </xdr:twoCellAnchor>
  <xdr:twoCellAnchor>
    <xdr:from>
      <xdr:col>14</xdr:col>
      <xdr:colOff>66675</xdr:colOff>
      <xdr:row>13</xdr:row>
      <xdr:rowOff>123824</xdr:rowOff>
    </xdr:from>
    <xdr:to>
      <xdr:col>19</xdr:col>
      <xdr:colOff>495300</xdr:colOff>
      <xdr:row>37</xdr:row>
      <xdr:rowOff>133350</xdr:rowOff>
    </xdr:to>
    <xdr:sp macro="" textlink="">
      <xdr:nvSpPr>
        <xdr:cNvPr id="110" name="Rectangle: Rounded Corners 109">
          <a:extLst>
            <a:ext uri="{FF2B5EF4-FFF2-40B4-BE49-F238E27FC236}">
              <a16:creationId xmlns:a16="http://schemas.microsoft.com/office/drawing/2014/main" id="{279D4D51-E21C-4362-A239-26F3D55A69CE}"/>
            </a:ext>
          </a:extLst>
        </xdr:cNvPr>
        <xdr:cNvSpPr/>
      </xdr:nvSpPr>
      <xdr:spPr>
        <a:xfrm>
          <a:off x="8647458" y="2616889"/>
          <a:ext cx="3493190" cy="4581526"/>
        </a:xfrm>
        <a:prstGeom prst="roundRect">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235744</xdr:colOff>
      <xdr:row>15</xdr:row>
      <xdr:rowOff>180975</xdr:rowOff>
    </xdr:from>
    <xdr:to>
      <xdr:col>18</xdr:col>
      <xdr:colOff>311944</xdr:colOff>
      <xdr:row>17</xdr:row>
      <xdr:rowOff>47624</xdr:rowOff>
    </xdr:to>
    <xdr:sp macro="" textlink="">
      <xdr:nvSpPr>
        <xdr:cNvPr id="112" name="TextBox 111">
          <a:extLst>
            <a:ext uri="{FF2B5EF4-FFF2-40B4-BE49-F238E27FC236}">
              <a16:creationId xmlns:a16="http://schemas.microsoft.com/office/drawing/2014/main" id="{2C649E90-E995-4906-A24F-8A1E3D0795BF}"/>
            </a:ext>
          </a:extLst>
        </xdr:cNvPr>
        <xdr:cNvSpPr txBox="1"/>
      </xdr:nvSpPr>
      <xdr:spPr>
        <a:xfrm>
          <a:off x="9379744" y="3038475"/>
          <a:ext cx="1905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accent5">
                  <a:lumMod val="75000"/>
                </a:schemeClr>
              </a:solidFill>
              <a:latin typeface="Montserrat" pitchFamily="2" charset="0"/>
              <a:cs typeface="Lato"/>
            </a:rPr>
            <a:t>INVOICES</a:t>
          </a:r>
          <a:r>
            <a:rPr lang="en-US" sz="900" b="0" i="0" u="none" strike="noStrike">
              <a:solidFill>
                <a:schemeClr val="accent6">
                  <a:lumMod val="75000"/>
                </a:schemeClr>
              </a:solidFill>
              <a:latin typeface="Montserrat" pitchFamily="2" charset="0"/>
              <a:cs typeface="Lato"/>
            </a:rPr>
            <a:t> </a:t>
          </a:r>
          <a:r>
            <a:rPr lang="en-US" sz="900" b="0" i="0" u="none" strike="noStrike">
              <a:solidFill>
                <a:schemeClr val="accent5">
                  <a:lumMod val="40000"/>
                  <a:lumOff val="60000"/>
                </a:schemeClr>
              </a:solidFill>
              <a:latin typeface="Montserrat" pitchFamily="2" charset="0"/>
              <a:cs typeface="Lato"/>
            </a:rPr>
            <a:t>RAISED</a:t>
          </a:r>
        </a:p>
      </xdr:txBody>
    </xdr:sp>
    <xdr:clientData/>
  </xdr:twoCellAnchor>
  <xdr:twoCellAnchor>
    <xdr:from>
      <xdr:col>15</xdr:col>
      <xdr:colOff>242887</xdr:colOff>
      <xdr:row>26</xdr:row>
      <xdr:rowOff>47625</xdr:rowOff>
    </xdr:from>
    <xdr:to>
      <xdr:col>18</xdr:col>
      <xdr:colOff>319087</xdr:colOff>
      <xdr:row>27</xdr:row>
      <xdr:rowOff>104774</xdr:rowOff>
    </xdr:to>
    <xdr:sp macro="" textlink="">
      <xdr:nvSpPr>
        <xdr:cNvPr id="113" name="TextBox 112">
          <a:extLst>
            <a:ext uri="{FF2B5EF4-FFF2-40B4-BE49-F238E27FC236}">
              <a16:creationId xmlns:a16="http://schemas.microsoft.com/office/drawing/2014/main" id="{595E1815-FA76-4B36-BFCE-12888423E189}"/>
            </a:ext>
          </a:extLst>
        </xdr:cNvPr>
        <xdr:cNvSpPr txBox="1"/>
      </xdr:nvSpPr>
      <xdr:spPr>
        <a:xfrm>
          <a:off x="9386887" y="5000625"/>
          <a:ext cx="1905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40000"/>
                  <a:lumOff val="60000"/>
                </a:schemeClr>
              </a:solidFill>
              <a:latin typeface="Product Sans" panose="020B0403030502040203" pitchFamily="34" charset="0"/>
              <a:cs typeface="Lato"/>
            </a:rPr>
            <a:t>PAID </a:t>
          </a:r>
          <a:r>
            <a:rPr lang="en-US" sz="1000" b="0" i="0">
              <a:solidFill>
                <a:schemeClr val="bg1"/>
              </a:solidFill>
              <a:effectLst/>
              <a:latin typeface="Product Sans" panose="020B0403030502040203" pitchFamily="34" charset="0"/>
              <a:ea typeface="+mn-ea"/>
              <a:cs typeface="+mn-cs"/>
            </a:rPr>
            <a:t>/</a:t>
          </a:r>
          <a:r>
            <a:rPr lang="en-US" sz="1000" b="0" i="0">
              <a:solidFill>
                <a:schemeClr val="dk1"/>
              </a:solidFill>
              <a:effectLst/>
              <a:latin typeface="Product Sans" panose="020B0403030502040203" pitchFamily="34" charset="0"/>
              <a:ea typeface="+mn-ea"/>
              <a:cs typeface="+mn-cs"/>
            </a:rPr>
            <a:t> </a:t>
          </a:r>
          <a:r>
            <a:rPr lang="en-US" sz="1000" b="0" i="0">
              <a:solidFill>
                <a:srgbClr val="FFB7B7"/>
              </a:solidFill>
              <a:effectLst/>
              <a:latin typeface="Product Sans" panose="020B0403030502040203" pitchFamily="34" charset="0"/>
              <a:ea typeface="+mn-ea"/>
              <a:cs typeface="+mn-cs"/>
            </a:rPr>
            <a:t>OUTSTANDING</a:t>
          </a:r>
          <a:endParaRPr lang="en-US" sz="1000" b="0" i="0" u="none" strike="noStrike">
            <a:solidFill>
              <a:srgbClr val="FFB7B7"/>
            </a:solidFill>
            <a:latin typeface="Product Sans" panose="020B0403030502040203" pitchFamily="34" charset="0"/>
            <a:cs typeface="Lato"/>
          </a:endParaRPr>
        </a:p>
      </xdr:txBody>
    </xdr:sp>
    <xdr:clientData/>
  </xdr:twoCellAnchor>
  <xdr:twoCellAnchor>
    <xdr:from>
      <xdr:col>20</xdr:col>
      <xdr:colOff>19050</xdr:colOff>
      <xdr:row>13</xdr:row>
      <xdr:rowOff>123824</xdr:rowOff>
    </xdr:from>
    <xdr:to>
      <xdr:col>25</xdr:col>
      <xdr:colOff>447675</xdr:colOff>
      <xdr:row>37</xdr:row>
      <xdr:rowOff>133350</xdr:rowOff>
    </xdr:to>
    <xdr:sp macro="" textlink="">
      <xdr:nvSpPr>
        <xdr:cNvPr id="114" name="Rectangle: Rounded Corners 113">
          <a:extLst>
            <a:ext uri="{FF2B5EF4-FFF2-40B4-BE49-F238E27FC236}">
              <a16:creationId xmlns:a16="http://schemas.microsoft.com/office/drawing/2014/main" id="{B285B81C-82FE-4633-8005-B1AE2663E2B6}"/>
            </a:ext>
          </a:extLst>
        </xdr:cNvPr>
        <xdr:cNvSpPr/>
      </xdr:nvSpPr>
      <xdr:spPr>
        <a:xfrm>
          <a:off x="12277311" y="2616889"/>
          <a:ext cx="3493190" cy="4581526"/>
        </a:xfrm>
        <a:prstGeom prst="roundRect">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188119</xdr:colOff>
      <xdr:row>15</xdr:row>
      <xdr:rowOff>180975</xdr:rowOff>
    </xdr:from>
    <xdr:to>
      <xdr:col>24</xdr:col>
      <xdr:colOff>264319</xdr:colOff>
      <xdr:row>17</xdr:row>
      <xdr:rowOff>47624</xdr:rowOff>
    </xdr:to>
    <xdr:sp macro="" textlink="">
      <xdr:nvSpPr>
        <xdr:cNvPr id="116" name="TextBox 115">
          <a:extLst>
            <a:ext uri="{FF2B5EF4-FFF2-40B4-BE49-F238E27FC236}">
              <a16:creationId xmlns:a16="http://schemas.microsoft.com/office/drawing/2014/main" id="{F6539653-E4A9-4D37-8BF5-A580D2DE320C}"/>
            </a:ext>
          </a:extLst>
        </xdr:cNvPr>
        <xdr:cNvSpPr txBox="1"/>
      </xdr:nvSpPr>
      <xdr:spPr>
        <a:xfrm>
          <a:off x="12989719" y="3038475"/>
          <a:ext cx="1905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accent2">
                  <a:lumMod val="75000"/>
                </a:schemeClr>
              </a:solidFill>
              <a:latin typeface="Montserrat" pitchFamily="2" charset="0"/>
              <a:cs typeface="Lato"/>
            </a:rPr>
            <a:t>INVOICES</a:t>
          </a:r>
          <a:r>
            <a:rPr lang="en-US" sz="900" b="0" i="0" u="none" strike="noStrike">
              <a:solidFill>
                <a:schemeClr val="accent6">
                  <a:lumMod val="75000"/>
                </a:schemeClr>
              </a:solidFill>
              <a:latin typeface="Montserrat" pitchFamily="2" charset="0"/>
              <a:cs typeface="Lato"/>
            </a:rPr>
            <a:t> </a:t>
          </a:r>
          <a:r>
            <a:rPr lang="en-US" sz="900" b="0" i="0" u="none" strike="noStrike">
              <a:solidFill>
                <a:schemeClr val="accent2">
                  <a:lumMod val="40000"/>
                  <a:lumOff val="60000"/>
                </a:schemeClr>
              </a:solidFill>
              <a:latin typeface="Montserrat" pitchFamily="2" charset="0"/>
              <a:cs typeface="Lato"/>
            </a:rPr>
            <a:t>RAISED</a:t>
          </a:r>
        </a:p>
      </xdr:txBody>
    </xdr:sp>
    <xdr:clientData/>
  </xdr:twoCellAnchor>
  <xdr:twoCellAnchor>
    <xdr:from>
      <xdr:col>21</xdr:col>
      <xdr:colOff>195262</xdr:colOff>
      <xdr:row>26</xdr:row>
      <xdr:rowOff>76200</xdr:rowOff>
    </xdr:from>
    <xdr:to>
      <xdr:col>24</xdr:col>
      <xdr:colOff>271462</xdr:colOff>
      <xdr:row>27</xdr:row>
      <xdr:rowOff>133349</xdr:rowOff>
    </xdr:to>
    <xdr:sp macro="" textlink="">
      <xdr:nvSpPr>
        <xdr:cNvPr id="117" name="TextBox 116">
          <a:extLst>
            <a:ext uri="{FF2B5EF4-FFF2-40B4-BE49-F238E27FC236}">
              <a16:creationId xmlns:a16="http://schemas.microsoft.com/office/drawing/2014/main" id="{B40451A7-DEBC-4482-B7D3-224A60EDE005}"/>
            </a:ext>
          </a:extLst>
        </xdr:cNvPr>
        <xdr:cNvSpPr txBox="1"/>
      </xdr:nvSpPr>
      <xdr:spPr>
        <a:xfrm>
          <a:off x="12996862" y="5029200"/>
          <a:ext cx="1905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40000"/>
                  <a:lumOff val="60000"/>
                </a:schemeClr>
              </a:solidFill>
              <a:latin typeface="Product Sans" panose="020B0403030502040203" pitchFamily="34" charset="0"/>
              <a:cs typeface="Lato"/>
            </a:rPr>
            <a:t>PAID </a:t>
          </a:r>
          <a:r>
            <a:rPr lang="en-US" sz="1000" b="0" i="0">
              <a:solidFill>
                <a:schemeClr val="bg1"/>
              </a:solidFill>
              <a:effectLst/>
              <a:latin typeface="Product Sans" panose="020B0403030502040203" pitchFamily="34" charset="0"/>
              <a:ea typeface="+mn-ea"/>
              <a:cs typeface="+mn-cs"/>
            </a:rPr>
            <a:t>/</a:t>
          </a:r>
          <a:r>
            <a:rPr lang="en-US" sz="1000" b="0" i="0">
              <a:solidFill>
                <a:schemeClr val="dk1"/>
              </a:solidFill>
              <a:effectLst/>
              <a:latin typeface="Product Sans" panose="020B0403030502040203" pitchFamily="34" charset="0"/>
              <a:ea typeface="+mn-ea"/>
              <a:cs typeface="+mn-cs"/>
            </a:rPr>
            <a:t> </a:t>
          </a:r>
          <a:r>
            <a:rPr lang="en-US" sz="1000" b="0" i="0">
              <a:solidFill>
                <a:srgbClr val="FFB7B7"/>
              </a:solidFill>
              <a:effectLst/>
              <a:latin typeface="Product Sans" panose="020B0403030502040203" pitchFamily="34" charset="0"/>
              <a:ea typeface="+mn-ea"/>
              <a:cs typeface="+mn-cs"/>
            </a:rPr>
            <a:t>OUTSTANDING</a:t>
          </a:r>
          <a:endParaRPr lang="en-US" sz="1000" b="0" i="0" u="none" strike="noStrike">
            <a:solidFill>
              <a:srgbClr val="FFB7B7"/>
            </a:solidFill>
            <a:latin typeface="Product Sans" panose="020B0403030502040203" pitchFamily="34" charset="0"/>
            <a:cs typeface="Lato"/>
          </a:endParaRPr>
        </a:p>
      </xdr:txBody>
    </xdr:sp>
    <xdr:clientData/>
  </xdr:twoCellAnchor>
  <xdr:twoCellAnchor>
    <xdr:from>
      <xdr:col>14</xdr:col>
      <xdr:colOff>190500</xdr:colOff>
      <xdr:row>16</xdr:row>
      <xdr:rowOff>123825</xdr:rowOff>
    </xdr:from>
    <xdr:to>
      <xdr:col>19</xdr:col>
      <xdr:colOff>381000</xdr:colOff>
      <xdr:row>26</xdr:row>
      <xdr:rowOff>66675</xdr:rowOff>
    </xdr:to>
    <xdr:graphicFrame macro="">
      <xdr:nvGraphicFramePr>
        <xdr:cNvPr id="119" name="Chart 118">
          <a:extLst>
            <a:ext uri="{FF2B5EF4-FFF2-40B4-BE49-F238E27FC236}">
              <a16:creationId xmlns:a16="http://schemas.microsoft.com/office/drawing/2014/main" id="{A0F756B1-B087-4513-AC0F-2C9687F36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95248</xdr:colOff>
      <xdr:row>16</xdr:row>
      <xdr:rowOff>133351</xdr:rowOff>
    </xdr:from>
    <xdr:to>
      <xdr:col>25</xdr:col>
      <xdr:colOff>285749</xdr:colOff>
      <xdr:row>26</xdr:row>
      <xdr:rowOff>66675</xdr:rowOff>
    </xdr:to>
    <xdr:graphicFrame macro="">
      <xdr:nvGraphicFramePr>
        <xdr:cNvPr id="120" name="Chart 119">
          <a:extLst>
            <a:ext uri="{FF2B5EF4-FFF2-40B4-BE49-F238E27FC236}">
              <a16:creationId xmlns:a16="http://schemas.microsoft.com/office/drawing/2014/main" id="{F4AB7EAF-B69F-4D9E-B27A-76AF0FD37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76200</xdr:colOff>
      <xdr:row>27</xdr:row>
      <xdr:rowOff>0</xdr:rowOff>
    </xdr:from>
    <xdr:to>
      <xdr:col>19</xdr:col>
      <xdr:colOff>428625</xdr:colOff>
      <xdr:row>37</xdr:row>
      <xdr:rowOff>119063</xdr:rowOff>
    </xdr:to>
    <xdr:graphicFrame macro="">
      <xdr:nvGraphicFramePr>
        <xdr:cNvPr id="123" name="Chart 122">
          <a:extLst>
            <a:ext uri="{FF2B5EF4-FFF2-40B4-BE49-F238E27FC236}">
              <a16:creationId xmlns:a16="http://schemas.microsoft.com/office/drawing/2014/main" id="{8759D6E9-6427-4F5F-BBD3-57457D923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xdr:colOff>
      <xdr:row>27</xdr:row>
      <xdr:rowOff>66675</xdr:rowOff>
    </xdr:from>
    <xdr:to>
      <xdr:col>25</xdr:col>
      <xdr:colOff>428625</xdr:colOff>
      <xdr:row>37</xdr:row>
      <xdr:rowOff>114301</xdr:rowOff>
    </xdr:to>
    <xdr:graphicFrame macro="">
      <xdr:nvGraphicFramePr>
        <xdr:cNvPr id="124" name="Chart 123">
          <a:extLst>
            <a:ext uri="{FF2B5EF4-FFF2-40B4-BE49-F238E27FC236}">
              <a16:creationId xmlns:a16="http://schemas.microsoft.com/office/drawing/2014/main" id="{4A4C810C-21AE-41C4-B26E-F82A1D99F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104775</xdr:colOff>
      <xdr:row>11</xdr:row>
      <xdr:rowOff>182218</xdr:rowOff>
    </xdr:from>
    <xdr:to>
      <xdr:col>13</xdr:col>
      <xdr:colOff>542925</xdr:colOff>
      <xdr:row>37</xdr:row>
      <xdr:rowOff>142875</xdr:rowOff>
    </xdr:to>
    <xdr:grpSp>
      <xdr:nvGrpSpPr>
        <xdr:cNvPr id="45" name="Group 44">
          <a:extLst>
            <a:ext uri="{FF2B5EF4-FFF2-40B4-BE49-F238E27FC236}">
              <a16:creationId xmlns:a16="http://schemas.microsoft.com/office/drawing/2014/main" id="{939B0A24-F448-074A-25B2-E5DD411304B3}"/>
            </a:ext>
          </a:extLst>
        </xdr:cNvPr>
        <xdr:cNvGrpSpPr/>
      </xdr:nvGrpSpPr>
      <xdr:grpSpPr>
        <a:xfrm>
          <a:off x="4945716" y="2300130"/>
          <a:ext cx="3463738" cy="4913657"/>
          <a:chOff x="5008079" y="2294283"/>
          <a:chExt cx="3502716" cy="4913657"/>
        </a:xfrm>
      </xdr:grpSpPr>
      <xdr:grpSp>
        <xdr:nvGrpSpPr>
          <xdr:cNvPr id="20" name="Group 19">
            <a:extLst>
              <a:ext uri="{FF2B5EF4-FFF2-40B4-BE49-F238E27FC236}">
                <a16:creationId xmlns:a16="http://schemas.microsoft.com/office/drawing/2014/main" id="{446DE21F-9518-4581-BC57-3D95811C5558}"/>
              </a:ext>
            </a:extLst>
          </xdr:cNvPr>
          <xdr:cNvGrpSpPr/>
        </xdr:nvGrpSpPr>
        <xdr:grpSpPr>
          <a:xfrm>
            <a:off x="5008079" y="2616889"/>
            <a:ext cx="3502716" cy="4591051"/>
            <a:chOff x="4981575" y="2600324"/>
            <a:chExt cx="3486150" cy="4591051"/>
          </a:xfrm>
        </xdr:grpSpPr>
        <xdr:grpSp>
          <xdr:nvGrpSpPr>
            <xdr:cNvPr id="4" name="Group 3">
              <a:extLst>
                <a:ext uri="{FF2B5EF4-FFF2-40B4-BE49-F238E27FC236}">
                  <a16:creationId xmlns:a16="http://schemas.microsoft.com/office/drawing/2014/main" id="{D96EF4CD-7B6B-44D3-BFE6-5BF8BFD8276D}"/>
                </a:ext>
              </a:extLst>
            </xdr:cNvPr>
            <xdr:cNvGrpSpPr/>
          </xdr:nvGrpSpPr>
          <xdr:grpSpPr>
            <a:xfrm>
              <a:off x="4991100" y="2600324"/>
              <a:ext cx="3476625" cy="4581526"/>
              <a:chOff x="4991100" y="2600324"/>
              <a:chExt cx="3476625" cy="4581526"/>
            </a:xfrm>
          </xdr:grpSpPr>
          <xdr:sp macro="" textlink="">
            <xdr:nvSpPr>
              <xdr:cNvPr id="83" name="Rectangle: Rounded Corners 82">
                <a:extLst>
                  <a:ext uri="{FF2B5EF4-FFF2-40B4-BE49-F238E27FC236}">
                    <a16:creationId xmlns:a16="http://schemas.microsoft.com/office/drawing/2014/main" id="{7143B9C3-B21F-4A05-B578-EE8411D1109D}"/>
                  </a:ext>
                </a:extLst>
              </xdr:cNvPr>
              <xdr:cNvSpPr/>
            </xdr:nvSpPr>
            <xdr:spPr>
              <a:xfrm>
                <a:off x="4991100" y="2600324"/>
                <a:ext cx="3476625" cy="4581526"/>
              </a:xfrm>
              <a:prstGeom prst="roundRect">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6" name="TextBox 75">
                <a:extLst>
                  <a:ext uri="{FF2B5EF4-FFF2-40B4-BE49-F238E27FC236}">
                    <a16:creationId xmlns:a16="http://schemas.microsoft.com/office/drawing/2014/main" id="{054442E8-60E5-488B-8FDC-7AEDA0AB8CB4}"/>
                  </a:ext>
                </a:extLst>
              </xdr:cNvPr>
              <xdr:cNvSpPr txBox="1"/>
            </xdr:nvSpPr>
            <xdr:spPr>
              <a:xfrm>
                <a:off x="5769769" y="3038475"/>
                <a:ext cx="1905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i="0" u="none" strike="noStrike">
                    <a:solidFill>
                      <a:schemeClr val="accent6">
                        <a:lumMod val="75000"/>
                      </a:schemeClr>
                    </a:solidFill>
                    <a:latin typeface="Montserrat" pitchFamily="2" charset="0"/>
                    <a:cs typeface="Lato"/>
                  </a:rPr>
                  <a:t>INVOICES </a:t>
                </a:r>
                <a:r>
                  <a:rPr lang="en-US" sz="900" b="0" i="0" u="none" strike="noStrike">
                    <a:solidFill>
                      <a:schemeClr val="accent6">
                        <a:lumMod val="40000"/>
                        <a:lumOff val="60000"/>
                      </a:schemeClr>
                    </a:solidFill>
                    <a:latin typeface="Montserrat" pitchFamily="2" charset="0"/>
                    <a:cs typeface="Lato"/>
                  </a:rPr>
                  <a:t>RAISED</a:t>
                </a:r>
              </a:p>
            </xdr:txBody>
          </xdr:sp>
          <xdr:sp macro="" textlink="">
            <xdr:nvSpPr>
              <xdr:cNvPr id="109" name="TextBox 108">
                <a:extLst>
                  <a:ext uri="{FF2B5EF4-FFF2-40B4-BE49-F238E27FC236}">
                    <a16:creationId xmlns:a16="http://schemas.microsoft.com/office/drawing/2014/main" id="{087BBCCC-C942-4661-B292-35E01D29974E}"/>
                  </a:ext>
                </a:extLst>
              </xdr:cNvPr>
              <xdr:cNvSpPr txBox="1"/>
            </xdr:nvSpPr>
            <xdr:spPr>
              <a:xfrm>
                <a:off x="5776912" y="5000625"/>
                <a:ext cx="1905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chemeClr val="accent6">
                        <a:lumMod val="40000"/>
                        <a:lumOff val="60000"/>
                      </a:schemeClr>
                    </a:solidFill>
                    <a:latin typeface="Product Sans" panose="020B0403030502040203" pitchFamily="34" charset="0"/>
                    <a:cs typeface="Lato"/>
                  </a:rPr>
                  <a:t>PAID </a:t>
                </a:r>
                <a:r>
                  <a:rPr lang="en-US" sz="1000" b="0" i="0">
                    <a:solidFill>
                      <a:schemeClr val="bg1"/>
                    </a:solidFill>
                    <a:effectLst/>
                    <a:latin typeface="Product Sans" panose="020B0403030502040203" pitchFamily="34" charset="0"/>
                    <a:ea typeface="+mn-ea"/>
                    <a:cs typeface="+mn-cs"/>
                  </a:rPr>
                  <a:t>/</a:t>
                </a:r>
                <a:r>
                  <a:rPr lang="en-US" sz="1000" b="0" i="0">
                    <a:solidFill>
                      <a:schemeClr val="dk1"/>
                    </a:solidFill>
                    <a:effectLst/>
                    <a:latin typeface="Product Sans" panose="020B0403030502040203" pitchFamily="34" charset="0"/>
                    <a:ea typeface="+mn-ea"/>
                    <a:cs typeface="+mn-cs"/>
                  </a:rPr>
                  <a:t> </a:t>
                </a:r>
                <a:r>
                  <a:rPr lang="en-US" sz="1000" b="0" i="0">
                    <a:solidFill>
                      <a:srgbClr val="FFB7B7"/>
                    </a:solidFill>
                    <a:effectLst/>
                    <a:latin typeface="Product Sans" panose="020B0403030502040203" pitchFamily="34" charset="0"/>
                    <a:ea typeface="+mn-ea"/>
                    <a:cs typeface="+mn-cs"/>
                  </a:rPr>
                  <a:t>OUTSTANDING</a:t>
                </a:r>
                <a:endParaRPr lang="en-US" sz="1000" b="0" i="0" u="none" strike="noStrike">
                  <a:solidFill>
                    <a:srgbClr val="FFB7B7"/>
                  </a:solidFill>
                  <a:latin typeface="Product Sans" panose="020B0403030502040203" pitchFamily="34" charset="0"/>
                  <a:cs typeface="Lato"/>
                </a:endParaRPr>
              </a:p>
            </xdr:txBody>
          </xdr:sp>
          <xdr:graphicFrame macro="">
            <xdr:nvGraphicFramePr>
              <xdr:cNvPr id="118" name="Chart 117">
                <a:extLst>
                  <a:ext uri="{FF2B5EF4-FFF2-40B4-BE49-F238E27FC236}">
                    <a16:creationId xmlns:a16="http://schemas.microsoft.com/office/drawing/2014/main" id="{F9B3121A-D8F4-4122-BF00-92222F311029}"/>
                  </a:ext>
                </a:extLst>
              </xdr:cNvPr>
              <xdr:cNvGraphicFramePr>
                <a:graphicFrameLocks/>
              </xdr:cNvGraphicFramePr>
            </xdr:nvGraphicFramePr>
            <xdr:xfrm>
              <a:off x="5114924" y="3190875"/>
              <a:ext cx="3267075" cy="1828800"/>
            </xdr:xfrm>
            <a:graphic>
              <a:graphicData uri="http://schemas.openxmlformats.org/drawingml/2006/chart">
                <c:chart xmlns:c="http://schemas.openxmlformats.org/drawingml/2006/chart" xmlns:r="http://schemas.openxmlformats.org/officeDocument/2006/relationships" r:id="rId7"/>
              </a:graphicData>
            </a:graphic>
          </xdr:graphicFrame>
        </xdr:grpSp>
        <xdr:graphicFrame macro="">
          <xdr:nvGraphicFramePr>
            <xdr:cNvPr id="103" name="Chart 102">
              <a:extLst>
                <a:ext uri="{FF2B5EF4-FFF2-40B4-BE49-F238E27FC236}">
                  <a16:creationId xmlns:a16="http://schemas.microsoft.com/office/drawing/2014/main" id="{7E69E554-5778-416B-A421-FA1DA50DA18E}"/>
                </a:ext>
              </a:extLst>
            </xdr:cNvPr>
            <xdr:cNvGraphicFramePr>
              <a:graphicFrameLocks/>
            </xdr:cNvGraphicFramePr>
          </xdr:nvGraphicFramePr>
          <xdr:xfrm>
            <a:off x="4981575" y="5267325"/>
            <a:ext cx="3409950" cy="1924050"/>
          </xdr:xfrm>
          <a:graphic>
            <a:graphicData uri="http://schemas.openxmlformats.org/drawingml/2006/chart">
              <c:chart xmlns:c="http://schemas.openxmlformats.org/drawingml/2006/chart" xmlns:r="http://schemas.openxmlformats.org/officeDocument/2006/relationships" r:id="rId8"/>
            </a:graphicData>
          </a:graphic>
        </xdr:graphicFrame>
      </xdr:grpSp>
      <xdr:pic>
        <xdr:nvPicPr>
          <xdr:cNvPr id="44" name="Picture 43">
            <a:extLst>
              <a:ext uri="{FF2B5EF4-FFF2-40B4-BE49-F238E27FC236}">
                <a16:creationId xmlns:a16="http://schemas.microsoft.com/office/drawing/2014/main" id="{126A3860-7ECA-421E-1BD8-20B0C6946A47}"/>
              </a:ext>
            </a:extLst>
          </xdr:cNvPr>
          <xdr:cNvPicPr>
            <a:picLocks noChangeAspect="1"/>
          </xdr:cNvPicPr>
        </xdr:nvPicPr>
        <xdr:blipFill>
          <a:blip xmlns:r="http://schemas.openxmlformats.org/officeDocument/2006/relationships" r:embed="rId9"/>
          <a:stretch>
            <a:fillRect/>
          </a:stretch>
        </xdr:blipFill>
        <xdr:spPr>
          <a:xfrm>
            <a:off x="5748131" y="2294283"/>
            <a:ext cx="1993565" cy="737680"/>
          </a:xfrm>
          <a:prstGeom prst="rect">
            <a:avLst/>
          </a:prstGeom>
        </xdr:spPr>
      </xdr:pic>
    </xdr:grpSp>
    <xdr:clientData/>
  </xdr:twoCellAnchor>
  <xdr:twoCellAnchor editAs="oneCell">
    <xdr:from>
      <xdr:col>3</xdr:col>
      <xdr:colOff>215348</xdr:colOff>
      <xdr:row>4</xdr:row>
      <xdr:rowOff>42655</xdr:rowOff>
    </xdr:from>
    <xdr:to>
      <xdr:col>7</xdr:col>
      <xdr:colOff>409589</xdr:colOff>
      <xdr:row>9</xdr:row>
      <xdr:rowOff>67324</xdr:rowOff>
    </xdr:to>
    <xdr:pic>
      <xdr:nvPicPr>
        <xdr:cNvPr id="74" name="Picture 73">
          <a:extLst>
            <a:ext uri="{FF2B5EF4-FFF2-40B4-BE49-F238E27FC236}">
              <a16:creationId xmlns:a16="http://schemas.microsoft.com/office/drawing/2014/main" id="{3F64AE7F-B77F-2E60-89A3-3CD2763A20B8}"/>
            </a:ext>
          </a:extLst>
        </xdr:cNvPr>
        <xdr:cNvPicPr>
          <a:picLocks noChangeAspect="1"/>
        </xdr:cNvPicPr>
      </xdr:nvPicPr>
      <xdr:blipFill>
        <a:blip xmlns:r="http://schemas.openxmlformats.org/officeDocument/2006/relationships" r:embed="rId10"/>
        <a:stretch>
          <a:fillRect/>
        </a:stretch>
      </xdr:blipFill>
      <xdr:spPr>
        <a:xfrm>
          <a:off x="2044148" y="804655"/>
          <a:ext cx="2632641" cy="996219"/>
        </a:xfrm>
        <a:prstGeom prst="rect">
          <a:avLst/>
        </a:prstGeom>
      </xdr:spPr>
    </xdr:pic>
    <xdr:clientData/>
  </xdr:twoCellAnchor>
  <xdr:twoCellAnchor editAs="oneCell">
    <xdr:from>
      <xdr:col>15</xdr:col>
      <xdr:colOff>132520</xdr:colOff>
      <xdr:row>11</xdr:row>
      <xdr:rowOff>182220</xdr:rowOff>
    </xdr:from>
    <xdr:to>
      <xdr:col>18</xdr:col>
      <xdr:colOff>549497</xdr:colOff>
      <xdr:row>15</xdr:row>
      <xdr:rowOff>157900</xdr:rowOff>
    </xdr:to>
    <xdr:pic>
      <xdr:nvPicPr>
        <xdr:cNvPr id="52" name="Picture 51">
          <a:extLst>
            <a:ext uri="{FF2B5EF4-FFF2-40B4-BE49-F238E27FC236}">
              <a16:creationId xmlns:a16="http://schemas.microsoft.com/office/drawing/2014/main" id="{90984AE6-2FB6-D971-DBE7-A0E247888748}"/>
            </a:ext>
          </a:extLst>
        </xdr:cNvPr>
        <xdr:cNvPicPr>
          <a:picLocks noChangeAspect="1"/>
        </xdr:cNvPicPr>
      </xdr:nvPicPr>
      <xdr:blipFill>
        <a:blip xmlns:r="http://schemas.openxmlformats.org/officeDocument/2006/relationships" r:embed="rId11"/>
        <a:stretch>
          <a:fillRect/>
        </a:stretch>
      </xdr:blipFill>
      <xdr:spPr>
        <a:xfrm>
          <a:off x="9326216" y="2294285"/>
          <a:ext cx="2255716" cy="737680"/>
        </a:xfrm>
        <a:prstGeom prst="rect">
          <a:avLst/>
        </a:prstGeom>
      </xdr:spPr>
    </xdr:pic>
    <xdr:clientData/>
  </xdr:twoCellAnchor>
  <xdr:twoCellAnchor editAs="oneCell">
    <xdr:from>
      <xdr:col>20</xdr:col>
      <xdr:colOff>438978</xdr:colOff>
      <xdr:row>11</xdr:row>
      <xdr:rowOff>182220</xdr:rowOff>
    </xdr:from>
    <xdr:to>
      <xdr:col>25</xdr:col>
      <xdr:colOff>38596</xdr:colOff>
      <xdr:row>15</xdr:row>
      <xdr:rowOff>157900</xdr:rowOff>
    </xdr:to>
    <xdr:pic>
      <xdr:nvPicPr>
        <xdr:cNvPr id="72" name="Picture 71">
          <a:extLst>
            <a:ext uri="{FF2B5EF4-FFF2-40B4-BE49-F238E27FC236}">
              <a16:creationId xmlns:a16="http://schemas.microsoft.com/office/drawing/2014/main" id="{1009B5E8-F780-4BA9-7028-0EDCA0B92582}"/>
            </a:ext>
          </a:extLst>
        </xdr:cNvPr>
        <xdr:cNvPicPr>
          <a:picLocks noChangeAspect="1"/>
        </xdr:cNvPicPr>
      </xdr:nvPicPr>
      <xdr:blipFill>
        <a:blip xmlns:r="http://schemas.openxmlformats.org/officeDocument/2006/relationships" r:embed="rId12"/>
        <a:stretch>
          <a:fillRect/>
        </a:stretch>
      </xdr:blipFill>
      <xdr:spPr>
        <a:xfrm>
          <a:off x="12697239" y="2294285"/>
          <a:ext cx="2664183" cy="73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11</xdr:row>
      <xdr:rowOff>9524</xdr:rowOff>
    </xdr:from>
    <xdr:to>
      <xdr:col>8</xdr:col>
      <xdr:colOff>466725</xdr:colOff>
      <xdr:row>29</xdr:row>
      <xdr:rowOff>19049</xdr:rowOff>
    </xdr:to>
    <xdr:graphicFrame macro="">
      <xdr:nvGraphicFramePr>
        <xdr:cNvPr id="2" name="Chart 1">
          <a:extLst>
            <a:ext uri="{FF2B5EF4-FFF2-40B4-BE49-F238E27FC236}">
              <a16:creationId xmlns:a16="http://schemas.microsoft.com/office/drawing/2014/main" id="{E5F5BD0D-6FC7-6540-8CC4-FEF28568E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ie Sutton" refreshedDate="46091.375770370367" createdVersion="7" refreshedVersion="8" minRefreshableVersion="3" recordCount="452" xr:uid="{F8BAC080-93FB-42FC-9835-98451CA79DDD}">
  <cacheSource type="worksheet">
    <worksheetSource name="Table1"/>
  </cacheSource>
  <cacheFields count="11">
    <cacheField name="ID" numFmtId="0">
      <sharedItems containsSemiMixedTypes="0" containsString="0" containsNumber="1" containsInteger="1" minValue="1" maxValue="1"/>
    </cacheField>
    <cacheField name="Month" numFmtId="17">
      <sharedItems containsSemiMixedTypes="0" containsNonDate="0" containsDate="1" containsString="0" minDate="2025-08-01T00:00:00" maxDate="2026-03-02T00:00:00"/>
    </cacheField>
    <cacheField name="Dept" numFmtId="0">
      <sharedItems count="92">
        <s v="AC"/>
        <s v="BZ"/>
        <s v="CD"/>
        <s v="CW"/>
        <s v="DF"/>
        <s v="DM"/>
        <s v="DN"/>
        <s v="EP"/>
        <s v="H7"/>
        <s v="HC"/>
        <s v="HF"/>
        <s v="HJ"/>
        <s v="LC"/>
        <s v="BL"/>
        <s v="CB"/>
        <s v="CV"/>
        <s v="DL"/>
        <s v="HB"/>
        <s v="HS"/>
        <s v="A4"/>
        <s v="AE"/>
        <s v="AF"/>
        <s v="AL"/>
        <s v="AP"/>
        <s v="AV"/>
        <s v="BA"/>
        <s v="BK"/>
        <s v="BW"/>
        <s v="CF"/>
        <s v="CY"/>
        <s v="CZ"/>
        <s v="DC"/>
        <s v="DG"/>
        <s v="DH"/>
        <s v="DJ"/>
        <s v="DK"/>
        <s v="ET"/>
        <s v="H4"/>
        <s v="H5"/>
        <s v="H6"/>
        <s v="HM"/>
        <s v="HQ"/>
        <s v="M3"/>
        <s v="AJ"/>
        <s v="AZ"/>
        <s v="BX"/>
        <s v="CN"/>
        <s v="DQ"/>
        <s v="A5"/>
        <s v="B9"/>
        <s v="BV"/>
        <s v="CS"/>
        <s v="DB"/>
        <s v="DR"/>
        <s v="DU"/>
        <s v="PS"/>
        <s v="A3"/>
        <s v="AM"/>
        <s v="HE"/>
        <s v="BB"/>
        <s v="CQ"/>
        <s v="LD"/>
        <s v="HN"/>
        <s v="B5"/>
        <s v="EB"/>
        <s v="MQ"/>
        <s v="AB"/>
        <s v="B8"/>
        <s v="LE"/>
        <s v="B2" u="1"/>
        <s v="CA" u="1"/>
        <s v="FW" u="1"/>
        <s v="CU" u="1"/>
        <s v="AT" u="1"/>
        <s v="CM" u="1"/>
        <s v="AN" u="1"/>
        <s v="" u="1"/>
        <s v="VG" u="1"/>
        <s v="CK" u="1"/>
        <s v="CT" u="1"/>
        <s v="BE" u="1"/>
        <s v="H3" u="1"/>
        <s v="CR" u="1"/>
        <s v="HP" u="1"/>
        <s v="H9" u="1"/>
        <s v="CC" u="1"/>
        <s v="AX" u="1"/>
        <s v="HI" u="1"/>
        <s v="H2" u="1"/>
        <s v="LB" u="1"/>
        <s v="ED" u="1"/>
        <s v="H8" u="1"/>
      </sharedItems>
    </cacheField>
    <cacheField name="Project No" numFmtId="0">
      <sharedItems/>
    </cacheField>
    <cacheField name="Paying" numFmtId="0">
      <sharedItems containsBlank="1" count="543">
        <s v="Orfonyx Bio Ltd"/>
        <s v="Fund for Cures UK Ltd"/>
        <s v="Paradifference Foundation"/>
        <s v="Drugs for Neglected Diseases Initiative"/>
        <s v="Pennine Care NHS Foundation Trust"/>
        <s v="National Centre for the Replacement, Refinement and Reduction of Animals in research (NC3RS)"/>
        <s v="Man Investments Ltd"/>
        <s v="Oxford Transplant Foundation"/>
        <s v="Diabetes UK"/>
        <s v="Parker-Hannifin Corporation"/>
        <s v="Natural State Ltd"/>
        <s v="German Historical Institute in Rome"/>
        <s v="Iuvantium Limited"/>
        <s v="AWE Plc"/>
        <s v="Toyota Motor Europe NV/SA"/>
        <s v="Kodiform Therapeutics Limited"/>
        <s v="Omass Therapeutics Ltd"/>
        <s v="Cardiff Metropolitan University"/>
        <s v="University College London"/>
        <s v="South Tees Hospitals NHS Foundation Trust"/>
        <s v="National Institute for Health Research"/>
        <s v="Citigroup Global Markets Inc"/>
        <s v="Celgene Corporation"/>
        <s v="ModernaTX INC"/>
        <s v="Institut de recherches en science de la sante"/>
        <s v="Sexual violence research initiative (SVRI)"/>
        <s v="United Kingdom National Nuclear Laboratory Limited"/>
        <s v="Met Office"/>
        <s v="Marley Health Ltd"/>
        <s v="Cern"/>
        <s v="Bell Foundation"/>
        <s v="PSC Support"/>
        <s v="Kings College London"/>
        <s v="University of Leeds"/>
        <s v="University Court of the University of Edinburgh"/>
        <s v="Medical Research Council"/>
        <s v="University of Warwick"/>
        <s v="Alzheimer's Society"/>
        <s v="Royal Veterinary College"/>
        <s v="University of York"/>
        <s v="University of Notre Dame"/>
        <s v="University of Nottingham"/>
        <s v="University of Bristol"/>
        <s v="University of Manchester"/>
        <s v="Cardiff University"/>
        <s v="Leeds Beckett University"/>
        <s v="Imperial College"/>
        <s v="Northern Care Alliance NHS Foundation Trust"/>
        <s v="Barts Health NHS Trust"/>
        <s v="Great Western Hospitals NHS Foundation Trust"/>
        <s v="Tidalsense Limited"/>
        <s v="University of Birmingham"/>
        <s v="University of Sheffield"/>
        <s v="California Institute of Technology"/>
        <s v="University of Reading"/>
        <s v="University of Bath"/>
        <s v="University of Liverpool"/>
        <s v="University of Exeter"/>
        <s v="Heriot-Watt University"/>
        <s v="University of Surrey"/>
        <s v="Lancaster University"/>
        <s v="Oxford University Hospitals NHS Foundation Trust"/>
        <s v="Oxfordshire Health Service Research Comm"/>
        <s v="Aarhus University"/>
        <s v="Stroke Association"/>
        <s v="Exscientia Ltd"/>
        <s v="Oxford Science Enterprises"/>
        <s v="University Hospitals Birmingham NHS Foundation Trust"/>
        <s v="University of Cambridge"/>
        <s v="Newcastle Upon Tyne Hospitals NHS Foundation Trust"/>
        <s v="NHS Bristol, North Somerset and South Gloucestershire ICB"/>
        <s v="Sheffield Health and Social Care NHS Foundation Trust"/>
        <s v="Alan Turing Institute"/>
        <s v="Podium Analytics"/>
        <s v="Greenage Technologies Power Systems Ltd"/>
        <s v="5N Plus Inc"/>
        <s v="Oxford Nanopore Technologies Ltd"/>
        <s v="UK Biobank"/>
        <s v="University Hospitals of Derby &amp; Burton NHS Foundation Trust"/>
        <s v="Santersus AG"/>
        <s v="MiroBio Ltd"/>
        <s v="Yellowstone Biosciences Limited"/>
        <s v="K36 Therapeutics, Inc."/>
        <s v="Alzheimer's Research UK"/>
        <s v="Epilepsy Research UK"/>
        <s v="Versus Arthritis"/>
        <s v="Health Research Operations Kenya Ltd"/>
        <s v="University of Malaya"/>
        <s v="St George's University of London"/>
        <s v="Sussex Partnership NHS Foundation Trust"/>
        <s v="University of Worcester"/>
        <s v="Oxford Health NHS Foundation Trust"/>
        <s v="Queen Mary University of London"/>
        <s v="Health Data Research UK"/>
        <s v="University of Southampton"/>
        <s v="Royal Astronomical Society"/>
        <s v="Queen's University of Belfast"/>
        <s v="University of Newcastle upon Tyne"/>
        <s v="Shimane University"/>
        <s v="UK Atomic Energy Authority"/>
        <s v="University of Strathclyde"/>
        <s v="University of Southern California"/>
        <s v="Asthma and Lung UK"/>
        <s v="Coeliac Uk"/>
        <s v="North Bristol NHS Trust"/>
        <s v="University Hospitals Coventry &amp; Warwickshire NHS T"/>
        <s v="Daphne Jackson Memorial Fellowship Trust"/>
        <s v="University of Leicester"/>
        <s v="Guarantors of Brain"/>
        <s v="Swansea University"/>
        <s v="London School of Hygiene and Tropical Medicine"/>
        <s v="Novo Nordisk A/S"/>
        <s v="Regeneron Pharmaceuticals Inc"/>
        <s v="Pfizer Inc"/>
        <s v="SCG Chemicals Public Company Limited"/>
        <s v="ShanghaiTech University"/>
        <s v="Royal Cornwall Hospitals NHS Trust"/>
        <s v="University of East Anglia"/>
        <s v="University of Durham"/>
        <s v="Wellcome Trust Sanger Institute"/>
        <s v="Motor Neurone Disease Association"/>
        <s v="Bone Cancer Research Trust"/>
        <s v="Monash University"/>
        <s v="Freie Universitat Berlin"/>
        <s v="University of Dundee"/>
        <s v="Loughborough University"/>
        <s v="Pillar Companies Management UK Limited"/>
        <s v="University of Oslo"/>
        <s v="University of Minnesota"/>
        <s v="University of Aberdeen"/>
        <s v="Cardiff and Vale University Health Board"/>
        <s v="Accounting for Nature"/>
        <s v="Cellcentric Limited"/>
        <s v="Secretary of State for Health and Social Care"/>
        <s v="Calico LLC"/>
        <s v="LifeArc"/>
        <s v="Liverpool School of Tropical Medicine"/>
        <s v="Arthritis UK"/>
        <s v="University of Sussex"/>
        <s v="Cumbria, Northumberland, Tyne and Wear NHS Foundation Trust"/>
        <s v="European Bioinformatics Institute - EMBL"/>
        <s v="University of Edinburgh"/>
        <s v="Oxford Archaeology Limited"/>
        <s v="Parkinson's UK"/>
        <s v="East and North Hertfordshire NHS Trust"/>
        <s v="Immunocore Ltd"/>
        <s v="RAMC Charity"/>
        <s v="Efxentis Ltd"/>
        <s v="Kyowa Kirin International Plc"/>
        <s v="Edwards Lifesciences Sarl"/>
        <s v="London School of Economics &amp; Political Science"/>
        <s v="Merck Sharp &amp; Dohme (UK) Ltd"/>
        <s v="BMA Foundation"/>
        <s v="Three Cliffs Geomechanical Analysis Limited"/>
        <s v="Royal College of Surgeons of England"/>
        <s v="TimeTrace Labs Ltd"/>
        <s v="Public Digital Limited"/>
        <s v="The Francis Crick Institute"/>
        <s v="Become Charity" u="1"/>
        <s v="National Nuclear Laboratory Ltd" u="1"/>
        <s v="Defence Science &amp; Technology Laboratory" u="1"/>
        <s v="MCM Vaccine B.V." u="1"/>
        <s v="Aston University" u="1"/>
        <s v="Kennedy Trust for Rheumatology Research" u="1"/>
        <s v="Karolinska Institutet" u="1"/>
        <s v="Leukaemia UK" u="1"/>
        <s v="Antibiotic Research UK" u="1"/>
        <s v="Prostate Cancer UK" u="1"/>
        <s v="The J. David Gladstone Institutes" u="1"/>
        <s v="George Institute for Global Health" u="1"/>
        <s v="Focused Ultrasound Foundation" u="1"/>
        <s v="NHS Blood &amp; Transplant" u="1"/>
        <s v="IQVIA Ltd" u="1"/>
        <s v="Wildlife Crime Prevention Zambia" u="1"/>
        <s v="British Skin Foundation" u="1"/>
        <s v="Bayer AG" u="1"/>
        <s v="Janssen Biotech" u="1"/>
        <s v="Kadoorie Charitable Foundation" u="1"/>
        <s v="Macular Society" u="1"/>
        <s v="Medical Research Foundation" u="1"/>
        <s v="Electric Power Research Institute (EPRI)" u="1"/>
        <s v="Bangor University" u="1"/>
        <s v="Cure Parkinson's Trust" u="1"/>
        <s v="Stanford University" u="1"/>
        <s v="International Growth Centre" u="1"/>
        <s v="Department for Education" u="1"/>
        <s v="UCB Bio Pharma SRL" u="1"/>
        <s v="Foreign, Commonwealth and Development Office" u="1"/>
        <s v="University College Dublin" u="1"/>
        <s v="SpyBiotech Limited" u="1"/>
        <s v="Astex Therapeutics Ltd" u="1"/>
        <s v="ETH Zurich" u="1"/>
        <s v="La Fondation Congolaise pour la Recherche Medicale" u="1"/>
        <s v="Toyota Research Institute, Inc" u="1"/>
        <s v="Oxford Brain Diagnostics Ltd" u="1"/>
        <s v="King Abdulaziz University" u="1"/>
        <s v="UCB Celltech" u="1"/>
        <s v="Nottingham University Hospitals NHS Trust" u="1"/>
        <s v="Novartis Institutes for Biomedical Research, Inc" u="1"/>
        <s v="UK Centre for Ecology &amp; Hydrology" u="1"/>
        <s v="Radboud Universiteit Nijmegen" u="1"/>
        <s v="The African Research Collaboration for Health Limited" u="1"/>
        <s v="Quality by Randomization Limited" u="1"/>
        <s v="Norfolk and Suffolk NHS Foundation Trust" u="1"/>
        <s v="The Trustees of The Natural History Museum" u="1"/>
        <s v="University of Oregon" u="1"/>
        <s v="Ovarian Cancer Action" u="1"/>
        <s v="Quinnipiac University" u="1"/>
        <s v="University of Washington" u="1"/>
        <s v="University of Essex" u="1"/>
        <s v="Department for Science, Innovation and Technology" u="1"/>
        <s v="TRex Bio Limited" u="1"/>
        <s v="MDXHealth, Inc." u="1"/>
        <s v="ISOgenix Limited" u="1"/>
        <s v="Armasuisse" u="1"/>
        <s v="James Martin 21st Century Foundation" u="1"/>
        <s v="Global Risk Institute in Financial Services" u="1"/>
        <s v="Pirbright Institute" u="1"/>
        <s v="KEMRI Wellcome Trust Research Programme" u="1"/>
        <s v="Brain Research UK" u="1"/>
        <s v="University of North Carolina" u="1"/>
        <s v="Dyson Technology Ltd" u="1"/>
        <s v="Centre for International Governance Innovation" u="1"/>
        <s v="F Hoffmann-La Roche Ltd" u="1"/>
        <s v="Panthera Corporation" u="1"/>
        <s v="Academy of Medical Sciences" u="1"/>
        <s v="Board of Trustees of the Leland Stanford Junior University" u="1"/>
        <s v="Oriel College" u="1"/>
        <s v="Botanic Energy Limited" u="1"/>
        <s v="University of Tasmania" u="1"/>
        <s v="AnnJi Pharmaceutical Co. Ltd" u="1"/>
        <s v="Epsom Medical Research" u="1"/>
        <s v="MyAware" u="1"/>
        <s v="First Solar, Inc." u="1"/>
        <s v="Ministry of Defence" u="1"/>
        <s v="Healthcare Quality Improvement Partnership" u="1"/>
        <s v="EuroQol Group" u="1"/>
        <s v="Johnson Matthey Plc" u="1"/>
        <s v="Orthopaedic Research UK" u="1"/>
        <s v="Turing Innovations Ltd" u="1"/>
        <s v="Janssen Research &amp; Development, LLC" u="1"/>
        <s v="National University of Singapore" u="1"/>
        <s v="Joint Nature Conservation Committee" u="1"/>
        <s v="Yale University" u="1"/>
        <s v="Edward Penley Abraham Research Fund" u="1"/>
        <s v="F Hoffmann-La Roche AG" u="1"/>
        <s v="NHS Bristol, North Somerset and South Gloucestersh" u="1"/>
        <s v="WWF - Germany" u="1"/>
        <s v="Breakthrough Prize Foundation" u="1"/>
        <s v="GlaxoSmithKline Research &amp; Development" u="1"/>
        <s v="Health Foundation" u="1"/>
        <s v="Sheffield Health and Social Care NHS Foundation Tr" u="1"/>
        <s v="Grandparents Plus" u="1"/>
        <s v="XL Catlin Services SE" u="1"/>
        <s v="Bristol-Myers Squibb Pharmaceuticals Ltd" u="1"/>
        <s v="BPGbio, Inc." u="1"/>
        <s v="Education Endowment Foundation" u="1"/>
        <m u="1"/>
        <s v="Pancreatic Cancer UK" u="1"/>
        <s v="South East Asian Rainforest Research Partnership" u="1"/>
        <s v="University of Plymouth" u="1"/>
        <s v="University of Glasgow" u="1"/>
        <s v="University Hospital Southampton NHS Foundation Trust" u="1"/>
        <s v="IMV Inc." u="1"/>
        <s v="Gloucestershire Hospitals NHS Foundation Trust" u="1"/>
        <s v="INRIA - Institut National de Recherche en Informatique et en Automatique" u="1"/>
        <s v="AstraZeneca UK Ltd" u="1"/>
        <s v="Willis Towers Watson PLC" u="1"/>
        <s v="Foundation for Food and Agriculture Research" u="1"/>
        <s v="Circassia Pharmaceuticals plc" u="1"/>
        <s v="Royal Botanic Gardens, Kew" u="1"/>
        <s v="Wellcome Trust" u="1"/>
        <s v="University of Hull" u="1"/>
        <s v="Rosalind Franklin Institute" u="1"/>
        <s v="Institute of Cancer Research" u="1"/>
        <s v="Anya Sturdy Charitable Trust for Medical Research" u="1"/>
        <s v="Imperial College of Science Technology and Medicine" u="1"/>
        <s v="Bertarelli Foundation" u="1"/>
        <s v="Oxford Vacmedix" u="1"/>
        <s v="Changzhou Niujin Shisong Biotechnology Company Ltd" u="1"/>
        <s v="Cannbiorex Pharma Limited" u="1"/>
        <s v="Wanderlust Productions LLC" u="1"/>
        <s v="Department of Health and Social Care" u="1"/>
        <s v="Arcturis Data (UK) Limited" u="1"/>
        <s v="Boehringer Ingelheim Pharmaceuticals, Inc" u="1"/>
        <s v="University of the West of England" u="1"/>
        <s v="Sheffield Teaching Hospitals NHSFT" u="1"/>
        <s v="Camden and Islington NHS Foundation Trust" u="1"/>
        <s v="Stiftung Oskar-Helene-Heim" u="1"/>
        <s v="Born Free Foundation" u="1"/>
        <s v="British Institute of International and Comparative Law" u="1"/>
        <s v="Government Communications Headquarters" u="1"/>
        <s v="Amplify Therapeutics ApS" u="1"/>
        <s v="Foundation for Angelman Syndrome Therapeutics UK" u="1"/>
        <s v="abrdn Financial Fairness Trust" u="1"/>
        <s v="Food Standards Agency" u="1"/>
        <s v="Apple Inc" u="1"/>
        <s v="University of Brighton" u="1"/>
        <s v="Oxford Hospitals Charity" u="1"/>
        <s v="British Medical Association" u="1"/>
        <s v="Chartered Society of Physiotherapy Charitable Trust" u="1"/>
        <s v="GRAIL Bio UK Ltd" u="1"/>
        <s v="Norwegian Institute of International Affairs" u="1"/>
        <s v="Merck Sharp &amp; Dohme Ltd" u="1"/>
        <s v="National Philanthropic Trust" u="1"/>
        <s v="Argenx BV" u="1"/>
        <s v="BASF Belgium Coordination Center CommV" u="1"/>
        <s v="Breast Cancer Now" u="1"/>
        <s v="Cancer Research UK" u="1"/>
        <s v="University of Ghana" u="1"/>
        <s v="NIRAS" u="1"/>
        <s v="Wild Bioscience Ltd" u="1"/>
        <s v="POSTECH" u="1"/>
        <s v="Microsoft Corporation" u="1"/>
        <s v="Heptares Therapeutics Limited" u="1"/>
        <s v="GSK Vaccines Institute for Global Health Srl" u="1"/>
        <s v="The George Washington University" u="1"/>
        <s v="Earlham Institute" u="1"/>
        <s v="National Gas Transmission plc" u="1"/>
        <s v="University of Lincoln" u="1"/>
        <s v="Crohn’s in Childhood Research Association" u="1"/>
        <s v="Novartis Gene Therapies Switzerland GmbH" u="1"/>
        <s v="Swiss Reinsurance Company" u="1"/>
        <s v="AbbVie Inc" u="1"/>
        <s v="Murdoch Childrens Research Institute" u="1"/>
        <s v="Ultima Forma Ltd" u="1"/>
        <s v="Keele University" u="1"/>
        <s v="Sichuan University" u="1"/>
        <s v="Convention on International Trade in Endangered Sp" u="1"/>
        <s v="European Charcot Foundation" u="1"/>
        <s v="Institution of Civil Engineers" u="1"/>
        <s v="Beijing Institute of Collaborative Innovation" u="1"/>
        <s v="Jon Moulton Charity Trust" u="1"/>
        <s v="Fondation Philippe Wiener-Maurice Anspach" u="1"/>
        <s v="Independent Social Research Foundation" u="1"/>
        <s v="Schmidt Family Foundation" u="1"/>
        <s v="Department for Business, Energy and Industrial Strategy" u="1"/>
        <s v="Novartis Pharmaceuticals Corporation" u="1"/>
        <s v="Sanofi-Aventis Groupe" u="1"/>
        <s v="CSL Behring L.L.C." u="1"/>
        <s v="Eli Lilly and Company Ltd" u="1"/>
        <s v="Plymouth Marine Lab" u="1"/>
        <s v="Barclays Bank Plc" u="1"/>
        <s v="Angelini Pharma" u="1"/>
        <s v="New Institute Foundation gGmbH" u="1"/>
        <s v="Great Ormond Street Hospital for Children NHS Trust" u="1"/>
        <s v="Theolytics Ltd" u="1"/>
        <s v="The District Communications Group, LLC" u="1"/>
        <s v="University of Bradford" u="1"/>
        <s v="Ivy Farm Technologies Ltd" u="1"/>
        <s v="Office of Health Economics" u="1"/>
        <s v="Zimbabwe a National Emergency" u="1"/>
        <s v="Jiangsu Industrial Technology Research Institute" u="1"/>
        <s v="Nekton Foundation" u="1"/>
        <s v="Odense University Hospital" u="1"/>
        <s v="Celgene International II Sarl" u="1"/>
        <s v="Department for Environment Food &amp; Rural Affairs" u="1"/>
        <s v="ONO Pharmaceutical Co. Ltd." u="1"/>
        <s v="Novartis Pharma AG Switzerland" u="1"/>
        <s v="Bristol-Myers Squibb USA" u="1"/>
        <s v="Sensyne Health Group Limited" u="1"/>
        <s v="Conifer Breeding Co-operative" u="1"/>
        <s v="VTCT Foundation" u="1"/>
        <s v="Blue Gem Wind Ltd" u="1"/>
        <s v="Scribe Therapeutics Inc." u="1"/>
        <s v="Elsevier Ltd" u="1"/>
        <s v="Sheffield Hallam University" u="1"/>
        <s v="Umea University" u="1"/>
        <s v="iOx Therapeutics Limited" u="1"/>
        <s v="Samsung Electronics Company Ltd" u="1"/>
        <s v="Michael J Fox Foundation for Parkinson's Research" u="1"/>
        <s v="Electronics and Telecommunications Research Institute" u="1"/>
        <s v="Royal College of Art" u="1"/>
        <s v="University of Antwerp" u="1"/>
        <s v="Action Medical Research" u="1"/>
        <s v="Browning and Associates Limited" u="1"/>
        <s v="Science and Technology Facilities Council" u="1"/>
        <s v="Sarcoma UK" u="1"/>
        <s v="NPL Management Ltd" u="1"/>
        <s v="RTI International" u="1"/>
        <s v="European Space Agency" u="1"/>
        <s v="Huntleigh Healthcare Ltd" u="1"/>
        <s v="Southampton University Hospitals NHS Trust" u="1"/>
        <s v="Tesco PLC" u="1"/>
        <s v="Manchester Metropolitan University" u="1"/>
        <s v="UNICEF (United Nations International Children's Emergency Fund)" u="1"/>
        <s v="Quadram Institute Bioscience" u="1"/>
        <s v="University of Kent at Canterbury" u="1"/>
        <s v="Chartered Institute of Public Finances and Accounting" u="1"/>
        <s v="Occtopus, Oxford Colon Cancer Trust" u="1"/>
        <s v="Newlife the Charity for Disabled Children" u="1"/>
        <s v="IF International Foundation" u="1"/>
        <s v="Oxford Photovoltaics Ltd" u="1"/>
        <s v="Roche Diagnostics GmbH" u="1"/>
        <s v="Imperial College of Science Technology &amp; Medicine" u="1"/>
        <s v="NHS Bristol, North Somerset and South Gloucestershire CCG" u="1"/>
        <s v="Imperial College London" u="1"/>
        <s v="Imagia Inc" u="1"/>
        <s v="Blood Cancer UK" u="1"/>
        <s v="Sitryx Therapeutics Ltd" u="1"/>
        <s v="European Centre for Medium Range Weather Forecasts" u="1"/>
        <s v="Facebook, Inc." u="1"/>
        <s v="National Library and Archives of the United Arab Emirates" u="1"/>
        <s v="Leo &amp; Mia Foundation" u="1"/>
        <s v="Nanjing Kerun Lubricants Co., Ltd." u="1"/>
        <s v="Heart Research UK" u="1"/>
        <s v="AMC Medical Research" u="1"/>
        <s v="FiveAi" u="1"/>
        <s v="Singula Bio Ltd" u="1"/>
        <s v="Serac Healthcare Ltd" u="1"/>
        <s v="Public Health England" u="1"/>
        <s v="Royal Holloway &amp; Bedford New College" u="1"/>
        <s v="National Foundation for the Centres for Disease Control and Prevention, Inc. (CDC Foundation)" u="1"/>
        <s v="ATDBio Ltd" u="1"/>
        <s v="University College London Hospitals NHS Foundation Trust" u="1"/>
        <s v="Unesco" u="1"/>
        <s v="Marex Spectron" u="1"/>
        <s v="Kidani Memorial Trust" u="1"/>
        <s v="Templeton World Charity Foundation" u="1"/>
        <s v="Kavli Trust" u="1"/>
        <s v="Fight for Sight" u="1"/>
        <s v="University of Geneva" u="1"/>
        <s v="AstraZeneca Pharmaceuticals LP" u="1"/>
        <s v="Menzies School of Health Research" u="1"/>
        <s v="University of Calgary" u="1"/>
        <s v="Charities Aid Foundation" u="1"/>
        <s v="Oxford Martin School" u="1"/>
        <s v="City University London" u="1"/>
        <s v="Remark Holdings Inc" u="1"/>
        <s v="Pennsylvania State University" u="1"/>
        <s v="Royal Brompton &amp; Harefield NHS Trust" u="1"/>
        <s v="Equinor ASA" u="1"/>
        <s v="Africa Research Excellence Fund" u="1"/>
        <s v="Crondall Energy Consultants Ltd" u="1"/>
        <s v="Faraday Institution" u="1"/>
        <s v="Insurance Development Forum" u="1"/>
        <s v="Aerospace Technology Institute" u="1"/>
        <s v="Shell Foundation" u="1"/>
        <s v="Centre Samy Maroun" u="1"/>
        <s v="Elysium Health Inc" u="1"/>
        <s v="Thermo Finnigan LLC" u="1"/>
        <s v="University of Copenhagen" u="1"/>
        <s v="Guts UK Charity" u="1"/>
        <s v="BLISS" u="1"/>
        <s v="Alfred P Sloan Foundation" u="1"/>
        <s v="Continental Teves AG &amp; Co. oHG" u="1"/>
        <s v="Suzhou Institute of Biomedical Engineering and Technology" u="1"/>
        <s v="Equillium, Inc." u="1"/>
        <s v="Amplo Biotechnology" u="1"/>
        <s v="Quadrature Climate Foundation" u="1"/>
        <e v="#N/A" u="1"/>
        <s v="Michigan State University" u="1"/>
        <s v="Boehringer Ingelheim Pharma GmbH &amp; Co. KG" u="1"/>
        <s v="University Hospitals Bristol and Weston NHS Foundation Trust" u="1"/>
        <s v="PETSAVERS" u="1"/>
        <s v="MatOrtho Ltd" u="1"/>
        <s v="Additional Ventures" u="1"/>
        <s v="Critical Path Institute" u="1"/>
        <s v="LankellyChase Foundation" u="1"/>
        <s v="Kay Kendall Leukaemia Fund" u="1"/>
        <s v="Merck KGaA" u="1"/>
        <s v="Chester Zoo" u="1"/>
        <s v="Pearson Education" u="1"/>
        <s v="Ultromics Limited" u="1"/>
        <s v="Harvard University" u="1"/>
        <s v="Hull University Teaching Hospitals NHS Trust" u="1"/>
        <s v="Pharmo Institute N.V." u="1"/>
        <s v="Oxford Brookes University" u="1"/>
        <s v="Guangzhou Patronus Biotechnology Co. Ltd" u="1"/>
        <s v="Coalition For Disaster Resilient Infrastructure" u="1"/>
        <s v="Naver France SAS" u="1"/>
        <s v="E P A Cephalosporin Fund" u="1"/>
        <s v="National Library of Scotland" u="1"/>
        <s v="ZOGENIX International Limited" u="1"/>
        <s v="Stichting EuroQol Research Foundation" u="1"/>
        <s v="Evox Therapeutics Ltd" u="1"/>
        <s v="University of Tsukuba" u="1"/>
        <s v="World Health Organisation" u="1"/>
        <s v="University of Stirling" u="1"/>
        <s v="Zoological Society of London" u="1"/>
        <s v="Royal College of General Practitioners" u="1"/>
        <s v="Vaccitech Limited" u="1"/>
        <s v="Unilever UK Limited" u="1"/>
        <s v="Blenheim Palace Heritage Foundation Charity" u="1"/>
        <s v="ADERA" u="1"/>
        <s v="Ataxia UK" u="1"/>
        <s v="Coolbrook OY" u="1"/>
        <s v="SkylineDx BV" u="1"/>
        <s v="Cameca Instruments Inc" u="1"/>
        <s v="University of Virginia" u="1"/>
        <s v="China Digital Cities Institute" u="1"/>
        <s v="Serum Institute of India Private Limited" u="1"/>
        <s v="Hexagon AICON ETALON GmbH" u="1"/>
        <s v="Program for Appropriate Technology in Health (PATH)" u="1"/>
        <s v="HalioDx SAS" u="1"/>
        <s v="Parkinson Schweiz" u="1"/>
        <s v="EcoHealth Alliance" u="1"/>
        <s v="Tokamak Energy Ltd" u="1"/>
        <s v="Australian Government" u="1"/>
        <s v="Muscular Dystrophy UK" u="1"/>
        <s v="The Urology Foundation" u="1"/>
        <s v="Lymphoma Research Trust" u="1"/>
        <s v="World Business Council for Sustainable Development" u="1"/>
        <s v="Wallac Oy" u="1"/>
        <s v="Hilti Foundation" u="1"/>
        <s v="Quantopticon Ltd" u="1"/>
        <s v="UK Health Security Agency" u="1"/>
        <s v="Norwegian University of Life Sciences" u="1"/>
        <s v="Information Commissioner's Office" u="1"/>
        <s v="Great Ormond Street Hospital Children's Charity" u="1"/>
        <s v="Bradford Teaching Hospitals NHS Foundation Trust" u="1"/>
        <s v="King Abdullah University of Science &amp; Technology" u="1"/>
        <s v="ZOLL Medical Corporation" u="1"/>
        <s v="AIRC Foundation for Cancer Research" u="1"/>
        <s v="Biogen MA Inc." u="1"/>
        <s v="Celsius Therapeutics, Inc." u="1"/>
        <s v="Open University" u="1"/>
        <s v="MOA Technology Limited" u="1"/>
        <s v="Brunel University London" u="1"/>
        <s v="Janssen Pharmaceutica NV" u="1"/>
        <s v="Dinwoodie Charitable Company" u="1"/>
        <s v="Goldsmiths University  of London" u="1"/>
        <s v="Inception Institute of Artificial Intelligence" u="1"/>
        <s v="British Academy" u="1"/>
        <s v="AFM Telethon" u="1"/>
        <s v="CDC Foundation" u="1"/>
        <s v="Bowel Research UK" u="1"/>
        <s v="University of Pennsylvania" u="1"/>
        <s v="University of Northumbria at Newcastle" u="1"/>
        <s v="Netherlands Organisation for Scientific Research" u="1"/>
        <s v="Rothamsted Research" u="1"/>
        <s v="Ludwig Institute for Cancer Research" u="1"/>
        <s v="Ofwat" u="1"/>
        <s v="Prenetics" u="1"/>
        <s v="University of London" u="1"/>
        <s v="European Society of Intensive Care Medicine" u="1"/>
        <s v="Debiopharm" u="1"/>
        <s v="Cabinet Office" u="1"/>
        <s v="Wellcome Leap Inc" u="1"/>
        <s v="Dunhill Medical Trust" u="1"/>
        <s v="Mitsubishi Heavy Industries Ltd" u="1"/>
        <s v="Emory University" u="1"/>
        <s v="AXIS UK Services Limited" u="1"/>
      </sharedItems>
    </cacheField>
    <cacheField name="Non-Paying" numFmtId="0">
      <sharedItems containsBlank="1" containsMixedTypes="1" containsNumber="1" containsInteger="1" minValue="0" maxValue="0"/>
    </cacheField>
    <cacheField name="Invoice Amount" numFmtId="43">
      <sharedItems containsSemiMixedTypes="0" containsString="0" containsNumber="1" minValue="11.05" maxValue="1383500"/>
    </cacheField>
    <cacheField name="Invoice No" numFmtId="0">
      <sharedItems containsSemiMixedTypes="0" containsString="0" containsNumber="1" containsInteger="1" minValue="210154155" maxValue="1210169837"/>
    </cacheField>
    <cacheField name="Type" numFmtId="0">
      <sharedItems containsBlank="1" count="4">
        <s v="PROFILED"/>
        <s v="MILESTONE"/>
        <s v="WORK"/>
        <m u="1"/>
      </sharedItems>
    </cacheField>
    <cacheField name="Outstanding" numFmtId="43">
      <sharedItems containsSemiMixedTypes="0" containsString="0" containsNumber="1" minValue="0" maxValue="1383500"/>
    </cacheField>
    <cacheField name="Paid" numFmtId="43">
      <sharedItems containsSemiMixedTypes="0" containsString="0" containsNumber="1" minValue="0" maxValue="1383500"/>
    </cacheField>
  </cacheFields>
  <extLst>
    <ext xmlns:x14="http://schemas.microsoft.com/office/spreadsheetml/2009/9/main" uri="{725AE2AE-9491-48be-B2B4-4EB974FC3084}">
      <x14:pivotCacheDefinition pivotCacheId="1664093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
  <r>
    <n v="1"/>
    <d v="2025-08-01T00:00:00"/>
    <x v="0"/>
    <s v="ACR01720"/>
    <x v="0"/>
    <s v="Orfonyx Bio Ltd"/>
    <n v="99999.79"/>
    <n v="210165056"/>
    <x v="0"/>
    <n v="0"/>
    <n v="99999.79"/>
  </r>
  <r>
    <n v="1"/>
    <d v="2025-08-01T00:00:00"/>
    <x v="1"/>
    <s v="BZR06920"/>
    <x v="1"/>
    <s v="Fund for Cures UK Ltd"/>
    <n v="139750"/>
    <n v="210165057"/>
    <x v="0"/>
    <n v="0"/>
    <n v="139750"/>
  </r>
  <r>
    <n v="1"/>
    <d v="2025-08-01T00:00:00"/>
    <x v="2"/>
    <s v="CDR01580"/>
    <x v="2"/>
    <s v="Paradifference Foundation"/>
    <n v="178436.41"/>
    <n v="210165058"/>
    <x v="0"/>
    <n v="0"/>
    <n v="178436.41"/>
  </r>
  <r>
    <n v="1"/>
    <d v="2025-08-01T00:00:00"/>
    <x v="3"/>
    <s v="CWR00230"/>
    <x v="3"/>
    <s v="Drugs for Neglected Diseases Initiative"/>
    <n v="84000"/>
    <n v="210165059"/>
    <x v="0"/>
    <n v="0"/>
    <n v="84000"/>
  </r>
  <r>
    <n v="1"/>
    <d v="2025-08-01T00:00:00"/>
    <x v="4"/>
    <s v="DFR08401"/>
    <x v="4"/>
    <s v="National Institute for Health Research"/>
    <n v="5972.34"/>
    <n v="210165060"/>
    <x v="0"/>
    <n v="0"/>
    <n v="5972.34"/>
  </r>
  <r>
    <n v="1"/>
    <d v="2025-08-01T00:00:00"/>
    <x v="4"/>
    <s v="DFR10800"/>
    <x v="5"/>
    <s v="National Centre for the Replacement, Refinement and Reduction of Animals in research (NC3RS)"/>
    <n v="22445.47"/>
    <n v="210165061"/>
    <x v="0"/>
    <n v="0"/>
    <n v="22445.47"/>
  </r>
  <r>
    <n v="1"/>
    <d v="2025-08-01T00:00:00"/>
    <x v="5"/>
    <s v="DMR02240"/>
    <x v="6"/>
    <s v="Man Investments Ltd"/>
    <n v="305000"/>
    <n v="210165062"/>
    <x v="0"/>
    <n v="0"/>
    <n v="305000"/>
  </r>
  <r>
    <n v="1"/>
    <d v="2025-08-01T00:00:00"/>
    <x v="6"/>
    <s v="DNR01320"/>
    <x v="7"/>
    <s v="Oxford Transplant Foundation"/>
    <n v="10000"/>
    <n v="210165063"/>
    <x v="0"/>
    <n v="0"/>
    <n v="10000"/>
  </r>
  <r>
    <n v="1"/>
    <d v="2025-08-01T00:00:00"/>
    <x v="7"/>
    <s v="EPR02280"/>
    <x v="7"/>
    <s v="Oxford Transplant Foundation"/>
    <n v="9950"/>
    <n v="210165064"/>
    <x v="0"/>
    <n v="0"/>
    <n v="9950"/>
  </r>
  <r>
    <n v="1"/>
    <d v="2025-08-01T00:00:00"/>
    <x v="8"/>
    <s v="H7R01210"/>
    <x v="8"/>
    <s v="Diabetes UK"/>
    <n v="49255.11"/>
    <n v="210165065"/>
    <x v="0"/>
    <n v="0"/>
    <n v="49255.11"/>
  </r>
  <r>
    <n v="1"/>
    <d v="2025-08-01T00:00:00"/>
    <x v="8"/>
    <s v="H7R01280"/>
    <x v="9"/>
    <s v="Parker-Hannifin Corporation"/>
    <n v="1080000"/>
    <n v="210154155"/>
    <x v="1"/>
    <n v="0"/>
    <n v="1080000"/>
  </r>
  <r>
    <n v="1"/>
    <d v="2025-09-01T00:00:00"/>
    <x v="0"/>
    <s v="ACR01720"/>
    <x v="10"/>
    <s v="Natural State Ltd"/>
    <n v="76907.539999999994"/>
    <n v="210165718"/>
    <x v="0"/>
    <n v="0"/>
    <n v="76907.539999999994"/>
  </r>
  <r>
    <n v="1"/>
    <d v="2025-09-01T00:00:00"/>
    <x v="1"/>
    <s v="BZR06920"/>
    <x v="4"/>
    <s v="National Institute for Health Research"/>
    <n v="2066.1799999999998"/>
    <n v="210165719"/>
    <x v="0"/>
    <n v="0"/>
    <n v="2066.1799999999998"/>
  </r>
  <r>
    <n v="1"/>
    <d v="2025-09-01T00:00:00"/>
    <x v="2"/>
    <s v="CDR01580"/>
    <x v="11"/>
    <s v="Max Weber Foundation"/>
    <n v="60000"/>
    <n v="210165720"/>
    <x v="0"/>
    <n v="0"/>
    <n v="60000"/>
  </r>
  <r>
    <n v="1"/>
    <d v="2025-09-01T00:00:00"/>
    <x v="3"/>
    <s v="CWR00230"/>
    <x v="12"/>
    <s v="Iuvantium Limited"/>
    <n v="8457"/>
    <n v="210165721"/>
    <x v="0"/>
    <n v="0"/>
    <n v="8457"/>
  </r>
  <r>
    <n v="1"/>
    <d v="2025-09-01T00:00:00"/>
    <x v="4"/>
    <s v="DFR08401"/>
    <x v="13"/>
    <s v="AWE Plc"/>
    <n v="3750.13"/>
    <n v="210165722"/>
    <x v="0"/>
    <n v="0"/>
    <n v="3750.13"/>
  </r>
  <r>
    <n v="1"/>
    <d v="2025-09-01T00:00:00"/>
    <x v="4"/>
    <s v="DFR10800"/>
    <x v="14"/>
    <s v="Toyota Motor Europe NV/SA"/>
    <n v="82500"/>
    <n v="210165723"/>
    <x v="0"/>
    <n v="0"/>
    <n v="82500"/>
  </r>
  <r>
    <n v="1"/>
    <d v="2025-09-01T00:00:00"/>
    <x v="5"/>
    <s v="DMR02240"/>
    <x v="15"/>
    <s v="Kodiform Therapeutics Limited"/>
    <n v="261704"/>
    <n v="210165724"/>
    <x v="0"/>
    <n v="0"/>
    <n v="261704"/>
  </r>
  <r>
    <n v="1"/>
    <d v="2025-09-01T00:00:00"/>
    <x v="6"/>
    <s v="DNR01320"/>
    <x v="16"/>
    <s v="Omass Therapeutics Ltd"/>
    <n v="42264.42"/>
    <n v="210165725"/>
    <x v="0"/>
    <n v="0"/>
    <n v="42264.42"/>
  </r>
  <r>
    <n v="1"/>
    <d v="2025-09-01T00:00:00"/>
    <x v="7"/>
    <s v="EPR02280"/>
    <x v="17"/>
    <s v="Welsh Government"/>
    <n v="5750.67"/>
    <n v="210165726"/>
    <x v="0"/>
    <n v="0"/>
    <n v="5750.67"/>
  </r>
  <r>
    <n v="1"/>
    <d v="2025-09-01T00:00:00"/>
    <x v="8"/>
    <s v="H7R01210"/>
    <x v="8"/>
    <s v="Diabetes UK"/>
    <n v="20750.990000000002"/>
    <n v="210165727"/>
    <x v="0"/>
    <n v="0"/>
    <n v="20750.990000000002"/>
  </r>
  <r>
    <n v="1"/>
    <d v="2025-09-01T00:00:00"/>
    <x v="8"/>
    <s v="H7R01280"/>
    <x v="8"/>
    <s v="Diabetes UK"/>
    <n v="120455.34"/>
    <n v="210165728"/>
    <x v="0"/>
    <n v="0"/>
    <n v="120455.34"/>
  </r>
  <r>
    <n v="1"/>
    <d v="2025-09-01T00:00:00"/>
    <x v="9"/>
    <s v="HCR02250"/>
    <x v="18"/>
    <s v="Engineering &amp; Physical Sciences Research Council"/>
    <n v="56005.66"/>
    <n v="210165729"/>
    <x v="0"/>
    <n v="0"/>
    <n v="56005.66"/>
  </r>
  <r>
    <n v="1"/>
    <d v="2025-09-01T00:00:00"/>
    <x v="10"/>
    <s v="HFR02600"/>
    <x v="19"/>
    <s v="National Institute for Health Research"/>
    <n v="940.94"/>
    <n v="210165730"/>
    <x v="0"/>
    <n v="0"/>
    <n v="940.94"/>
  </r>
  <r>
    <n v="1"/>
    <d v="2025-09-01T00:00:00"/>
    <x v="10"/>
    <s v="HFR06650"/>
    <x v="20"/>
    <s v="National Institute for Health Research"/>
    <n v="6794"/>
    <n v="210165731"/>
    <x v="0"/>
    <n v="0"/>
    <n v="6794"/>
  </r>
  <r>
    <n v="1"/>
    <d v="2025-09-01T00:00:00"/>
    <x v="10"/>
    <s v="HFR06670"/>
    <x v="20"/>
    <s v="National Institute for Health Research"/>
    <n v="69253"/>
    <n v="210165732"/>
    <x v="0"/>
    <n v="0"/>
    <n v="69253"/>
  </r>
  <r>
    <n v="1"/>
    <d v="2025-09-01T00:00:00"/>
    <x v="11"/>
    <s v="HJR03470"/>
    <x v="7"/>
    <s v="Oxford Transplant Foundation"/>
    <n v="10000"/>
    <n v="210165733"/>
    <x v="0"/>
    <n v="0"/>
    <n v="10000"/>
  </r>
  <r>
    <n v="1"/>
    <d v="2025-09-01T00:00:00"/>
    <x v="11"/>
    <s v="HJR03480"/>
    <x v="7"/>
    <s v="Oxford Transplant Foundation"/>
    <n v="9621"/>
    <n v="210165734"/>
    <x v="0"/>
    <n v="0"/>
    <n v="9621"/>
  </r>
  <r>
    <n v="1"/>
    <d v="2025-09-01T00:00:00"/>
    <x v="12"/>
    <s v="LCR00180"/>
    <x v="21"/>
    <s v="Citigroup Global Markets Inc"/>
    <n v="194959"/>
    <n v="210165735"/>
    <x v="0"/>
    <n v="0"/>
    <n v="194959"/>
  </r>
  <r>
    <n v="1"/>
    <d v="2025-09-01T00:00:00"/>
    <x v="13"/>
    <s v="BLR02930"/>
    <x v="22"/>
    <s v="Celgene Corporation"/>
    <n v="68412.34"/>
    <n v="210166040"/>
    <x v="1"/>
    <n v="68412.34"/>
    <n v="0"/>
  </r>
  <r>
    <n v="1"/>
    <d v="2025-09-01T00:00:00"/>
    <x v="1"/>
    <s v="BZR06050"/>
    <x v="23"/>
    <s v="ModernaTX INC"/>
    <n v="590097.62"/>
    <n v="210166041"/>
    <x v="1"/>
    <n v="590097.62"/>
    <n v="0"/>
  </r>
  <r>
    <n v="1"/>
    <d v="2025-09-01T00:00:00"/>
    <x v="14"/>
    <s v="CBR00070"/>
    <x v="24"/>
    <s v="Wellcome Trust"/>
    <n v="30600"/>
    <n v="210166042"/>
    <x v="1"/>
    <n v="30600"/>
    <n v="0"/>
  </r>
  <r>
    <n v="1"/>
    <d v="2025-09-01T00:00:00"/>
    <x v="15"/>
    <s v="CVR01340"/>
    <x v="25"/>
    <s v="Sexual violence research initiative (SVRI)"/>
    <n v="29739.4"/>
    <n v="210166043"/>
    <x v="1"/>
    <n v="0"/>
    <n v="29739.4"/>
  </r>
  <r>
    <n v="1"/>
    <d v="2025-09-01T00:00:00"/>
    <x v="4"/>
    <s v="DFR09730"/>
    <x v="26"/>
    <s v="United Kingdom National Nuclear Laboratory Limited"/>
    <n v="36280"/>
    <n v="210166044"/>
    <x v="1"/>
    <n v="0"/>
    <n v="36280"/>
  </r>
  <r>
    <n v="1"/>
    <d v="2025-09-01T00:00:00"/>
    <x v="4"/>
    <s v="DFR09871"/>
    <x v="27"/>
    <s v="Met Office"/>
    <n v="25207.52"/>
    <n v="210166045"/>
    <x v="1"/>
    <n v="0"/>
    <n v="25207.52"/>
  </r>
  <r>
    <n v="1"/>
    <d v="2025-09-01T00:00:00"/>
    <x v="4"/>
    <s v="DFR10890"/>
    <x v="28"/>
    <s v="Marley Health Ltd"/>
    <n v="138418"/>
    <n v="210166046"/>
    <x v="1"/>
    <n v="0"/>
    <n v="138418"/>
  </r>
  <r>
    <n v="1"/>
    <d v="2025-09-01T00:00:00"/>
    <x v="16"/>
    <s v="DLR00950"/>
    <x v="29"/>
    <s v="Cern"/>
    <n v="35240.239999999998"/>
    <n v="210166047"/>
    <x v="1"/>
    <n v="0"/>
    <n v="35240.239999999998"/>
  </r>
  <r>
    <n v="1"/>
    <d v="2025-09-01T00:00:00"/>
    <x v="7"/>
    <s v="EPR02210"/>
    <x v="30"/>
    <s v="Bell Foundation"/>
    <n v="16930.77"/>
    <n v="210166048"/>
    <x v="1"/>
    <n v="0"/>
    <n v="16930.77"/>
  </r>
  <r>
    <n v="1"/>
    <d v="2025-09-01T00:00:00"/>
    <x v="17"/>
    <s v="HBR05360"/>
    <x v="31"/>
    <s v="PSC Support"/>
    <n v="7500"/>
    <n v="210166049"/>
    <x v="1"/>
    <n v="7500"/>
    <n v="0"/>
  </r>
  <r>
    <n v="1"/>
    <d v="2025-09-01T00:00:00"/>
    <x v="18"/>
    <s v="HSR01520"/>
    <x v="22"/>
    <s v="Celgene Corporation"/>
    <n v="55377"/>
    <n v="210166050"/>
    <x v="1"/>
    <n v="55377"/>
    <n v="0"/>
  </r>
  <r>
    <n v="1"/>
    <d v="2025-09-01T00:00:00"/>
    <x v="19"/>
    <s v="A4R00050"/>
    <x v="32"/>
    <s v="Biotechnology &amp; Biological Sciences Research Council"/>
    <n v="1807.18"/>
    <n v="210166234"/>
    <x v="2"/>
    <n v="0"/>
    <n v="1807.18"/>
  </r>
  <r>
    <n v="1"/>
    <d v="2025-09-01T00:00:00"/>
    <x v="20"/>
    <s v="AER01590"/>
    <x v="18"/>
    <s v="Economic &amp; Social Research Council"/>
    <n v="10580.53"/>
    <n v="210166235"/>
    <x v="2"/>
    <n v="0"/>
    <n v="10580.53"/>
  </r>
  <r>
    <n v="1"/>
    <d v="2025-09-01T00:00:00"/>
    <x v="21"/>
    <s v="AFR01540"/>
    <x v="33"/>
    <s v="Engineering &amp; Physical Sciences Research Council"/>
    <n v="47428"/>
    <n v="210166236"/>
    <x v="2"/>
    <n v="0"/>
    <n v="47428"/>
  </r>
  <r>
    <n v="1"/>
    <d v="2025-09-01T00:00:00"/>
    <x v="22"/>
    <s v="ALR02880"/>
    <x v="34"/>
    <s v="Medical Research Council"/>
    <n v="63469.1"/>
    <n v="210166237"/>
    <x v="2"/>
    <n v="0"/>
    <n v="63469.1"/>
  </r>
  <r>
    <n v="1"/>
    <d v="2025-09-01T00:00:00"/>
    <x v="22"/>
    <s v="ALR02900"/>
    <x v="35"/>
    <s v="Medical Research Council"/>
    <n v="128506.65"/>
    <n v="210166238"/>
    <x v="2"/>
    <n v="0"/>
    <n v="128506.65"/>
  </r>
  <r>
    <n v="1"/>
    <d v="2025-09-01T00:00:00"/>
    <x v="23"/>
    <s v="APR01060"/>
    <x v="36"/>
    <s v="Biotechnology &amp; Biological Sciences Research Council"/>
    <n v="1549.06"/>
    <n v="210166239"/>
    <x v="2"/>
    <n v="0"/>
    <n v="1549.06"/>
  </r>
  <r>
    <n v="1"/>
    <d v="2025-09-01T00:00:00"/>
    <x v="24"/>
    <s v="AVR03340"/>
    <x v="37"/>
    <s v="Alzheimer's Society"/>
    <n v="13768.66"/>
    <n v="210166240"/>
    <x v="2"/>
    <n v="0"/>
    <n v="13768.66"/>
  </r>
  <r>
    <n v="1"/>
    <d v="2025-09-01T00:00:00"/>
    <x v="24"/>
    <s v="AVR03370"/>
    <x v="38"/>
    <s v="Medical Research Council"/>
    <n v="2887.97"/>
    <n v="210166241"/>
    <x v="2"/>
    <n v="0"/>
    <n v="2887.97"/>
  </r>
  <r>
    <n v="1"/>
    <d v="2025-09-01T00:00:00"/>
    <x v="25"/>
    <s v="BAR00850"/>
    <x v="39"/>
    <s v="Economic &amp; Social Research Council"/>
    <n v="1897.39"/>
    <n v="210166242"/>
    <x v="2"/>
    <n v="0"/>
    <n v="1897.39"/>
  </r>
  <r>
    <n v="1"/>
    <d v="2025-09-01T00:00:00"/>
    <x v="26"/>
    <s v="BKR02200"/>
    <x v="40"/>
    <s v="Office of Naval Research"/>
    <n v="26999.39"/>
    <n v="210166243"/>
    <x v="2"/>
    <n v="0"/>
    <n v="26999.39"/>
  </r>
  <r>
    <n v="1"/>
    <d v="2025-09-01T00:00:00"/>
    <x v="13"/>
    <s v="BLR03200"/>
    <x v="41"/>
    <s v="Medical Research Council"/>
    <n v="24052.35"/>
    <n v="210166245"/>
    <x v="2"/>
    <n v="0"/>
    <n v="24052.35"/>
  </r>
  <r>
    <n v="1"/>
    <d v="2025-09-01T00:00:00"/>
    <x v="13"/>
    <s v="BLR03610"/>
    <x v="33"/>
    <s v="Natural Environment Research Council"/>
    <n v="3687.55"/>
    <n v="210166246"/>
    <x v="2"/>
    <n v="0"/>
    <n v="3687.55"/>
  </r>
  <r>
    <n v="1"/>
    <d v="2025-09-01T00:00:00"/>
    <x v="13"/>
    <s v="BLR03860"/>
    <x v="42"/>
    <s v="Engineering &amp; Physical Sciences Research Council"/>
    <n v="101530.75"/>
    <n v="210166247"/>
    <x v="2"/>
    <n v="0"/>
    <n v="101530.75"/>
  </r>
  <r>
    <n v="1"/>
    <d v="2025-09-01T00:00:00"/>
    <x v="27"/>
    <s v="BWR01590"/>
    <x v="43"/>
    <s v="British Heart Foundation"/>
    <n v="14205.69"/>
    <n v="210166248"/>
    <x v="2"/>
    <n v="0"/>
    <n v="14205.69"/>
  </r>
  <r>
    <n v="1"/>
    <d v="2025-09-01T00:00:00"/>
    <x v="1"/>
    <s v="BZR06150"/>
    <x v="44"/>
    <s v="Welsh Government"/>
    <n v="5748.54"/>
    <n v="210166249"/>
    <x v="2"/>
    <n v="0"/>
    <n v="5748.54"/>
  </r>
  <r>
    <n v="1"/>
    <d v="2025-09-01T00:00:00"/>
    <x v="1"/>
    <s v="BZR06190"/>
    <x v="45"/>
    <s v="National Institute for Health Research"/>
    <n v="455.44"/>
    <n v="210166250"/>
    <x v="2"/>
    <n v="0"/>
    <n v="455.44"/>
  </r>
  <r>
    <n v="1"/>
    <d v="2025-09-01T00:00:00"/>
    <x v="1"/>
    <s v="BZR06870"/>
    <x v="46"/>
    <s v="National Institute for Health Research"/>
    <n v="26811.41"/>
    <n v="210166251"/>
    <x v="2"/>
    <n v="0"/>
    <n v="26811.41"/>
  </r>
  <r>
    <n v="1"/>
    <d v="2025-09-01T00:00:00"/>
    <x v="1"/>
    <s v="BZR06910"/>
    <x v="47"/>
    <s v="National Institute for Health Research"/>
    <n v="3494.7"/>
    <n v="210166252"/>
    <x v="2"/>
    <n v="0"/>
    <n v="3494.7"/>
  </r>
  <r>
    <n v="1"/>
    <d v="2025-09-01T00:00:00"/>
    <x v="1"/>
    <s v="BZR06940"/>
    <x v="48"/>
    <s v="National Institute for Health Research"/>
    <n v="2173.62"/>
    <n v="210166253"/>
    <x v="2"/>
    <n v="0"/>
    <n v="2173.62"/>
  </r>
  <r>
    <n v="1"/>
    <d v="2025-09-01T00:00:00"/>
    <x v="1"/>
    <s v="BZR07000"/>
    <x v="39"/>
    <s v="National Institute for Health Research"/>
    <n v="1550.54"/>
    <n v="210166254"/>
    <x v="2"/>
    <n v="0"/>
    <n v="1550.54"/>
  </r>
  <r>
    <n v="1"/>
    <d v="2025-09-01T00:00:00"/>
    <x v="1"/>
    <s v="BZR07100"/>
    <x v="49"/>
    <s v="Motor Neurone Disease Association"/>
    <n v="5271.58"/>
    <n v="210166255"/>
    <x v="2"/>
    <n v="0"/>
    <n v="5271.58"/>
  </r>
  <r>
    <n v="1"/>
    <d v="2025-09-01T00:00:00"/>
    <x v="1"/>
    <s v="BZR07110"/>
    <x v="50"/>
    <s v="National Institute for Health Research"/>
    <n v="344196.32"/>
    <n v="210166256"/>
    <x v="2"/>
    <n v="0"/>
    <n v="344196.32"/>
  </r>
  <r>
    <n v="1"/>
    <d v="2025-09-01T00:00:00"/>
    <x v="14"/>
    <s v="CBR00570"/>
    <x v="51"/>
    <s v="Biotechnology &amp; Biological Sciences Research Council"/>
    <n v="26443.55"/>
    <n v="210166257"/>
    <x v="2"/>
    <n v="26443.55"/>
    <n v="0"/>
  </r>
  <r>
    <n v="1"/>
    <d v="2025-09-01T00:00:00"/>
    <x v="14"/>
    <s v="CBR00600"/>
    <x v="52"/>
    <s v="Biotechnology &amp; Biological Sciences Research Council"/>
    <n v="14307.66"/>
    <n v="210166258"/>
    <x v="2"/>
    <n v="0"/>
    <n v="14307.66"/>
  </r>
  <r>
    <n v="1"/>
    <d v="2025-09-01T00:00:00"/>
    <x v="14"/>
    <s v="CBR01050"/>
    <x v="38"/>
    <s v="Biotechnology &amp; Biological Sciences Research Council"/>
    <n v="936.71"/>
    <n v="210166259"/>
    <x v="2"/>
    <n v="0"/>
    <n v="936.71"/>
  </r>
  <r>
    <n v="1"/>
    <d v="2025-09-01T00:00:00"/>
    <x v="28"/>
    <s v="CFR01500"/>
    <x v="53"/>
    <s v="California Institute of Technology"/>
    <n v="20028.52"/>
    <n v="210166260"/>
    <x v="2"/>
    <n v="0"/>
    <n v="20028.52"/>
  </r>
  <r>
    <n v="1"/>
    <d v="2025-09-01T00:00:00"/>
    <x v="29"/>
    <s v="CYR00620"/>
    <x v="52"/>
    <s v="Economic &amp; Social Research Council"/>
    <n v="28900.04"/>
    <n v="210166261"/>
    <x v="2"/>
    <n v="0"/>
    <n v="28900.04"/>
  </r>
  <r>
    <n v="1"/>
    <d v="2025-09-01T00:00:00"/>
    <x v="30"/>
    <s v="CZR01280"/>
    <x v="52"/>
    <s v="Economic &amp; Social Research Council"/>
    <n v="17258.400000000001"/>
    <n v="210166262"/>
    <x v="2"/>
    <n v="0"/>
    <n v="17258.400000000001"/>
  </r>
  <r>
    <n v="1"/>
    <d v="2025-09-01T00:00:00"/>
    <x v="31"/>
    <s v="DCR01310"/>
    <x v="54"/>
    <s v="Natural Environment Research Council"/>
    <n v="30668.12"/>
    <n v="210166263"/>
    <x v="2"/>
    <n v="0"/>
    <n v="30668.12"/>
  </r>
  <r>
    <n v="1"/>
    <d v="2025-09-01T00:00:00"/>
    <x v="4"/>
    <s v="DFR10720"/>
    <x v="44"/>
    <s v="Wellcome Trust"/>
    <n v="4041.25"/>
    <n v="210166264"/>
    <x v="2"/>
    <n v="4041.25"/>
    <n v="0"/>
  </r>
  <r>
    <n v="1"/>
    <d v="2025-09-01T00:00:00"/>
    <x v="4"/>
    <s v="DFR10780"/>
    <x v="18"/>
    <s v="National Institute for Health Research"/>
    <n v="35190.35"/>
    <n v="210166265"/>
    <x v="2"/>
    <n v="0"/>
    <n v="35190.35"/>
  </r>
  <r>
    <n v="1"/>
    <d v="2025-09-01T00:00:00"/>
    <x v="4"/>
    <s v="DFR10900"/>
    <x v="33"/>
    <s v="Natural Environment Research Council"/>
    <n v="57763.81"/>
    <n v="210166266"/>
    <x v="2"/>
    <n v="0"/>
    <n v="57763.81"/>
  </r>
  <r>
    <n v="1"/>
    <d v="2025-09-01T00:00:00"/>
    <x v="4"/>
    <s v="DFR10940"/>
    <x v="55"/>
    <s v="Engineering &amp; Physical Sciences Research Council"/>
    <n v="2827.53"/>
    <n v="210166267"/>
    <x v="2"/>
    <n v="0"/>
    <n v="2827.53"/>
  </r>
  <r>
    <n v="1"/>
    <d v="2025-09-01T00:00:00"/>
    <x v="32"/>
    <s v="DGR02000"/>
    <x v="34"/>
    <s v="Natural Environment Research Council"/>
    <n v="1083.0999999999999"/>
    <n v="210166268"/>
    <x v="2"/>
    <n v="0"/>
    <n v="1083.0999999999999"/>
  </r>
  <r>
    <n v="1"/>
    <d v="2025-09-01T00:00:00"/>
    <x v="33"/>
    <s v="DHR01661"/>
    <x v="56"/>
    <s v="Unilever UK Limited"/>
    <n v="243.7"/>
    <n v="210166269"/>
    <x v="2"/>
    <n v="0"/>
    <n v="243.7"/>
  </r>
  <r>
    <n v="1"/>
    <d v="2025-09-01T00:00:00"/>
    <x v="34"/>
    <s v="DJR02620"/>
    <x v="57"/>
    <s v="Engineering &amp; Physical Sciences Research Council"/>
    <n v="22181.5"/>
    <n v="210166270"/>
    <x v="2"/>
    <n v="0"/>
    <n v="22181.5"/>
  </r>
  <r>
    <n v="1"/>
    <d v="2025-09-01T00:00:00"/>
    <x v="34"/>
    <s v="DJR03190"/>
    <x v="58"/>
    <s v="Engineering &amp; Physical Sciences Research Council"/>
    <n v="57740.97"/>
    <n v="210166271"/>
    <x v="2"/>
    <n v="0"/>
    <n v="57740.97"/>
  </r>
  <r>
    <n v="1"/>
    <d v="2025-09-01T00:00:00"/>
    <x v="35"/>
    <s v="DKR01260"/>
    <x v="59"/>
    <s v="Engineering &amp; Physical Sciences Research Council"/>
    <n v="7947.94"/>
    <n v="210166272"/>
    <x v="2"/>
    <n v="0"/>
    <n v="7947.94"/>
  </r>
  <r>
    <n v="1"/>
    <d v="2025-09-01T00:00:00"/>
    <x v="5"/>
    <s v="DMR02180"/>
    <x v="60"/>
    <s v="Engineering &amp; Physical Sciences Research Council"/>
    <n v="39726.559999999998"/>
    <n v="210166273"/>
    <x v="2"/>
    <n v="0"/>
    <n v="39726.559999999998"/>
  </r>
  <r>
    <n v="1"/>
    <d v="2025-09-01T00:00:00"/>
    <x v="6"/>
    <s v="DNR00793"/>
    <x v="42"/>
    <s v="Engineering &amp; Physical Sciences Research Council"/>
    <n v="41686.050000000003"/>
    <n v="210166274"/>
    <x v="2"/>
    <n v="0"/>
    <n v="41686.050000000003"/>
  </r>
  <r>
    <n v="1"/>
    <d v="2025-09-01T00:00:00"/>
    <x v="6"/>
    <s v="DNR01390"/>
    <x v="58"/>
    <s v="Leverhulme Trust"/>
    <n v="14348.39"/>
    <n v="210166275"/>
    <x v="2"/>
    <n v="0"/>
    <n v="14348.39"/>
  </r>
  <r>
    <n v="1"/>
    <d v="2025-09-01T00:00:00"/>
    <x v="36"/>
    <s v="ETR00030"/>
    <x v="18"/>
    <s v="Arts and Humanities Research Council"/>
    <n v="3638"/>
    <n v="210166276"/>
    <x v="2"/>
    <n v="0"/>
    <n v="3638"/>
  </r>
  <r>
    <n v="1"/>
    <d v="2025-09-01T00:00:00"/>
    <x v="37"/>
    <s v="H4R02330"/>
    <x v="61"/>
    <s v="Oxford University Hospitals NHS Foundation Trust"/>
    <n v="217.75"/>
    <n v="210166277"/>
    <x v="2"/>
    <n v="0"/>
    <n v="217.75"/>
  </r>
  <r>
    <n v="1"/>
    <d v="2025-09-01T00:00:00"/>
    <x v="37"/>
    <s v="H4R03130"/>
    <x v="61"/>
    <s v="National Institute for Health Research"/>
    <n v="18443.3"/>
    <n v="210166278"/>
    <x v="2"/>
    <n v="0"/>
    <n v="18443.3"/>
  </r>
  <r>
    <n v="1"/>
    <d v="2025-09-01T00:00:00"/>
    <x v="38"/>
    <s v="H5R02000"/>
    <x v="57"/>
    <s v="Medical Research Council"/>
    <n v="3477.73"/>
    <n v="210166279"/>
    <x v="2"/>
    <n v="0"/>
    <n v="3477.73"/>
  </r>
  <r>
    <n v="1"/>
    <d v="2025-09-01T00:00:00"/>
    <x v="39"/>
    <s v="H6R00650"/>
    <x v="51"/>
    <s v="National Institute for Health Research"/>
    <n v="348.3"/>
    <n v="210166280"/>
    <x v="2"/>
    <n v="0"/>
    <n v="348.3"/>
  </r>
  <r>
    <n v="1"/>
    <d v="2025-09-01T00:00:00"/>
    <x v="17"/>
    <s v="HBR05430"/>
    <x v="62"/>
    <s v="Oxfordshire Health Service Research Comm"/>
    <n v="8786"/>
    <n v="210166281"/>
    <x v="2"/>
    <n v="0"/>
    <n v="8786"/>
  </r>
  <r>
    <n v="1"/>
    <d v="2025-09-01T00:00:00"/>
    <x v="17"/>
    <s v="HBR05480"/>
    <x v="62"/>
    <s v="Oxfordshire Health Service Research Comm"/>
    <n v="314.06"/>
    <n v="210166282"/>
    <x v="2"/>
    <n v="0"/>
    <n v="314.06"/>
  </r>
  <r>
    <n v="1"/>
    <d v="2025-09-01T00:00:00"/>
    <x v="11"/>
    <s v="HJR02340"/>
    <x v="61"/>
    <s v="National Institute for Health Research"/>
    <n v="127924.6"/>
    <n v="210166283"/>
    <x v="2"/>
    <n v="0"/>
    <n v="127924.6"/>
  </r>
  <r>
    <n v="1"/>
    <d v="2025-09-01T00:00:00"/>
    <x v="11"/>
    <s v="HJR03300"/>
    <x v="51"/>
    <s v="Cancer Research UK"/>
    <n v="33615.019999999997"/>
    <n v="210166284"/>
    <x v="2"/>
    <n v="0"/>
    <n v="33615.019999999997"/>
  </r>
  <r>
    <n v="1"/>
    <d v="2025-09-01T00:00:00"/>
    <x v="40"/>
    <s v="HMR05190"/>
    <x v="63"/>
    <s v="Velux Foundation"/>
    <n v="22098.6"/>
    <n v="210166285"/>
    <x v="2"/>
    <n v="0"/>
    <n v="22098.6"/>
  </r>
  <r>
    <n v="1"/>
    <d v="2025-09-01T00:00:00"/>
    <x v="40"/>
    <s v="HMR05720"/>
    <x v="18"/>
    <s v="Wellcome Trust"/>
    <n v="1066.51"/>
    <n v="210166286"/>
    <x v="2"/>
    <n v="0"/>
    <n v="1066.51"/>
  </r>
  <r>
    <n v="1"/>
    <d v="2025-09-01T00:00:00"/>
    <x v="40"/>
    <s v="HMR06020"/>
    <x v="64"/>
    <s v="Stroke Association"/>
    <n v="28211.62"/>
    <n v="210166287"/>
    <x v="2"/>
    <n v="0"/>
    <n v="28211.62"/>
  </r>
  <r>
    <n v="1"/>
    <d v="2025-09-01T00:00:00"/>
    <x v="41"/>
    <s v="HQR03230"/>
    <x v="18"/>
    <s v="Wellcome Trust"/>
    <n v="61359.53"/>
    <n v="210166288"/>
    <x v="2"/>
    <n v="0"/>
    <n v="61359.53"/>
  </r>
  <r>
    <n v="1"/>
    <d v="2025-09-01T00:00:00"/>
    <x v="42"/>
    <s v="M3R00860"/>
    <x v="51"/>
    <s v="Economic &amp; Social Research Council"/>
    <n v="29491.54"/>
    <n v="210166289"/>
    <x v="2"/>
    <n v="29491.54"/>
    <n v="0"/>
  </r>
  <r>
    <n v="1"/>
    <d v="2025-10-01T00:00:00"/>
    <x v="43"/>
    <s v="AJR01040"/>
    <x v="65"/>
    <s v="Exscientia Ltd"/>
    <n v="71064.5"/>
    <n v="210167009"/>
    <x v="0"/>
    <n v="0"/>
    <n v="71064.5"/>
  </r>
  <r>
    <n v="1"/>
    <d v="2025-10-01T00:00:00"/>
    <x v="44"/>
    <s v="AZR03340"/>
    <x v="66"/>
    <s v="Oxford Science Enterprises"/>
    <n v="187424.25"/>
    <n v="210167010"/>
    <x v="0"/>
    <n v="0"/>
    <n v="187424.25"/>
  </r>
  <r>
    <n v="1"/>
    <d v="2025-10-01T00:00:00"/>
    <x v="45"/>
    <s v="BXR01210"/>
    <x v="67"/>
    <s v="National Institute for Health Research"/>
    <n v="13916.06"/>
    <n v="210167011"/>
    <x v="0"/>
    <n v="0"/>
    <n v="13916.06"/>
  </r>
  <r>
    <n v="1"/>
    <d v="2025-10-01T00:00:00"/>
    <x v="1"/>
    <s v="BZR02800"/>
    <x v="68"/>
    <s v="National Institute for Health Research"/>
    <n v="23124.75"/>
    <n v="210167012"/>
    <x v="0"/>
    <n v="0"/>
    <n v="23124.75"/>
  </r>
  <r>
    <n v="1"/>
    <d v="2025-10-01T00:00:00"/>
    <x v="1"/>
    <s v="BZR03080"/>
    <x v="20"/>
    <s v="National Institute for Health Research"/>
    <n v="186879"/>
    <n v="210167013"/>
    <x v="0"/>
    <n v="0"/>
    <n v="186879"/>
  </r>
  <r>
    <n v="1"/>
    <d v="2025-10-01T00:00:00"/>
    <x v="1"/>
    <s v="BZR04600"/>
    <x v="69"/>
    <s v="National Institute for Health Research"/>
    <n v="1103"/>
    <n v="210167014"/>
    <x v="0"/>
    <n v="0"/>
    <n v="1103"/>
  </r>
  <r>
    <n v="1"/>
    <d v="2025-10-01T00:00:00"/>
    <x v="1"/>
    <s v="BZR06880"/>
    <x v="70"/>
    <s v="National Institute for Health Research"/>
    <n v="22700"/>
    <n v="210167015"/>
    <x v="0"/>
    <n v="0"/>
    <n v="22700"/>
  </r>
  <r>
    <n v="1"/>
    <d v="2025-10-01T00:00:00"/>
    <x v="1"/>
    <s v="BZR07040"/>
    <x v="71"/>
    <s v="National Institute for Health Research"/>
    <n v="15834"/>
    <n v="210167016"/>
    <x v="0"/>
    <n v="0"/>
    <n v="15834"/>
  </r>
  <r>
    <n v="1"/>
    <d v="2025-10-01T00:00:00"/>
    <x v="46"/>
    <s v="CNR00180"/>
    <x v="5"/>
    <s v="National Centre for the Replacement, Refinement and Reduction of Animals in research (NC3RS)"/>
    <n v="22445.47"/>
    <n v="210167017"/>
    <x v="0"/>
    <n v="0"/>
    <n v="22445.47"/>
  </r>
  <r>
    <n v="1"/>
    <d v="2025-10-01T00:00:00"/>
    <x v="3"/>
    <s v="CWR00230"/>
    <x v="12"/>
    <s v="Iuvantium Limited"/>
    <n v="4228.5"/>
    <n v="210167018"/>
    <x v="0"/>
    <n v="0"/>
    <n v="4228.5"/>
  </r>
  <r>
    <n v="1"/>
    <d v="2025-10-01T00:00:00"/>
    <x v="30"/>
    <s v="CZR01230"/>
    <x v="72"/>
    <s v="DSO National Laboratories"/>
    <n v="5481.18"/>
    <n v="210167019"/>
    <x v="0"/>
    <n v="0"/>
    <n v="5481.18"/>
  </r>
  <r>
    <n v="1"/>
    <d v="2025-10-01T00:00:00"/>
    <x v="31"/>
    <s v="DCR01190"/>
    <x v="27"/>
    <s v="Met Office"/>
    <n v="12500"/>
    <n v="210167020"/>
    <x v="0"/>
    <n v="0"/>
    <n v="12500"/>
  </r>
  <r>
    <n v="1"/>
    <d v="2025-10-01T00:00:00"/>
    <x v="4"/>
    <s v="DFR07330"/>
    <x v="73"/>
    <s v="Podium Analytics"/>
    <n v="1330301"/>
    <n v="210167021"/>
    <x v="0"/>
    <n v="0"/>
    <n v="1330301"/>
  </r>
  <r>
    <n v="1"/>
    <d v="2025-10-01T00:00:00"/>
    <x v="4"/>
    <s v="DFR11070"/>
    <x v="74"/>
    <s v="Innovate UK"/>
    <n v="60000"/>
    <n v="210167022"/>
    <x v="0"/>
    <n v="0"/>
    <n v="60000"/>
  </r>
  <r>
    <n v="1"/>
    <d v="2025-10-01T00:00:00"/>
    <x v="33"/>
    <s v="DHR02001"/>
    <x v="75"/>
    <s v="5N Plus Inc"/>
    <n v="10000"/>
    <n v="210167023"/>
    <x v="0"/>
    <n v="0"/>
    <n v="10000"/>
  </r>
  <r>
    <n v="1"/>
    <d v="2025-10-01T00:00:00"/>
    <x v="47"/>
    <s v="DQR00221"/>
    <x v="76"/>
    <s v="Oxford Nanopore Technologies Ltd"/>
    <n v="104166.67"/>
    <n v="210167024"/>
    <x v="0"/>
    <n v="0"/>
    <n v="104166.67"/>
  </r>
  <r>
    <n v="1"/>
    <d v="2025-10-01T00:00:00"/>
    <x v="37"/>
    <s v="H4R02653"/>
    <x v="35"/>
    <s v="Medical Research Council"/>
    <n v="1383500"/>
    <n v="210167025"/>
    <x v="0"/>
    <n v="0"/>
    <n v="1383500"/>
  </r>
  <r>
    <n v="1"/>
    <d v="2025-10-01T00:00:00"/>
    <x v="39"/>
    <s v="H6RPES00"/>
    <x v="77"/>
    <s v="UK Biobank"/>
    <n v="673545"/>
    <n v="210167026"/>
    <x v="0"/>
    <n v="0"/>
    <n v="673545"/>
  </r>
  <r>
    <n v="1"/>
    <d v="2025-10-01T00:00:00"/>
    <x v="10"/>
    <s v="HFR05670"/>
    <x v="78"/>
    <s v="National Institute for Health Research"/>
    <n v="1940.46"/>
    <n v="210167027"/>
    <x v="0"/>
    <n v="0"/>
    <n v="1940.46"/>
  </r>
  <r>
    <n v="1"/>
    <d v="2025-10-01T00:00:00"/>
    <x v="10"/>
    <s v="HFR05950"/>
    <x v="67"/>
    <s v="National Institute for Health Research"/>
    <n v="39300.769999999997"/>
    <n v="210167028"/>
    <x v="0"/>
    <n v="0"/>
    <n v="39300.769999999997"/>
  </r>
  <r>
    <n v="1"/>
    <d v="2025-10-01T00:00:00"/>
    <x v="10"/>
    <s v="HFR06290"/>
    <x v="36"/>
    <s v="National Institute for Health Research"/>
    <n v="612.36"/>
    <n v="210167029"/>
    <x v="0"/>
    <n v="0"/>
    <n v="612.36"/>
  </r>
  <r>
    <n v="1"/>
    <d v="2025-10-01T00:00:00"/>
    <x v="11"/>
    <s v="HJR02470"/>
    <x v="79"/>
    <s v="Santersus AG"/>
    <n v="15867.1"/>
    <n v="210167030"/>
    <x v="0"/>
    <n v="15867.1"/>
    <n v="0"/>
  </r>
  <r>
    <n v="1"/>
    <d v="2025-10-01T00:00:00"/>
    <x v="40"/>
    <s v="HMR06200"/>
    <x v="61"/>
    <s v="Syntara Limited"/>
    <n v="50162.29"/>
    <n v="210167031"/>
    <x v="0"/>
    <n v="0"/>
    <n v="50162.29"/>
  </r>
  <r>
    <n v="1"/>
    <d v="2025-10-01T00:00:00"/>
    <x v="44"/>
    <s v="AZR03110"/>
    <x v="80"/>
    <s v="MiroBio Ltd"/>
    <n v="54285"/>
    <n v="210167779"/>
    <x v="1"/>
    <n v="0"/>
    <n v="54285"/>
  </r>
  <r>
    <n v="1"/>
    <d v="2025-10-01T00:00:00"/>
    <x v="14"/>
    <s v="CBR00760"/>
    <x v="68"/>
    <s v="Bill and Melinda Gates Agricultural Innovations"/>
    <n v="103201.85"/>
    <n v="210167780"/>
    <x v="1"/>
    <n v="0"/>
    <n v="103201.85"/>
  </r>
  <r>
    <n v="1"/>
    <d v="2025-10-01T00:00:00"/>
    <x v="4"/>
    <s v="DFR10980"/>
    <x v="13"/>
    <s v="AWE Plc"/>
    <n v="68744.479999999996"/>
    <n v="210167781"/>
    <x v="1"/>
    <n v="0"/>
    <n v="68744.479999999996"/>
  </r>
  <r>
    <n v="1"/>
    <d v="2025-10-01T00:00:00"/>
    <x v="37"/>
    <s v="H4R03240"/>
    <x v="81"/>
    <s v="Yellowstone Biosciences Limited"/>
    <n v="56964.9"/>
    <n v="210167782"/>
    <x v="1"/>
    <n v="0"/>
    <n v="56964.9"/>
  </r>
  <r>
    <n v="1"/>
    <d v="2025-10-01T00:00:00"/>
    <x v="10"/>
    <s v="HFR06480"/>
    <x v="82"/>
    <s v="K36 Therapeutics, Inc."/>
    <n v="100000"/>
    <n v="210167783"/>
    <x v="1"/>
    <n v="0"/>
    <n v="100000"/>
  </r>
  <r>
    <n v="1"/>
    <d v="2025-10-01T00:00:00"/>
    <x v="48"/>
    <s v="A5R00330"/>
    <x v="68"/>
    <s v="Advanced Research and Invention Agency (ARIA)"/>
    <n v="44284.62"/>
    <n v="210167408"/>
    <x v="2"/>
    <n v="0"/>
    <n v="44284.62"/>
  </r>
  <r>
    <n v="1"/>
    <d v="2025-10-01T00:00:00"/>
    <x v="24"/>
    <s v="AVR02511"/>
    <x v="68"/>
    <s v="Wellcome Trust"/>
    <n v="277.2"/>
    <n v="210167409"/>
    <x v="2"/>
    <n v="0"/>
    <n v="277.2"/>
  </r>
  <r>
    <n v="1"/>
    <d v="2025-10-01T00:00:00"/>
    <x v="24"/>
    <s v="AVR03050"/>
    <x v="41"/>
    <s v="Engineering &amp; Physical Sciences Research Council"/>
    <n v="1757.15"/>
    <n v="210167410"/>
    <x v="2"/>
    <n v="0"/>
    <n v="1757.15"/>
  </r>
  <r>
    <n v="1"/>
    <d v="2025-10-01T00:00:00"/>
    <x v="24"/>
    <s v="AVR03070"/>
    <x v="83"/>
    <s v="Alzheimer's Research UK"/>
    <n v="30431.56"/>
    <n v="210167411"/>
    <x v="2"/>
    <n v="0"/>
    <n v="30431.56"/>
  </r>
  <r>
    <n v="1"/>
    <d v="2025-10-01T00:00:00"/>
    <x v="24"/>
    <s v="AVR03340"/>
    <x v="37"/>
    <s v="Alzheimer's Society"/>
    <n v="25899.97"/>
    <n v="210167412"/>
    <x v="2"/>
    <n v="0"/>
    <n v="25899.97"/>
  </r>
  <r>
    <n v="1"/>
    <d v="2025-10-01T00:00:00"/>
    <x v="24"/>
    <s v="AVR03390"/>
    <x v="84"/>
    <s v="Epilepsy Research UK"/>
    <n v="23943.66"/>
    <n v="210167413"/>
    <x v="2"/>
    <n v="0"/>
    <n v="23943.66"/>
  </r>
  <r>
    <n v="1"/>
    <d v="2025-10-01T00:00:00"/>
    <x v="44"/>
    <s v="AZR01170"/>
    <x v="85"/>
    <s v="Versus Arthritis"/>
    <n v="5841.88"/>
    <n v="210167414"/>
    <x v="2"/>
    <n v="0"/>
    <n v="5841.88"/>
  </r>
  <r>
    <n v="1"/>
    <d v="2025-10-01T00:00:00"/>
    <x v="44"/>
    <s v="AZR03380"/>
    <x v="33"/>
    <s v="Versus Arthritis"/>
    <n v="44069.36"/>
    <n v="210167415"/>
    <x v="2"/>
    <n v="0"/>
    <n v="44069.36"/>
  </r>
  <r>
    <n v="1"/>
    <d v="2025-10-01T00:00:00"/>
    <x v="49"/>
    <s v="B9R05500"/>
    <x v="86"/>
    <s v="Gates Foundation"/>
    <n v="34746.82"/>
    <n v="210167416"/>
    <x v="2"/>
    <n v="0"/>
    <n v="34746.82"/>
  </r>
  <r>
    <n v="1"/>
    <d v="2025-10-01T00:00:00"/>
    <x v="49"/>
    <s v="B9R05660"/>
    <x v="87"/>
    <s v="Wellcome Trust"/>
    <n v="4230.3999999999996"/>
    <n v="210167417"/>
    <x v="2"/>
    <n v="0"/>
    <n v="4230.3999999999996"/>
  </r>
  <r>
    <n v="1"/>
    <d v="2025-10-01T00:00:00"/>
    <x v="49"/>
    <s v="B9R06270"/>
    <x v="88"/>
    <s v="Wellcome Trust"/>
    <n v="31782.63"/>
    <n v="210167418"/>
    <x v="2"/>
    <n v="0"/>
    <n v="31782.63"/>
  </r>
  <r>
    <n v="1"/>
    <d v="2025-10-01T00:00:00"/>
    <x v="50"/>
    <s v="BVR02580"/>
    <x v="59"/>
    <s v="Biotechnology &amp; Biological Sciences Research Council"/>
    <n v="52383.99"/>
    <n v="210167419"/>
    <x v="2"/>
    <n v="0"/>
    <n v="52383.99"/>
  </r>
  <r>
    <n v="1"/>
    <d v="2025-10-01T00:00:00"/>
    <x v="45"/>
    <s v="BXR01640"/>
    <x v="89"/>
    <s v="National Institute for Health Research"/>
    <n v="3242.95"/>
    <n v="210167420"/>
    <x v="2"/>
    <n v="0"/>
    <n v="3242.95"/>
  </r>
  <r>
    <n v="1"/>
    <d v="2025-10-01T00:00:00"/>
    <x v="1"/>
    <s v="BZR04700"/>
    <x v="57"/>
    <s v="National Institute for Health Research"/>
    <n v="1515.2"/>
    <n v="210167421"/>
    <x v="2"/>
    <n v="0"/>
    <n v="1515.2"/>
  </r>
  <r>
    <n v="1"/>
    <d v="2025-10-01T00:00:00"/>
    <x v="1"/>
    <s v="BZR05870"/>
    <x v="36"/>
    <s v="National Institute for Health Research"/>
    <n v="30903.42"/>
    <n v="210167422"/>
    <x v="2"/>
    <n v="30903.42"/>
    <n v="0"/>
  </r>
  <r>
    <n v="1"/>
    <d v="2025-10-01T00:00:00"/>
    <x v="1"/>
    <s v="BZR06240"/>
    <x v="43"/>
    <s v="National Institute for Health Research"/>
    <n v="12017.23"/>
    <n v="210167423"/>
    <x v="2"/>
    <n v="0"/>
    <n v="12017.23"/>
  </r>
  <r>
    <n v="1"/>
    <d v="2025-10-01T00:00:00"/>
    <x v="1"/>
    <s v="BZR06670"/>
    <x v="90"/>
    <s v="National Institute for Health Research"/>
    <n v="2770.72"/>
    <n v="210167424"/>
    <x v="2"/>
    <n v="0"/>
    <n v="2770.72"/>
  </r>
  <r>
    <n v="1"/>
    <d v="2025-10-01T00:00:00"/>
    <x v="1"/>
    <s v="BZR06750"/>
    <x v="39"/>
    <s v="National Institute for Health Research"/>
    <n v="3308.5"/>
    <n v="210167426"/>
    <x v="2"/>
    <n v="0"/>
    <n v="3308.5"/>
  </r>
  <r>
    <n v="1"/>
    <d v="2025-10-01T00:00:00"/>
    <x v="1"/>
    <s v="BZR06810"/>
    <x v="91"/>
    <s v="National Institute for Health Research"/>
    <n v="139581.38"/>
    <n v="210167427"/>
    <x v="2"/>
    <n v="0"/>
    <n v="139581.38"/>
  </r>
  <r>
    <n v="1"/>
    <d v="2025-10-01T00:00:00"/>
    <x v="1"/>
    <s v="BZR06960"/>
    <x v="92"/>
    <s v="National Institute for Health Research"/>
    <n v="29407.25"/>
    <n v="210167428"/>
    <x v="2"/>
    <n v="0"/>
    <n v="29407.25"/>
  </r>
  <r>
    <n v="1"/>
    <d v="2025-10-01T00:00:00"/>
    <x v="1"/>
    <s v="BZR07110"/>
    <x v="50"/>
    <s v="National Institute for Health Research"/>
    <n v="112160.05"/>
    <n v="210167429"/>
    <x v="2"/>
    <n v="0"/>
    <n v="112160.05"/>
  </r>
  <r>
    <n v="1"/>
    <d v="2025-10-01T00:00:00"/>
    <x v="51"/>
    <s v="CSR00580"/>
    <x v="93"/>
    <s v="Health Data Research UK"/>
    <n v="26790.46"/>
    <n v="210167430"/>
    <x v="2"/>
    <n v="0"/>
    <n v="26790.46"/>
  </r>
  <r>
    <n v="1"/>
    <d v="2025-10-01T00:00:00"/>
    <x v="15"/>
    <s v="CVR01220"/>
    <x v="18"/>
    <s v="Economic &amp; Social Research Council"/>
    <n v="6403.75"/>
    <n v="210167431"/>
    <x v="2"/>
    <n v="0"/>
    <n v="6403.75"/>
  </r>
  <r>
    <n v="1"/>
    <d v="2025-10-01T00:00:00"/>
    <x v="29"/>
    <s v="CYR00610"/>
    <x v="94"/>
    <s v="Economic &amp; Social Research Council"/>
    <n v="30319.279999999999"/>
    <n v="210167432"/>
    <x v="2"/>
    <n v="0"/>
    <n v="30319.279999999999"/>
  </r>
  <r>
    <n v="1"/>
    <d v="2025-10-01T00:00:00"/>
    <x v="52"/>
    <s v="DBR01160"/>
    <x v="95"/>
    <s v="Royal Astronomical Society"/>
    <n v="8909.31"/>
    <n v="210167433"/>
    <x v="2"/>
    <n v="0"/>
    <n v="8909.31"/>
  </r>
  <r>
    <n v="1"/>
    <d v="2025-10-01T00:00:00"/>
    <x v="52"/>
    <s v="DBR01290"/>
    <x v="96"/>
    <s v="Science and Technology Facilities Council"/>
    <n v="15199.28"/>
    <n v="210167434"/>
    <x v="2"/>
    <n v="0"/>
    <n v="15199.28"/>
  </r>
  <r>
    <n v="1"/>
    <d v="2025-10-01T00:00:00"/>
    <x v="4"/>
    <s v="DFR09150"/>
    <x v="18"/>
    <s v="Engineering &amp; Physical Sciences Research Council"/>
    <n v="105220.41"/>
    <n v="210167435"/>
    <x v="2"/>
    <n v="0"/>
    <n v="105220.41"/>
  </r>
  <r>
    <n v="1"/>
    <d v="2025-10-01T00:00:00"/>
    <x v="4"/>
    <s v="DFR09490"/>
    <x v="46"/>
    <s v="Engineering &amp; Physical Sciences Research Council"/>
    <n v="151211.17000000001"/>
    <n v="210167436"/>
    <x v="2"/>
    <n v="0"/>
    <n v="151211.17000000001"/>
  </r>
  <r>
    <n v="1"/>
    <d v="2025-10-01T00:00:00"/>
    <x v="4"/>
    <s v="DFR09930"/>
    <x v="97"/>
    <s v="Engineering &amp; Physical Sciences Research Council"/>
    <n v="3886.83"/>
    <n v="210167437"/>
    <x v="2"/>
    <n v="0"/>
    <n v="3886.83"/>
  </r>
  <r>
    <n v="1"/>
    <d v="2025-10-01T00:00:00"/>
    <x v="4"/>
    <s v="DFR10560"/>
    <x v="36"/>
    <s v="Engineering &amp; Physical Sciences Research Council"/>
    <n v="3741.77"/>
    <n v="210167438"/>
    <x v="2"/>
    <n v="0"/>
    <n v="3741.77"/>
  </r>
  <r>
    <n v="1"/>
    <d v="2025-10-01T00:00:00"/>
    <x v="4"/>
    <s v="DFR10900"/>
    <x v="33"/>
    <s v="Natural Environment Research Council"/>
    <n v="40298.43"/>
    <n v="210167439"/>
    <x v="2"/>
    <n v="0"/>
    <n v="40298.43"/>
  </r>
  <r>
    <n v="1"/>
    <d v="2025-10-01T00:00:00"/>
    <x v="33"/>
    <s v="DHR01660"/>
    <x v="56"/>
    <s v="Engineering &amp; Physical Sciences Research Council"/>
    <n v="40444.129999999997"/>
    <n v="210167440"/>
    <x v="2"/>
    <n v="40444.129999999997"/>
    <n v="0"/>
  </r>
  <r>
    <n v="1"/>
    <d v="2025-10-01T00:00:00"/>
    <x v="34"/>
    <s v="DJR01961"/>
    <x v="98"/>
    <s v="Government of Japan"/>
    <n v="56030.8"/>
    <n v="210167441"/>
    <x v="2"/>
    <n v="0"/>
    <n v="56030.8"/>
  </r>
  <r>
    <n v="1"/>
    <d v="2025-10-01T00:00:00"/>
    <x v="53"/>
    <s v="DRR00900"/>
    <x v="99"/>
    <s v="UK Atomic Energy Authority"/>
    <n v="24704.25"/>
    <n v="210167442"/>
    <x v="2"/>
    <n v="0"/>
    <n v="24704.25"/>
  </r>
  <r>
    <n v="1"/>
    <d v="2025-10-01T00:00:00"/>
    <x v="54"/>
    <s v="DUR01430"/>
    <x v="100"/>
    <s v="Engineering &amp; Physical Sciences Research Council"/>
    <n v="31063.91"/>
    <n v="210167443"/>
    <x v="2"/>
    <n v="0"/>
    <n v="31063.91"/>
  </r>
  <r>
    <n v="1"/>
    <d v="2025-10-01T00:00:00"/>
    <x v="37"/>
    <s v="H4R02630"/>
    <x v="101"/>
    <s v="National Institutes of Health USA"/>
    <n v="3526.86"/>
    <n v="210167444"/>
    <x v="2"/>
    <n v="3526.86"/>
    <n v="0"/>
  </r>
  <r>
    <n v="1"/>
    <d v="2025-10-01T00:00:00"/>
    <x v="39"/>
    <s v="H6R00990"/>
    <x v="102"/>
    <s v="Asthma and Lung UK"/>
    <n v="13534.61"/>
    <n v="210167445"/>
    <x v="2"/>
    <n v="0"/>
    <n v="13534.61"/>
  </r>
  <r>
    <n v="1"/>
    <d v="2025-10-01T00:00:00"/>
    <x v="17"/>
    <s v="HBR04930"/>
    <x v="103"/>
    <s v="Coeliac Uk"/>
    <n v="26053.01"/>
    <n v="210167446"/>
    <x v="2"/>
    <n v="0"/>
    <n v="26053.01"/>
  </r>
  <r>
    <n v="1"/>
    <d v="2025-10-01T00:00:00"/>
    <x v="17"/>
    <s v="HBR05340"/>
    <x v="103"/>
    <s v="Coeliac Uk"/>
    <n v="16546.82"/>
    <n v="210167447"/>
    <x v="2"/>
    <n v="0"/>
    <n v="16546.82"/>
  </r>
  <r>
    <n v="1"/>
    <d v="2025-10-01T00:00:00"/>
    <x v="10"/>
    <s v="HFR06040"/>
    <x v="33"/>
    <s v="National Institute for Health Research"/>
    <n v="427.71"/>
    <n v="210167448"/>
    <x v="2"/>
    <n v="0"/>
    <n v="427.71"/>
  </r>
  <r>
    <n v="1"/>
    <d v="2025-10-01T00:00:00"/>
    <x v="10"/>
    <s v="HFR06220"/>
    <x v="104"/>
    <s v="National Institute for Health Research"/>
    <n v="160341.43"/>
    <n v="210167449"/>
    <x v="2"/>
    <n v="0"/>
    <n v="160341.43"/>
  </r>
  <r>
    <n v="1"/>
    <d v="2025-10-01T00:00:00"/>
    <x v="10"/>
    <s v="HFR06710"/>
    <x v="46"/>
    <s v="National Institute for Health Research"/>
    <n v="978.72"/>
    <n v="210167450"/>
    <x v="2"/>
    <n v="0"/>
    <n v="978.72"/>
  </r>
  <r>
    <n v="1"/>
    <d v="2025-10-01T00:00:00"/>
    <x v="10"/>
    <s v="HFR06850"/>
    <x v="54"/>
    <s v="Engineering &amp; Physical Sciences Research Council"/>
    <n v="2826.57"/>
    <n v="210167451"/>
    <x v="2"/>
    <n v="0"/>
    <n v="2826.57"/>
  </r>
  <r>
    <n v="1"/>
    <d v="2025-10-01T00:00:00"/>
    <x v="11"/>
    <s v="HJR02050"/>
    <x v="88"/>
    <s v="National Institute for Health Research"/>
    <n v="50143.07"/>
    <n v="210167452"/>
    <x v="2"/>
    <n v="0"/>
    <n v="50143.07"/>
  </r>
  <r>
    <n v="1"/>
    <d v="2025-10-01T00:00:00"/>
    <x v="11"/>
    <s v="HJR02910"/>
    <x v="105"/>
    <s v="National Institute for Health Research"/>
    <n v="4596.5600000000004"/>
    <n v="210167453"/>
    <x v="2"/>
    <n v="0"/>
    <n v="4596.5600000000004"/>
  </r>
  <r>
    <n v="1"/>
    <d v="2025-10-01T00:00:00"/>
    <x v="40"/>
    <s v="HMR03640"/>
    <x v="56"/>
    <s v="National Institute for Health Research"/>
    <n v="370.89"/>
    <n v="210167454"/>
    <x v="2"/>
    <n v="0"/>
    <n v="370.89"/>
  </r>
  <r>
    <n v="1"/>
    <d v="2025-10-01T00:00:00"/>
    <x v="40"/>
    <s v="HMR04070"/>
    <x v="64"/>
    <s v="Stroke Association"/>
    <n v="13473.78"/>
    <n v="210167455"/>
    <x v="2"/>
    <n v="0"/>
    <n v="13473.78"/>
  </r>
  <r>
    <n v="1"/>
    <d v="2025-10-01T00:00:00"/>
    <x v="40"/>
    <s v="HMR05760"/>
    <x v="106"/>
    <s v="Daphne Jackson Memorial Fellowship Trust"/>
    <n v="16484.580000000002"/>
    <n v="210167456"/>
    <x v="2"/>
    <n v="0"/>
    <n v="16484.580000000002"/>
  </r>
  <r>
    <n v="1"/>
    <d v="2025-10-01T00:00:00"/>
    <x v="40"/>
    <s v="HMR05770"/>
    <x v="100"/>
    <s v="Chief Scientist Office"/>
    <n v="1915.48"/>
    <n v="210167457"/>
    <x v="2"/>
    <n v="0"/>
    <n v="1915.48"/>
  </r>
  <r>
    <n v="1"/>
    <d v="2025-10-01T00:00:00"/>
    <x v="40"/>
    <s v="HMR06250"/>
    <x v="107"/>
    <s v="Wellcome Trust"/>
    <n v="5892.58"/>
    <n v="210167458"/>
    <x v="2"/>
    <n v="0"/>
    <n v="5892.58"/>
  </r>
  <r>
    <n v="1"/>
    <d v="2025-10-01T00:00:00"/>
    <x v="41"/>
    <s v="HQR02620"/>
    <x v="57"/>
    <s v="Medical Research Council"/>
    <n v="7150.21"/>
    <n v="210167459"/>
    <x v="2"/>
    <n v="0"/>
    <n v="7150.21"/>
  </r>
  <r>
    <n v="1"/>
    <d v="2025-10-01T00:00:00"/>
    <x v="41"/>
    <s v="HQR02680"/>
    <x v="108"/>
    <s v="Guarantors of Brain"/>
    <n v="14538.88"/>
    <n v="210167460"/>
    <x v="2"/>
    <n v="0"/>
    <n v="14538.88"/>
  </r>
  <r>
    <n v="1"/>
    <d v="2025-10-01T00:00:00"/>
    <x v="41"/>
    <s v="HQR03450"/>
    <x v="68"/>
    <s v="Medical Research Council"/>
    <n v="34300.11"/>
    <n v="210167461"/>
    <x v="2"/>
    <n v="0"/>
    <n v="34300.11"/>
  </r>
  <r>
    <n v="1"/>
    <d v="2025-10-01T00:00:00"/>
    <x v="41"/>
    <s v="HQR03690"/>
    <x v="109"/>
    <s v="Health Data Research UK"/>
    <n v="24987.63"/>
    <n v="210167462"/>
    <x v="2"/>
    <n v="0"/>
    <n v="24987.63"/>
  </r>
  <r>
    <n v="1"/>
    <d v="2025-10-01T00:00:00"/>
    <x v="55"/>
    <s v="PSR00190"/>
    <x v="18"/>
    <s v="Engineering &amp; Physical Sciences Research Council"/>
    <n v="193350.2"/>
    <n v="210167463"/>
    <x v="2"/>
    <n v="0"/>
    <n v="193350.2"/>
  </r>
  <r>
    <n v="1"/>
    <d v="2025-10-01T00:00:00"/>
    <x v="55"/>
    <s v="PSR00400"/>
    <x v="110"/>
    <s v="Gates Foundation"/>
    <n v="45419.71"/>
    <n v="210167464"/>
    <x v="2"/>
    <n v="0"/>
    <n v="45419.71"/>
  </r>
  <r>
    <n v="1"/>
    <d v="2025-11-01T00:00:00"/>
    <x v="56"/>
    <s v="A3R00150"/>
    <x v="1"/>
    <s v="Fund for Cures UK Ltd"/>
    <n v="139750"/>
    <n v="210168748"/>
    <x v="0"/>
    <n v="0"/>
    <n v="139750"/>
  </r>
  <r>
    <n v="1"/>
    <d v="2025-11-01T00:00:00"/>
    <x v="43"/>
    <s v="AJR01240"/>
    <x v="2"/>
    <s v="Paradifference Foundation"/>
    <n v="89218.22"/>
    <n v="210168749"/>
    <x v="0"/>
    <n v="0"/>
    <n v="89218.22"/>
  </r>
  <r>
    <n v="1"/>
    <d v="2025-11-01T00:00:00"/>
    <x v="57"/>
    <s v="AMR00370"/>
    <x v="111"/>
    <s v="Novo Nordisk A/S"/>
    <n v="231464.04"/>
    <n v="210168750"/>
    <x v="0"/>
    <n v="0"/>
    <n v="231464.04"/>
  </r>
  <r>
    <n v="1"/>
    <d v="2025-11-01T00:00:00"/>
    <x v="44"/>
    <s v="AZR02860"/>
    <x v="112"/>
    <s v="Regeneron Pharmaceuticals Inc"/>
    <n v="106197.3"/>
    <n v="210168751"/>
    <x v="0"/>
    <n v="0"/>
    <n v="106197.3"/>
  </r>
  <r>
    <n v="1"/>
    <d v="2025-11-01T00:00:00"/>
    <x v="13"/>
    <s v="BLR03960"/>
    <x v="113"/>
    <s v="Pfizer Inc"/>
    <n v="370370.37"/>
    <n v="210168752"/>
    <x v="0"/>
    <n v="0"/>
    <n v="370370.37"/>
  </r>
  <r>
    <n v="1"/>
    <d v="2025-11-01T00:00:00"/>
    <x v="4"/>
    <s v="DFR05670"/>
    <x v="6"/>
    <s v="Man Investments Ltd"/>
    <n v="305000"/>
    <n v="210168753"/>
    <x v="0"/>
    <n v="0"/>
    <n v="305000"/>
  </r>
  <r>
    <n v="1"/>
    <d v="2025-11-01T00:00:00"/>
    <x v="33"/>
    <s v="DHR01930"/>
    <x v="114"/>
    <s v="SCG Chemicals Public Company Limited"/>
    <n v="22871"/>
    <n v="210168754"/>
    <x v="0"/>
    <n v="0"/>
    <n v="22871"/>
  </r>
  <r>
    <n v="1"/>
    <d v="2025-11-01T00:00:00"/>
    <x v="35"/>
    <s v="DKR00940"/>
    <x v="115"/>
    <s v="ShanghaiTech University"/>
    <n v="500000"/>
    <n v="210168755"/>
    <x v="0"/>
    <n v="0"/>
    <n v="500000"/>
  </r>
  <r>
    <n v="1"/>
    <d v="2025-11-01T00:00:00"/>
    <x v="54"/>
    <s v="DUR01500"/>
    <x v="13"/>
    <s v="AWE Plc"/>
    <n v="41759.9"/>
    <n v="210168756"/>
    <x v="0"/>
    <n v="0"/>
    <n v="41759.9"/>
  </r>
  <r>
    <n v="1"/>
    <d v="2025-11-01T00:00:00"/>
    <x v="18"/>
    <s v="HSR02230"/>
    <x v="8"/>
    <s v="Diabetes UK"/>
    <n v="49255.09"/>
    <n v="210168757"/>
    <x v="0"/>
    <n v="0"/>
    <n v="49255.09"/>
  </r>
  <r>
    <n v="1"/>
    <d v="2025-11-01T00:00:00"/>
    <x v="19"/>
    <s v="A4R00050"/>
    <x v="32"/>
    <s v="Biotechnology &amp; Biological Sciences Research Council"/>
    <n v="1807.16"/>
    <n v="210168824"/>
    <x v="2"/>
    <n v="0"/>
    <n v="1807.16"/>
  </r>
  <r>
    <n v="1"/>
    <d v="2025-11-01T00:00:00"/>
    <x v="20"/>
    <s v="AER01590"/>
    <x v="18"/>
    <s v="Economic &amp; Social Research Council"/>
    <n v="8792.82"/>
    <n v="210168825"/>
    <x v="2"/>
    <n v="0"/>
    <n v="8792.82"/>
  </r>
  <r>
    <n v="1"/>
    <d v="2025-11-01T00:00:00"/>
    <x v="21"/>
    <s v="AFR01540"/>
    <x v="33"/>
    <s v="Engineering &amp; Physical Sciences Research Council"/>
    <n v="20827.82"/>
    <n v="210168826"/>
    <x v="2"/>
    <n v="0"/>
    <n v="20827.82"/>
  </r>
  <r>
    <n v="1"/>
    <d v="2025-11-01T00:00:00"/>
    <x v="22"/>
    <s v="ALR02900"/>
    <x v="35"/>
    <s v="Medical Research Council"/>
    <n v="157471.98000000001"/>
    <n v="210168827"/>
    <x v="2"/>
    <n v="0"/>
    <n v="157471.98000000001"/>
  </r>
  <r>
    <n v="1"/>
    <d v="2025-11-01T00:00:00"/>
    <x v="25"/>
    <s v="BAR00850"/>
    <x v="39"/>
    <s v="Economic &amp; Social Research Council"/>
    <n v="1897.4"/>
    <n v="210168828"/>
    <x v="2"/>
    <n v="0"/>
    <n v="1897.4"/>
  </r>
  <r>
    <n v="1"/>
    <d v="2025-11-01T00:00:00"/>
    <x v="1"/>
    <s v="BZR02990"/>
    <x v="69"/>
    <s v="National Institute for Health Research"/>
    <n v="970.46"/>
    <n v="210168829"/>
    <x v="2"/>
    <n v="0"/>
    <n v="970.46"/>
  </r>
  <r>
    <n v="1"/>
    <d v="2025-11-01T00:00:00"/>
    <x v="1"/>
    <s v="BZR06190"/>
    <x v="45"/>
    <s v="National Institute for Health Research"/>
    <n v="10583.2"/>
    <n v="210168830"/>
    <x v="2"/>
    <n v="0"/>
    <n v="10583.2"/>
  </r>
  <r>
    <n v="1"/>
    <d v="2025-11-01T00:00:00"/>
    <x v="1"/>
    <s v="BZR06450"/>
    <x v="116"/>
    <s v="Pfizer Inc"/>
    <n v="7194.28"/>
    <n v="210168831"/>
    <x v="2"/>
    <n v="0"/>
    <n v="7194.28"/>
  </r>
  <r>
    <n v="1"/>
    <d v="2025-11-01T00:00:00"/>
    <x v="1"/>
    <s v="BZR06480"/>
    <x v="117"/>
    <s v="National Institute for Health Research"/>
    <n v="5075.74"/>
    <n v="210168832"/>
    <x v="2"/>
    <n v="0"/>
    <n v="5075.74"/>
  </r>
  <r>
    <n v="1"/>
    <d v="2025-11-01T00:00:00"/>
    <x v="1"/>
    <s v="BZR06940"/>
    <x v="48"/>
    <s v="National Institute for Health Research"/>
    <n v="2865.97"/>
    <n v="210168833"/>
    <x v="2"/>
    <n v="0"/>
    <n v="2865.97"/>
  </r>
  <r>
    <n v="1"/>
    <d v="2025-11-01T00:00:00"/>
    <x v="1"/>
    <s v="BZR07100"/>
    <x v="49"/>
    <s v="Motor Neurone Disease Association"/>
    <n v="3783.39"/>
    <n v="210168834"/>
    <x v="2"/>
    <n v="0"/>
    <n v="3783.39"/>
  </r>
  <r>
    <n v="1"/>
    <d v="2025-11-01T00:00:00"/>
    <x v="1"/>
    <s v="BZR07180"/>
    <x v="118"/>
    <s v="National Institute for Health Research"/>
    <n v="3060.8"/>
    <n v="210168835"/>
    <x v="2"/>
    <n v="0"/>
    <n v="3060.8"/>
  </r>
  <r>
    <n v="1"/>
    <d v="2025-11-01T00:00:00"/>
    <x v="14"/>
    <s v="CBR00570"/>
    <x v="51"/>
    <s v="Biotechnology &amp; Biological Sciences Research Council"/>
    <n v="33031.93"/>
    <n v="210168836"/>
    <x v="2"/>
    <n v="33031.93"/>
    <n v="0"/>
  </r>
  <r>
    <n v="1"/>
    <d v="2025-11-01T00:00:00"/>
    <x v="28"/>
    <s v="CFR01500"/>
    <x v="53"/>
    <s v="California Institute of Technology"/>
    <n v="16792.849999999999"/>
    <n v="210168837"/>
    <x v="2"/>
    <n v="0"/>
    <n v="16792.849999999999"/>
  </r>
  <r>
    <n v="1"/>
    <d v="2025-11-01T00:00:00"/>
    <x v="30"/>
    <s v="CZR01280"/>
    <x v="52"/>
    <s v="Economic &amp; Social Research Council"/>
    <n v="17727.259999999998"/>
    <n v="210168838"/>
    <x v="2"/>
    <n v="0"/>
    <n v="17727.259999999998"/>
  </r>
  <r>
    <n v="1"/>
    <d v="2025-11-01T00:00:00"/>
    <x v="4"/>
    <s v="DFR10780"/>
    <x v="18"/>
    <s v="National Institute for Health Research"/>
    <n v="32994.61"/>
    <n v="210168839"/>
    <x v="2"/>
    <n v="0"/>
    <n v="32994.61"/>
  </r>
  <r>
    <n v="1"/>
    <d v="2025-11-01T00:00:00"/>
    <x v="34"/>
    <s v="DJR01860"/>
    <x v="43"/>
    <s v="Engineering &amp; Physical Sciences Research Council"/>
    <n v="20430.28"/>
    <n v="210168840"/>
    <x v="2"/>
    <n v="0"/>
    <n v="20430.28"/>
  </r>
  <r>
    <n v="1"/>
    <d v="2025-11-01T00:00:00"/>
    <x v="34"/>
    <s v="DJR02770"/>
    <x v="51"/>
    <s v="Engineering &amp; Physical Sciences Research Council"/>
    <n v="66766.820000000007"/>
    <n v="210168841"/>
    <x v="2"/>
    <n v="66766.820000000007"/>
    <n v="0"/>
  </r>
  <r>
    <n v="1"/>
    <d v="2025-11-01T00:00:00"/>
    <x v="35"/>
    <s v="DKR01260"/>
    <x v="59"/>
    <s v="Engineering &amp; Physical Sciences Research Council"/>
    <n v="1462.69"/>
    <n v="210168842"/>
    <x v="2"/>
    <n v="0"/>
    <n v="1462.69"/>
  </r>
  <r>
    <n v="1"/>
    <d v="2025-11-01T00:00:00"/>
    <x v="5"/>
    <s v="DMR02180"/>
    <x v="60"/>
    <s v="Engineering &amp; Physical Sciences Research Council"/>
    <n v="22292.55"/>
    <n v="210168843"/>
    <x v="2"/>
    <n v="0"/>
    <n v="22292.55"/>
  </r>
  <r>
    <n v="1"/>
    <d v="2025-11-01T00:00:00"/>
    <x v="6"/>
    <s v="DNR00793"/>
    <x v="42"/>
    <s v="Engineering &amp; Physical Sciences Research Council"/>
    <n v="37339.54"/>
    <n v="210168844"/>
    <x v="2"/>
    <n v="0"/>
    <n v="37339.54"/>
  </r>
  <r>
    <n v="1"/>
    <d v="2025-11-01T00:00:00"/>
    <x v="36"/>
    <s v="ETR00030"/>
    <x v="18"/>
    <s v="Arts and Humanities Research Council"/>
    <n v="3638"/>
    <n v="210168845"/>
    <x v="2"/>
    <n v="0"/>
    <n v="3638"/>
  </r>
  <r>
    <n v="1"/>
    <d v="2025-11-01T00:00:00"/>
    <x v="38"/>
    <s v="H5R02000"/>
    <x v="57"/>
    <s v="Medical Research Council"/>
    <n v="3544.39"/>
    <n v="210168846"/>
    <x v="2"/>
    <n v="0"/>
    <n v="3544.39"/>
  </r>
  <r>
    <n v="1"/>
    <d v="2025-11-01T00:00:00"/>
    <x v="17"/>
    <s v="HBR04970"/>
    <x v="62"/>
    <s v="Oxfordshire Health Service Research Comm"/>
    <n v="9734"/>
    <n v="210168847"/>
    <x v="2"/>
    <n v="0"/>
    <n v="9734"/>
  </r>
  <r>
    <n v="1"/>
    <d v="2025-11-01T00:00:00"/>
    <x v="58"/>
    <s v="HER01450"/>
    <x v="119"/>
    <s v="Chan Zuckerberg Initiative"/>
    <n v="21960.11"/>
    <n v="210168848"/>
    <x v="2"/>
    <n v="0"/>
    <n v="21960.11"/>
  </r>
  <r>
    <n v="1"/>
    <d v="2025-11-01T00:00:00"/>
    <x v="40"/>
    <s v="HMR04740"/>
    <x v="120"/>
    <s v="Motor Neurone Disease Association"/>
    <n v="9305.36"/>
    <n v="210168849"/>
    <x v="2"/>
    <n v="0"/>
    <n v="9305.36"/>
  </r>
  <r>
    <n v="1"/>
    <d v="2025-11-01T00:00:00"/>
    <x v="40"/>
    <s v="HMR06290"/>
    <x v="121"/>
    <s v="Bone Cancer Research Trust"/>
    <n v="6805.8"/>
    <n v="210168850"/>
    <x v="2"/>
    <n v="0"/>
    <n v="6805.8"/>
  </r>
  <r>
    <n v="1"/>
    <d v="2025-11-01T00:00:00"/>
    <x v="40"/>
    <s v="HMR06450"/>
    <x v="44"/>
    <s v="Medical Research Council"/>
    <n v="2638"/>
    <n v="210168851"/>
    <x v="2"/>
    <n v="0"/>
    <n v="2638"/>
  </r>
  <r>
    <n v="1"/>
    <d v="2025-11-01T00:00:00"/>
    <x v="40"/>
    <s v="HMR06480"/>
    <x v="122"/>
    <s v="Wellcome Trust"/>
    <n v="16745.28"/>
    <n v="210168852"/>
    <x v="2"/>
    <n v="16745.28"/>
    <n v="0"/>
  </r>
  <r>
    <n v="1"/>
    <d v="2025-11-01T00:00:00"/>
    <x v="41"/>
    <s v="HQR03230"/>
    <x v="18"/>
    <s v="Wellcome Trust"/>
    <n v="48127.11"/>
    <n v="210168853"/>
    <x v="2"/>
    <n v="48127.11"/>
    <n v="0"/>
  </r>
  <r>
    <n v="1"/>
    <d v="2025-11-01T00:00:00"/>
    <x v="42"/>
    <s v="M3R00860"/>
    <x v="51"/>
    <s v="Economic &amp; Social Research Council"/>
    <n v="29491.56"/>
    <n v="210168854"/>
    <x v="2"/>
    <n v="29491.56"/>
    <n v="0"/>
  </r>
  <r>
    <n v="1"/>
    <d v="2025-11-01T00:00:00"/>
    <x v="42"/>
    <s v="M3R00870"/>
    <x v="123"/>
    <s v="Volkswagen-Stiftung"/>
    <n v="2497.3000000000002"/>
    <n v="210168855"/>
    <x v="2"/>
    <n v="0"/>
    <n v="2497.3000000000002"/>
  </r>
  <r>
    <n v="1"/>
    <d v="2025-12-01T00:00:00"/>
    <x v="10"/>
    <s v="HFR06650"/>
    <x v="20"/>
    <m/>
    <n v="6794"/>
    <n v="1210169837"/>
    <x v="0"/>
    <n v="0"/>
    <n v="6794"/>
  </r>
  <r>
    <n v="1"/>
    <d v="2025-12-01T00:00:00"/>
    <x v="59"/>
    <s v="BBR00270"/>
    <x v="94"/>
    <m/>
    <n v="125000"/>
    <n v="210169832"/>
    <x v="0"/>
    <n v="0"/>
    <n v="125000"/>
  </r>
  <r>
    <n v="1"/>
    <d v="2025-12-01T00:00:00"/>
    <x v="1"/>
    <s v="BZR06920"/>
    <x v="4"/>
    <m/>
    <n v="2066.1799999999998"/>
    <n v="210169833"/>
    <x v="0"/>
    <n v="2066.1799999999998"/>
    <n v="0"/>
  </r>
  <r>
    <n v="1"/>
    <d v="2025-12-01T00:00:00"/>
    <x v="8"/>
    <s v="H7R01210"/>
    <x v="8"/>
    <m/>
    <n v="20750.990000000002"/>
    <n v="210169834"/>
    <x v="0"/>
    <n v="20750.990000000002"/>
    <n v="0"/>
  </r>
  <r>
    <n v="1"/>
    <d v="2025-12-01T00:00:00"/>
    <x v="8"/>
    <s v="H7R01240"/>
    <x v="8"/>
    <m/>
    <n v="29645.26"/>
    <n v="210169835"/>
    <x v="0"/>
    <n v="0"/>
    <n v="29645.26"/>
  </r>
  <r>
    <n v="1"/>
    <d v="2025-12-01T00:00:00"/>
    <x v="8"/>
    <s v="H7R01280"/>
    <x v="8"/>
    <m/>
    <n v="120455.35"/>
    <n v="210169836"/>
    <x v="0"/>
    <n v="0"/>
    <n v="120455.35"/>
  </r>
  <r>
    <n v="1"/>
    <d v="2025-12-01T00:00:00"/>
    <x v="10"/>
    <s v="HFR06670"/>
    <x v="20"/>
    <m/>
    <n v="74552"/>
    <n v="210169838"/>
    <x v="0"/>
    <n v="0"/>
    <n v="74552"/>
  </r>
  <r>
    <n v="1"/>
    <d v="2025-12-01T00:00:00"/>
    <x v="22"/>
    <s v="ALR02430"/>
    <x v="124"/>
    <s v="Wellcome Trust"/>
    <n v="20.81"/>
    <n v="210169841"/>
    <x v="2"/>
    <n v="0"/>
    <n v="20.81"/>
  </r>
  <r>
    <n v="1"/>
    <d v="2025-12-01T00:00:00"/>
    <x v="7"/>
    <s v="EPR02280"/>
    <x v="17"/>
    <s v="Welsh Government"/>
    <n v="7319.03"/>
    <n v="210169869"/>
    <x v="2"/>
    <n v="0"/>
    <n v="7319.03"/>
  </r>
  <r>
    <n v="1"/>
    <d v="2025-12-01T00:00:00"/>
    <x v="10"/>
    <s v="HFR06500"/>
    <x v="93"/>
    <n v="0"/>
    <n v="45110.879999999997"/>
    <n v="210169872"/>
    <x v="2"/>
    <n v="0"/>
    <n v="45110.879999999997"/>
  </r>
  <r>
    <n v="1"/>
    <d v="2025-12-01T00:00:00"/>
    <x v="22"/>
    <s v="ALR02880"/>
    <x v="34"/>
    <s v="Medical Research Council"/>
    <n v="71198.559999999998"/>
    <n v="210169842"/>
    <x v="2"/>
    <n v="71198.559999999998"/>
    <n v="0"/>
  </r>
  <r>
    <n v="1"/>
    <d v="2025-12-01T00:00:00"/>
    <x v="49"/>
    <s v="B9R06420"/>
    <x v="87"/>
    <s v="Wellcome Trust"/>
    <n v="56.4"/>
    <n v="210169843"/>
    <x v="2"/>
    <n v="56.4"/>
    <n v="0"/>
  </r>
  <r>
    <n v="1"/>
    <d v="2025-12-01T00:00:00"/>
    <x v="26"/>
    <s v="BKR02200"/>
    <x v="40"/>
    <s v="Office of Naval Research"/>
    <n v="6544.95"/>
    <n v="210169844"/>
    <x v="2"/>
    <n v="0"/>
    <n v="6544.95"/>
  </r>
  <r>
    <n v="1"/>
    <d v="2025-12-01T00:00:00"/>
    <x v="13"/>
    <s v="BLR03200"/>
    <x v="41"/>
    <s v="Medical Research Council"/>
    <n v="19436.03"/>
    <n v="210169845"/>
    <x v="2"/>
    <n v="0"/>
    <n v="19436.03"/>
  </r>
  <r>
    <n v="1"/>
    <d v="2025-12-01T00:00:00"/>
    <x v="13"/>
    <s v="BLR03610"/>
    <x v="33"/>
    <s v="Natural Environment Research Council"/>
    <n v="3687.54"/>
    <n v="210169846"/>
    <x v="2"/>
    <n v="0"/>
    <n v="3687.54"/>
  </r>
  <r>
    <n v="1"/>
    <d v="2025-12-01T00:00:00"/>
    <x v="13"/>
    <s v="BLR03860"/>
    <x v="42"/>
    <s v="Engineering &amp; Physical Sciences Research Council"/>
    <n v="104633.01"/>
    <n v="210169847"/>
    <x v="2"/>
    <n v="0"/>
    <n v="104633.01"/>
  </r>
  <r>
    <n v="1"/>
    <d v="2025-12-01T00:00:00"/>
    <x v="27"/>
    <s v="BWR01590"/>
    <x v="43"/>
    <s v="British Heart Foundation"/>
    <n v="15459.13"/>
    <n v="210169848"/>
    <x v="2"/>
    <n v="0"/>
    <n v="15459.13"/>
  </r>
  <r>
    <n v="1"/>
    <d v="2025-12-01T00:00:00"/>
    <x v="1"/>
    <s v="BZR06150"/>
    <x v="44"/>
    <s v="Welsh Government"/>
    <n v="5995.9"/>
    <n v="210169849"/>
    <x v="2"/>
    <n v="0"/>
    <n v="5995.9"/>
  </r>
  <r>
    <n v="1"/>
    <d v="2025-12-01T00:00:00"/>
    <x v="14"/>
    <s v="CBR00600"/>
    <x v="52"/>
    <s v="Biotechnology &amp; Biological Sciences Research Council"/>
    <n v="28030.36"/>
    <n v="210169852"/>
    <x v="2"/>
    <n v="0"/>
    <n v="28030.36"/>
  </r>
  <r>
    <n v="1"/>
    <d v="2025-12-01T00:00:00"/>
    <x v="14"/>
    <s v="CBR01050"/>
    <x v="38"/>
    <s v="Biotechnology &amp; Biological Sciences Research Council"/>
    <n v="936.71"/>
    <n v="210169853"/>
    <x v="2"/>
    <n v="936.71"/>
    <n v="0"/>
  </r>
  <r>
    <n v="1"/>
    <d v="2025-12-01T00:00:00"/>
    <x v="60"/>
    <s v="CQR02460"/>
    <x v="125"/>
    <s v="Economic &amp; Social Research Council"/>
    <n v="11835.29"/>
    <n v="210169855"/>
    <x v="2"/>
    <n v="0"/>
    <n v="11835.29"/>
  </r>
  <r>
    <n v="1"/>
    <d v="2025-12-01T00:00:00"/>
    <x v="29"/>
    <s v="CYR00620"/>
    <x v="52"/>
    <s v="Economic &amp; Social Research Council"/>
    <n v="5462.17"/>
    <n v="210169857"/>
    <x v="2"/>
    <n v="0"/>
    <n v="5462.17"/>
  </r>
  <r>
    <n v="1"/>
    <d v="2025-12-01T00:00:00"/>
    <x v="31"/>
    <s v="DCR01310"/>
    <x v="54"/>
    <s v="Natural Environment Research Council"/>
    <n v="20366.560000000001"/>
    <n v="210169859"/>
    <x v="2"/>
    <n v="0"/>
    <n v="20366.560000000001"/>
  </r>
  <r>
    <n v="1"/>
    <d v="2025-12-01T00:00:00"/>
    <x v="4"/>
    <s v="DFR10720"/>
    <x v="44"/>
    <s v="Wellcome Trust"/>
    <n v="4107.4799999999996"/>
    <n v="210169860"/>
    <x v="2"/>
    <n v="4107.4799999999996"/>
    <n v="0"/>
  </r>
  <r>
    <n v="1"/>
    <d v="2025-12-01T00:00:00"/>
    <x v="4"/>
    <s v="DFR10940"/>
    <x v="55"/>
    <s v="Engineering &amp; Physical Sciences Research Council"/>
    <n v="27828.31"/>
    <n v="210169861"/>
    <x v="2"/>
    <n v="0"/>
    <n v="27828.31"/>
  </r>
  <r>
    <n v="1"/>
    <d v="2025-12-01T00:00:00"/>
    <x v="4"/>
    <s v="DFR11380"/>
    <x v="126"/>
    <s v="Advanced Research and Invention Agency (ARIA)"/>
    <n v="11250"/>
    <n v="210169862"/>
    <x v="2"/>
    <n v="0"/>
    <n v="11250"/>
  </r>
  <r>
    <n v="1"/>
    <d v="2025-12-01T00:00:00"/>
    <x v="4"/>
    <s v="DFR11390"/>
    <x v="126"/>
    <s v="Advanced Research and Invention Agency (ARIA)"/>
    <n v="11250"/>
    <n v="210169863"/>
    <x v="2"/>
    <n v="0"/>
    <n v="11250"/>
  </r>
  <r>
    <n v="1"/>
    <d v="2025-12-01T00:00:00"/>
    <x v="32"/>
    <s v="DGR02000"/>
    <x v="34"/>
    <s v="Natural Environment Research Council"/>
    <n v="1083.0899999999999"/>
    <n v="210169864"/>
    <x v="2"/>
    <n v="0"/>
    <n v="1083.0899999999999"/>
  </r>
  <r>
    <n v="1"/>
    <d v="2025-12-01T00:00:00"/>
    <x v="33"/>
    <s v="DHR01661"/>
    <x v="56"/>
    <s v="Unilever UK Limited"/>
    <n v="1633.98"/>
    <n v="210169865"/>
    <x v="2"/>
    <n v="0"/>
    <n v="1633.98"/>
  </r>
  <r>
    <n v="1"/>
    <d v="2025-12-01T00:00:00"/>
    <x v="34"/>
    <s v="DJR02620"/>
    <x v="57"/>
    <s v="Engineering &amp; Physical Sciences Research Council"/>
    <n v="29784.02"/>
    <n v="210169866"/>
    <x v="2"/>
    <n v="0"/>
    <n v="29784.02"/>
  </r>
  <r>
    <n v="1"/>
    <d v="2025-12-01T00:00:00"/>
    <x v="34"/>
    <s v="DJR03190"/>
    <x v="58"/>
    <s v="Engineering &amp; Physical Sciences Research Council"/>
    <n v="85298.21"/>
    <n v="210169867"/>
    <x v="2"/>
    <n v="0"/>
    <n v="85298.21"/>
  </r>
  <r>
    <n v="1"/>
    <d v="2025-12-01T00:00:00"/>
    <x v="5"/>
    <s v="DMR02520"/>
    <x v="127"/>
    <n v="0"/>
    <n v="374.87"/>
    <n v="210169868"/>
    <x v="2"/>
    <n v="0"/>
    <n v="374.87"/>
  </r>
  <r>
    <n v="1"/>
    <d v="2025-12-01T00:00:00"/>
    <x v="37"/>
    <s v="H4R03130"/>
    <x v="61"/>
    <s v="National Institute for Health Research"/>
    <n v="11746.13"/>
    <n v="210169870"/>
    <x v="2"/>
    <n v="11746.13"/>
    <n v="0"/>
  </r>
  <r>
    <n v="1"/>
    <d v="2025-12-01T00:00:00"/>
    <x v="11"/>
    <s v="HJR03300"/>
    <x v="51"/>
    <s v="Cancer Research UK"/>
    <n v="27375.41"/>
    <n v="210169873"/>
    <x v="2"/>
    <n v="27375.41"/>
    <n v="0"/>
  </r>
  <r>
    <n v="1"/>
    <d v="2025-12-01T00:00:00"/>
    <x v="40"/>
    <s v="HMR06020"/>
    <x v="64"/>
    <n v="0"/>
    <n v="15847.51"/>
    <n v="210169874"/>
    <x v="2"/>
    <n v="0"/>
    <n v="15847.51"/>
  </r>
  <r>
    <n v="1"/>
    <d v="2025-12-01T00:00:00"/>
    <x v="40"/>
    <s v="HMR06300"/>
    <x v="108"/>
    <n v="0"/>
    <n v="13951.93"/>
    <n v="210169875"/>
    <x v="2"/>
    <n v="0"/>
    <n v="13951.93"/>
  </r>
  <r>
    <n v="1"/>
    <d v="2025-12-01T00:00:00"/>
    <x v="40"/>
    <s v="HMR06590"/>
    <x v="128"/>
    <n v="0"/>
    <n v="19332.080000000002"/>
    <n v="210169876"/>
    <x v="2"/>
    <n v="19332.080000000002"/>
    <n v="0"/>
  </r>
  <r>
    <n v="1"/>
    <d v="2025-12-01T00:00:00"/>
    <x v="61"/>
    <s v="LDR01480"/>
    <x v="129"/>
    <s v="Wellcome Trust"/>
    <n v="13197.16"/>
    <n v="210169877"/>
    <x v="2"/>
    <n v="0"/>
    <n v="13197.16"/>
  </r>
  <r>
    <n v="1"/>
    <d v="2025-12-01T00:00:00"/>
    <x v="10"/>
    <s v="HFR02600"/>
    <x v="19"/>
    <s v="National Institute for Health Research"/>
    <n v="940.94"/>
    <n v="210169871"/>
    <x v="2"/>
    <n v="0"/>
    <n v="940.94"/>
  </r>
  <r>
    <n v="1"/>
    <d v="2026-01-01T00:00:00"/>
    <x v="43"/>
    <s v="AJR01040"/>
    <x v="65"/>
    <s v="Exscientia Ltd"/>
    <n v="71064.5"/>
    <n v="210171035"/>
    <x v="0"/>
    <n v="0"/>
    <n v="71064.5"/>
  </r>
  <r>
    <n v="1"/>
    <d v="2026-01-01T00:00:00"/>
    <x v="57"/>
    <s v="AMR00520"/>
    <x v="111"/>
    <s v="Novo Nordisk A/S"/>
    <n v="204251.08"/>
    <n v="210171036"/>
    <x v="0"/>
    <n v="204251.08"/>
    <n v="0"/>
  </r>
  <r>
    <n v="1"/>
    <d v="2026-01-01T00:00:00"/>
    <x v="44"/>
    <s v="AZR02860"/>
    <x v="112"/>
    <s v="Regeneron Pharmaceuticals Inc"/>
    <n v="106197.3"/>
    <n v="210171037"/>
    <x v="0"/>
    <n v="0"/>
    <n v="106197.3"/>
  </r>
  <r>
    <n v="1"/>
    <d v="2026-01-01T00:00:00"/>
    <x v="49"/>
    <s v="B9R02191"/>
    <x v="3"/>
    <s v="Drugs for Neglected Diseases Initiative"/>
    <n v="84000"/>
    <n v="210171038"/>
    <x v="0"/>
    <n v="0"/>
    <n v="84000"/>
  </r>
  <r>
    <n v="1"/>
    <d v="2026-01-01T00:00:00"/>
    <x v="45"/>
    <s v="BXR01210"/>
    <x v="67"/>
    <s v="National Institute for Health Research"/>
    <n v="13916.06"/>
    <n v="210171039"/>
    <x v="0"/>
    <n v="0"/>
    <n v="13916.06"/>
  </r>
  <r>
    <n v="1"/>
    <d v="2026-01-01T00:00:00"/>
    <x v="1"/>
    <s v="BZR02800"/>
    <x v="68"/>
    <s v="National Institute for Health Research"/>
    <n v="23124.75"/>
    <n v="210171040"/>
    <x v="0"/>
    <n v="0"/>
    <n v="23124.75"/>
  </r>
  <r>
    <n v="1"/>
    <d v="2026-01-01T00:00:00"/>
    <x v="1"/>
    <s v="BZR04600"/>
    <x v="69"/>
    <s v="National Institute for Health Research"/>
    <n v="1104"/>
    <n v="210171041"/>
    <x v="0"/>
    <n v="0"/>
    <n v="1104"/>
  </r>
  <r>
    <n v="1"/>
    <d v="2026-01-01T00:00:00"/>
    <x v="1"/>
    <s v="BZR06850"/>
    <x v="130"/>
    <s v="National Institute for Health Research"/>
    <n v="5372.18"/>
    <n v="210171042"/>
    <x v="0"/>
    <n v="5372.18"/>
    <n v="0"/>
  </r>
  <r>
    <n v="1"/>
    <d v="2026-01-01T00:00:00"/>
    <x v="1"/>
    <s v="BZR06880"/>
    <x v="70"/>
    <s v="National Institute for Health Research"/>
    <n v="22700"/>
    <n v="210171043"/>
    <x v="0"/>
    <n v="22700"/>
    <n v="0"/>
  </r>
  <r>
    <n v="1"/>
    <d v="2026-01-01T00:00:00"/>
    <x v="14"/>
    <s v="CBR01300"/>
    <x v="131"/>
    <s v="Accounting for Nature"/>
    <n v="22952.7"/>
    <n v="210171044"/>
    <x v="0"/>
    <n v="22952.7"/>
    <n v="0"/>
  </r>
  <r>
    <n v="1"/>
    <d v="2026-01-01T00:00:00"/>
    <x v="28"/>
    <s v="CFR01480"/>
    <x v="35"/>
    <s v="Medical Research Council"/>
    <n v="773750"/>
    <n v="210171045"/>
    <x v="0"/>
    <n v="0"/>
    <n v="773750"/>
  </r>
  <r>
    <n v="1"/>
    <d v="2026-01-01T00:00:00"/>
    <x v="46"/>
    <s v="CNR00180"/>
    <x v="5"/>
    <s v="National Centre for the Replacement, Refinement and Reduction of Animals in research (NC3RS)"/>
    <n v="22445.47"/>
    <n v="210171046"/>
    <x v="0"/>
    <n v="22445.47"/>
    <n v="0"/>
  </r>
  <r>
    <n v="1"/>
    <d v="2026-01-01T00:00:00"/>
    <x v="3"/>
    <s v="CWR00230"/>
    <x v="12"/>
    <s v="Iuvantium Limited"/>
    <n v="4228.5"/>
    <n v="210171047"/>
    <x v="0"/>
    <n v="4228.5"/>
    <n v="0"/>
  </r>
  <r>
    <n v="1"/>
    <d v="2026-01-01T00:00:00"/>
    <x v="31"/>
    <s v="DCR01470"/>
    <x v="126"/>
    <s v="Advanced Research and Invention Agency (ARIA)"/>
    <n v="3750"/>
    <n v="210171048"/>
    <x v="0"/>
    <n v="0"/>
    <n v="3750"/>
  </r>
  <r>
    <n v="1"/>
    <d v="2026-01-01T00:00:00"/>
    <x v="4"/>
    <s v="DFR08401"/>
    <x v="13"/>
    <s v="AWE Plc"/>
    <n v="3750.13"/>
    <n v="210171049"/>
    <x v="0"/>
    <n v="0"/>
    <n v="3750.13"/>
  </r>
  <r>
    <n v="1"/>
    <d v="2026-01-01T00:00:00"/>
    <x v="4"/>
    <s v="DFR10740"/>
    <x v="9"/>
    <s v="Parker-Hannifin Corporation"/>
    <n v="250000"/>
    <n v="210171050"/>
    <x v="0"/>
    <n v="250000"/>
    <n v="0"/>
  </r>
  <r>
    <n v="1"/>
    <d v="2026-01-01T00:00:00"/>
    <x v="4"/>
    <s v="DFR11000"/>
    <x v="13"/>
    <s v="AWE Plc"/>
    <n v="40027.94"/>
    <n v="210171051"/>
    <x v="0"/>
    <n v="0"/>
    <n v="40027.94"/>
  </r>
  <r>
    <n v="1"/>
    <d v="2026-01-01T00:00:00"/>
    <x v="4"/>
    <s v="DFR11090"/>
    <x v="13"/>
    <s v="AWE Plc"/>
    <n v="25096.560000000001"/>
    <n v="210171052"/>
    <x v="0"/>
    <n v="0"/>
    <n v="25096.560000000001"/>
  </r>
  <r>
    <n v="1"/>
    <d v="2026-01-01T00:00:00"/>
    <x v="4"/>
    <s v="DFR11210"/>
    <x v="13"/>
    <s v="AWE Plc"/>
    <n v="8759.75"/>
    <n v="210171053"/>
    <x v="0"/>
    <n v="0"/>
    <n v="8759.75"/>
  </r>
  <r>
    <n v="1"/>
    <d v="2026-01-01T00:00:00"/>
    <x v="54"/>
    <s v="DUR01500"/>
    <x v="13"/>
    <s v="AWE Plc"/>
    <n v="20879.95"/>
    <n v="210171054"/>
    <x v="0"/>
    <n v="0"/>
    <n v="20879.95"/>
  </r>
  <r>
    <n v="1"/>
    <d v="2026-01-01T00:00:00"/>
    <x v="54"/>
    <s v="DUR01510"/>
    <x v="13"/>
    <s v="AWE Plc"/>
    <n v="42583.62"/>
    <n v="210171055"/>
    <x v="0"/>
    <n v="42583.62"/>
    <n v="0"/>
  </r>
  <r>
    <n v="1"/>
    <d v="2026-01-01T00:00:00"/>
    <x v="37"/>
    <s v="H4R02653"/>
    <x v="35"/>
    <s v="Medical Research Council"/>
    <n v="1383500"/>
    <n v="210171056"/>
    <x v="0"/>
    <n v="1383500"/>
    <n v="0"/>
  </r>
  <r>
    <n v="1"/>
    <d v="2026-01-01T00:00:00"/>
    <x v="39"/>
    <s v="H6RPES00"/>
    <x v="77"/>
    <s v="UK Biobank"/>
    <n v="673545"/>
    <n v="210171057"/>
    <x v="0"/>
    <n v="0"/>
    <n v="673545"/>
  </r>
  <r>
    <n v="1"/>
    <d v="2026-01-01T00:00:00"/>
    <x v="8"/>
    <s v="H7R00680"/>
    <x v="8"/>
    <s v="Diabetes UK"/>
    <n v="29714.15"/>
    <n v="210171058"/>
    <x v="0"/>
    <n v="29714.15"/>
    <n v="0"/>
  </r>
  <r>
    <n v="1"/>
    <d v="2026-01-01T00:00:00"/>
    <x v="10"/>
    <s v="HFR05670"/>
    <x v="78"/>
    <s v="National Institute for Health Research"/>
    <n v="1940.46"/>
    <n v="210171059"/>
    <x v="0"/>
    <n v="0"/>
    <n v="1940.46"/>
  </r>
  <r>
    <n v="1"/>
    <d v="2026-01-01T00:00:00"/>
    <x v="10"/>
    <s v="HFR05950"/>
    <x v="67"/>
    <s v="National Institute for Health Research"/>
    <n v="46182.29"/>
    <n v="210171061"/>
    <x v="0"/>
    <n v="0"/>
    <n v="46182.29"/>
  </r>
  <r>
    <n v="1"/>
    <d v="2026-01-01T00:00:00"/>
    <x v="10"/>
    <s v="HFR06290"/>
    <x v="36"/>
    <s v="National Institute for Health Research"/>
    <n v="612.36"/>
    <n v="210171063"/>
    <x v="0"/>
    <n v="0"/>
    <n v="612.36"/>
  </r>
  <r>
    <n v="1"/>
    <d v="2026-01-01T00:00:00"/>
    <x v="10"/>
    <s v="HFR06870"/>
    <x v="132"/>
    <s v="Cellcentric Limited"/>
    <n v="323680.27"/>
    <n v="210171064"/>
    <x v="0"/>
    <n v="0"/>
    <n v="323680.27"/>
  </r>
  <r>
    <n v="1"/>
    <d v="2026-01-01T00:00:00"/>
    <x v="10"/>
    <s v="HFR07360"/>
    <x v="133"/>
    <s v="National Institute for Health Research"/>
    <n v="11566.58"/>
    <n v="210171065"/>
    <x v="0"/>
    <n v="11566.58"/>
    <n v="0"/>
  </r>
  <r>
    <n v="1"/>
    <d v="2026-01-01T00:00:00"/>
    <x v="11"/>
    <s v="HJR02470"/>
    <x v="79"/>
    <s v="Santersus AG"/>
    <n v="15867.1"/>
    <n v="210171066"/>
    <x v="0"/>
    <n v="15867.1"/>
    <n v="0"/>
  </r>
  <r>
    <n v="1"/>
    <d v="2026-01-01T00:00:00"/>
    <x v="40"/>
    <s v="HMR05590"/>
    <x v="134"/>
    <s v="Calico LLC"/>
    <n v="440288.34"/>
    <n v="210171067"/>
    <x v="0"/>
    <n v="0"/>
    <n v="440288.34"/>
  </r>
  <r>
    <n v="1"/>
    <d v="2026-01-01T00:00:00"/>
    <x v="27"/>
    <s v="BWR01580"/>
    <x v="135"/>
    <s v="LifeArc"/>
    <n v="244983.81"/>
    <n v="210172466"/>
    <x v="1"/>
    <n v="0"/>
    <n v="244983.81"/>
  </r>
  <r>
    <n v="1"/>
    <d v="2026-01-01T00:00:00"/>
    <x v="4"/>
    <s v="DFR10920"/>
    <x v="27"/>
    <s v="Met Office"/>
    <n v="57680"/>
    <n v="210172467"/>
    <x v="1"/>
    <n v="57680"/>
    <n v="0"/>
  </r>
  <r>
    <n v="1"/>
    <d v="2026-01-01T00:00:00"/>
    <x v="62"/>
    <s v="HNR03490"/>
    <x v="136"/>
    <s v="Medical Research Council"/>
    <n v="11162.75"/>
    <n v="210172468"/>
    <x v="1"/>
    <n v="11162.75"/>
    <n v="0"/>
  </r>
  <r>
    <n v="1"/>
    <d v="2026-01-01T00:00:00"/>
    <x v="48"/>
    <s v="A5R00230"/>
    <x v="18"/>
    <s v="Engineering &amp; Physical Sciences Research Council"/>
    <n v="63016.83"/>
    <n v="210171704"/>
    <x v="2"/>
    <n v="63016.83"/>
    <n v="0"/>
  </r>
  <r>
    <n v="1"/>
    <d v="2026-01-01T00:00:00"/>
    <x v="48"/>
    <s v="A5R00330"/>
    <x v="68"/>
    <s v="Advanced Research and Invention Agency (ARIA)"/>
    <n v="65585.259999999995"/>
    <n v="210171705"/>
    <x v="2"/>
    <n v="0"/>
    <n v="65585.259999999995"/>
  </r>
  <r>
    <n v="1"/>
    <d v="2026-01-01T00:00:00"/>
    <x v="24"/>
    <s v="AVR03070"/>
    <x v="83"/>
    <s v="Alzheimer's Research UK"/>
    <n v="35201.61"/>
    <n v="210171707"/>
    <x v="2"/>
    <n v="0"/>
    <n v="35201.61"/>
  </r>
  <r>
    <n v="1"/>
    <d v="2026-01-01T00:00:00"/>
    <x v="24"/>
    <s v="AVR03340"/>
    <x v="37"/>
    <s v="Alzheimer's Society"/>
    <n v="28521.38"/>
    <n v="210171708"/>
    <x v="2"/>
    <n v="0"/>
    <n v="28521.38"/>
  </r>
  <r>
    <n v="1"/>
    <d v="2026-01-01T00:00:00"/>
    <x v="24"/>
    <s v="AVR03390"/>
    <x v="84"/>
    <s v="Epilepsy Research UK"/>
    <n v="22301.91"/>
    <n v="210171709"/>
    <x v="2"/>
    <n v="0"/>
    <n v="22301.91"/>
  </r>
  <r>
    <n v="1"/>
    <d v="2026-01-01T00:00:00"/>
    <x v="44"/>
    <s v="AZR01170"/>
    <x v="137"/>
    <s v="Arthritis UK"/>
    <n v="14485.61"/>
    <n v="210171710"/>
    <x v="2"/>
    <n v="0"/>
    <n v="14485.61"/>
  </r>
  <r>
    <n v="1"/>
    <d v="2026-01-01T00:00:00"/>
    <x v="44"/>
    <s v="AZR03380"/>
    <x v="33"/>
    <s v="Arthritis UK"/>
    <n v="21388.48"/>
    <n v="210171711"/>
    <x v="2"/>
    <n v="21388.48"/>
    <n v="0"/>
  </r>
  <r>
    <n v="1"/>
    <d v="2026-01-01T00:00:00"/>
    <x v="63"/>
    <s v="B5R00870"/>
    <x v="100"/>
    <s v="Biotechnology &amp; Biological Sciences Research Council"/>
    <n v="15361.22"/>
    <n v="210171712"/>
    <x v="2"/>
    <n v="15361.22"/>
    <n v="0"/>
  </r>
  <r>
    <n v="1"/>
    <d v="2026-01-01T00:00:00"/>
    <x v="49"/>
    <s v="B9R05500"/>
    <x v="86"/>
    <s v="Gates Foundation"/>
    <n v="14872.02"/>
    <n v="210171713"/>
    <x v="2"/>
    <n v="14872.02"/>
    <n v="0"/>
  </r>
  <r>
    <n v="1"/>
    <d v="2026-01-01T00:00:00"/>
    <x v="49"/>
    <s v="B9R05660"/>
    <x v="87"/>
    <s v="Wellcome Trust"/>
    <n v="4845.04"/>
    <n v="210171714"/>
    <x v="2"/>
    <n v="0"/>
    <n v="4845.04"/>
  </r>
  <r>
    <n v="1"/>
    <d v="2026-01-01T00:00:00"/>
    <x v="49"/>
    <s v="B9R06270"/>
    <x v="88"/>
    <s v="Wellcome Trust"/>
    <n v="34990.18"/>
    <n v="210171715"/>
    <x v="2"/>
    <n v="34990.18"/>
    <n v="0"/>
  </r>
  <r>
    <n v="1"/>
    <d v="2026-01-01T00:00:00"/>
    <x v="59"/>
    <s v="BBR00360"/>
    <x v="138"/>
    <s v="Cancer Research UK"/>
    <n v="1299.5"/>
    <n v="210171716"/>
    <x v="2"/>
    <n v="0"/>
    <n v="1299.5"/>
  </r>
  <r>
    <n v="1"/>
    <d v="2026-01-01T00:00:00"/>
    <x v="50"/>
    <s v="BVR02580"/>
    <x v="59"/>
    <s v="Biotechnology &amp; Biological Sciences Research Council"/>
    <n v="64188.77"/>
    <n v="210171717"/>
    <x v="2"/>
    <n v="0"/>
    <n v="64188.77"/>
  </r>
  <r>
    <n v="1"/>
    <d v="2026-01-01T00:00:00"/>
    <x v="1"/>
    <s v="BZR04700"/>
    <x v="57"/>
    <s v="National Institute for Health Research"/>
    <n v="1515.2"/>
    <n v="210171718"/>
    <x v="2"/>
    <n v="0"/>
    <n v="1515.2"/>
  </r>
  <r>
    <n v="1"/>
    <d v="2026-01-01T00:00:00"/>
    <x v="1"/>
    <s v="BZR05870"/>
    <x v="36"/>
    <s v="National Institute for Health Research"/>
    <n v="30983.22"/>
    <n v="210171719"/>
    <x v="2"/>
    <n v="0"/>
    <n v="30983.22"/>
  </r>
  <r>
    <n v="1"/>
    <d v="2026-01-01T00:00:00"/>
    <x v="1"/>
    <s v="BZR06240"/>
    <x v="43"/>
    <s v="National Institute for Health Research"/>
    <n v="23840.15"/>
    <n v="210171720"/>
    <x v="2"/>
    <n v="23840.15"/>
    <n v="0"/>
  </r>
  <r>
    <n v="1"/>
    <d v="2026-01-01T00:00:00"/>
    <x v="1"/>
    <s v="BZR06750"/>
    <x v="39"/>
    <s v="National Institute for Health Research"/>
    <n v="3324.32"/>
    <n v="210171721"/>
    <x v="2"/>
    <n v="0"/>
    <n v="3324.32"/>
  </r>
  <r>
    <n v="1"/>
    <d v="2026-01-01T00:00:00"/>
    <x v="1"/>
    <s v="BZR06810"/>
    <x v="91"/>
    <s v="National Institute for Health Research"/>
    <n v="117596.64"/>
    <n v="210171722"/>
    <x v="2"/>
    <n v="0"/>
    <n v="117596.64"/>
  </r>
  <r>
    <n v="1"/>
    <d v="2026-01-01T00:00:00"/>
    <x v="1"/>
    <s v="BZR06960"/>
    <x v="92"/>
    <s v="National Institute for Health Research"/>
    <n v="21571.84"/>
    <n v="210171723"/>
    <x v="2"/>
    <n v="0"/>
    <n v="21571.84"/>
  </r>
  <r>
    <n v="1"/>
    <d v="2026-01-01T00:00:00"/>
    <x v="1"/>
    <s v="BZR07000"/>
    <x v="39"/>
    <s v="National Institute for Health Research"/>
    <n v="2174.4"/>
    <n v="210171724"/>
    <x v="2"/>
    <n v="0"/>
    <n v="2174.4"/>
  </r>
  <r>
    <n v="1"/>
    <d v="2026-01-01T00:00:00"/>
    <x v="1"/>
    <s v="BZR07241"/>
    <x v="93"/>
    <s v="Health Data Research UK"/>
    <n v="129221.2"/>
    <n v="210171725"/>
    <x v="2"/>
    <n v="0"/>
    <n v="129221.2"/>
  </r>
  <r>
    <n v="1"/>
    <d v="2026-01-01T00:00:00"/>
    <x v="1"/>
    <s v="BZR07270"/>
    <x v="139"/>
    <s v="National Institute for Health Research"/>
    <n v="2524.34"/>
    <n v="210171726"/>
    <x v="2"/>
    <n v="2524.34"/>
    <n v="0"/>
  </r>
  <r>
    <n v="1"/>
    <d v="2026-01-01T00:00:00"/>
    <x v="1"/>
    <s v="BZR07420"/>
    <x v="4"/>
    <s v="National Institute for Health Research"/>
    <n v="2415.38"/>
    <n v="210171727"/>
    <x v="2"/>
    <n v="2415.38"/>
    <n v="0"/>
  </r>
  <r>
    <n v="1"/>
    <d v="2026-01-01T00:00:00"/>
    <x v="28"/>
    <s v="CFR01460"/>
    <x v="140"/>
    <s v="Medical Research Council"/>
    <n v="7730.64"/>
    <n v="210171728"/>
    <x v="2"/>
    <n v="0"/>
    <n v="7730.64"/>
  </r>
  <r>
    <n v="1"/>
    <d v="2026-01-01T00:00:00"/>
    <x v="51"/>
    <s v="CSR00580"/>
    <x v="93"/>
    <s v="Health Data Research UK"/>
    <n v="26589.37"/>
    <n v="210171729"/>
    <x v="2"/>
    <n v="0"/>
    <n v="26589.37"/>
  </r>
  <r>
    <n v="1"/>
    <d v="2026-01-01T00:00:00"/>
    <x v="15"/>
    <s v="CVR01220"/>
    <x v="18"/>
    <s v="Economic &amp; Social Research Council"/>
    <n v="6674.69"/>
    <n v="210171730"/>
    <x v="2"/>
    <n v="0"/>
    <n v="6674.69"/>
  </r>
  <r>
    <n v="1"/>
    <d v="2026-01-01T00:00:00"/>
    <x v="29"/>
    <s v="CYR00610"/>
    <x v="94"/>
    <s v="Economic &amp; Social Research Council"/>
    <n v="24414.2"/>
    <n v="210171731"/>
    <x v="2"/>
    <n v="24414.2"/>
    <n v="0"/>
  </r>
  <r>
    <n v="1"/>
    <d v="2026-01-01T00:00:00"/>
    <x v="52"/>
    <s v="DBR01160"/>
    <x v="95"/>
    <s v="Royal Astronomical Society"/>
    <n v="8839.32"/>
    <n v="210171732"/>
    <x v="2"/>
    <n v="0"/>
    <n v="8839.32"/>
  </r>
  <r>
    <n v="1"/>
    <d v="2026-01-01T00:00:00"/>
    <x v="52"/>
    <s v="DBR01251"/>
    <x v="141"/>
    <s v="Science and Technology Facilities Council"/>
    <n v="20393.12"/>
    <n v="210171733"/>
    <x v="2"/>
    <n v="20393.12"/>
    <n v="0"/>
  </r>
  <r>
    <n v="1"/>
    <d v="2026-01-01T00:00:00"/>
    <x v="52"/>
    <s v="DBR01290"/>
    <x v="96"/>
    <s v="Science and Technology Facilities Council"/>
    <n v="15199.26"/>
    <n v="210171734"/>
    <x v="2"/>
    <n v="15199.26"/>
    <n v="0"/>
  </r>
  <r>
    <n v="1"/>
    <d v="2026-01-01T00:00:00"/>
    <x v="52"/>
    <s v="DBR01630"/>
    <x v="33"/>
    <s v="Science and Technology Facilities Council"/>
    <n v="42951.01"/>
    <n v="210171735"/>
    <x v="2"/>
    <n v="0"/>
    <n v="42951.01"/>
  </r>
  <r>
    <n v="1"/>
    <d v="2026-01-01T00:00:00"/>
    <x v="4"/>
    <s v="DFR09150"/>
    <x v="18"/>
    <s v="Engineering &amp; Physical Sciences Research Council"/>
    <n v="317915.27"/>
    <n v="210171736"/>
    <x v="2"/>
    <n v="317915.27"/>
    <n v="0"/>
  </r>
  <r>
    <n v="1"/>
    <d v="2026-01-01T00:00:00"/>
    <x v="4"/>
    <s v="DFR09490"/>
    <x v="46"/>
    <s v="Engineering &amp; Physical Sciences Research Council"/>
    <n v="108799.22"/>
    <n v="210171737"/>
    <x v="2"/>
    <n v="0"/>
    <n v="108799.22"/>
  </r>
  <r>
    <n v="1"/>
    <d v="2026-01-01T00:00:00"/>
    <x v="4"/>
    <s v="DFR09930"/>
    <x v="97"/>
    <s v="Engineering &amp; Physical Sciences Research Council"/>
    <n v="3886.82"/>
    <n v="210171738"/>
    <x v="2"/>
    <n v="0"/>
    <n v="3886.82"/>
  </r>
  <r>
    <n v="1"/>
    <d v="2026-01-01T00:00:00"/>
    <x v="4"/>
    <s v="DFR10560"/>
    <x v="36"/>
    <s v="Engineering &amp; Physical Sciences Research Council"/>
    <n v="3493.59"/>
    <n v="210171739"/>
    <x v="2"/>
    <n v="0"/>
    <n v="3493.59"/>
  </r>
  <r>
    <n v="1"/>
    <d v="2026-01-01T00:00:00"/>
    <x v="4"/>
    <s v="DFR10900"/>
    <x v="33"/>
    <s v="Natural Environment Research Council"/>
    <n v="42754.89"/>
    <n v="210171740"/>
    <x v="2"/>
    <n v="0"/>
    <n v="42754.89"/>
  </r>
  <r>
    <n v="1"/>
    <d v="2026-01-01T00:00:00"/>
    <x v="32"/>
    <s v="DGR01650"/>
    <x v="52"/>
    <s v="Biotechnology &amp; Biological Sciences Research Council"/>
    <n v="3479.33"/>
    <n v="210171741"/>
    <x v="2"/>
    <n v="0"/>
    <n v="3479.33"/>
  </r>
  <r>
    <n v="1"/>
    <d v="2026-01-01T00:00:00"/>
    <x v="33"/>
    <s v="DHR01660"/>
    <x v="56"/>
    <s v="Engineering &amp; Physical Sciences Research Council"/>
    <n v="48130.36"/>
    <n v="210171742"/>
    <x v="2"/>
    <n v="0"/>
    <n v="48130.36"/>
  </r>
  <r>
    <n v="1"/>
    <d v="2026-01-01T00:00:00"/>
    <x v="34"/>
    <s v="DJR03220"/>
    <x v="43"/>
    <s v="Engineering &amp; Physical Sciences Research Council"/>
    <n v="1894.39"/>
    <n v="210171743"/>
    <x v="2"/>
    <n v="1894.39"/>
    <n v="0"/>
  </r>
  <r>
    <n v="1"/>
    <d v="2026-01-01T00:00:00"/>
    <x v="54"/>
    <s v="DUR01430"/>
    <x v="100"/>
    <s v="Engineering &amp; Physical Sciences Research Council"/>
    <n v="30562.73"/>
    <n v="210171744"/>
    <x v="2"/>
    <n v="0"/>
    <n v="30562.73"/>
  </r>
  <r>
    <n v="1"/>
    <d v="2026-01-01T00:00:00"/>
    <x v="64"/>
    <s v="EBR00850"/>
    <x v="142"/>
    <s v="Natural Environment Research Council"/>
    <n v="14932.77"/>
    <n v="210171745"/>
    <x v="2"/>
    <n v="14932.77"/>
    <n v="0"/>
  </r>
  <r>
    <n v="1"/>
    <d v="2026-01-01T00:00:00"/>
    <x v="37"/>
    <s v="H4R02330"/>
    <x v="61"/>
    <s v="Oxford University Hospitals NHS Foundation Trust"/>
    <n v="676.46"/>
    <n v="210171746"/>
    <x v="2"/>
    <n v="676.46"/>
    <n v="0"/>
  </r>
  <r>
    <n v="1"/>
    <d v="2026-01-01T00:00:00"/>
    <x v="37"/>
    <s v="H4R02630"/>
    <x v="101"/>
    <s v="National Institutes of Health USA"/>
    <n v="6031.48"/>
    <n v="210171747"/>
    <x v="2"/>
    <n v="6031.48"/>
    <n v="0"/>
  </r>
  <r>
    <n v="1"/>
    <d v="2026-01-01T00:00:00"/>
    <x v="39"/>
    <s v="H6R00990"/>
    <x v="102"/>
    <s v="Asthma and Lung UK"/>
    <n v="14458.16"/>
    <n v="210171748"/>
    <x v="2"/>
    <n v="14458.16"/>
    <n v="0"/>
  </r>
  <r>
    <n v="1"/>
    <d v="2026-01-01T00:00:00"/>
    <x v="17"/>
    <s v="HBR04930"/>
    <x v="103"/>
    <s v="Coeliac Uk"/>
    <n v="18417.099999999999"/>
    <n v="210171749"/>
    <x v="2"/>
    <n v="18417.099999999999"/>
    <n v="0"/>
  </r>
  <r>
    <n v="1"/>
    <d v="2026-01-01T00:00:00"/>
    <x v="17"/>
    <s v="HBR05340"/>
    <x v="103"/>
    <s v="Coeliac Uk"/>
    <n v="17215.05"/>
    <n v="210171750"/>
    <x v="2"/>
    <n v="0"/>
    <n v="17215.05"/>
  </r>
  <r>
    <n v="1"/>
    <d v="2026-01-01T00:00:00"/>
    <x v="17"/>
    <s v="HBR05470"/>
    <x v="62"/>
    <s v="Oxfordshire Health Service Research Comm"/>
    <n v="5706.74"/>
    <n v="210171751"/>
    <x v="2"/>
    <n v="0"/>
    <n v="5706.74"/>
  </r>
  <r>
    <n v="1"/>
    <d v="2026-01-01T00:00:00"/>
    <x v="58"/>
    <s v="HER01450"/>
    <x v="119"/>
    <s v="Chan Zuckerberg Initiative"/>
    <n v="7776.47"/>
    <n v="210171752"/>
    <x v="2"/>
    <n v="0"/>
    <n v="7776.47"/>
  </r>
  <r>
    <n v="1"/>
    <d v="2026-01-01T00:00:00"/>
    <x v="10"/>
    <s v="HFR06040"/>
    <x v="33"/>
    <s v="National Institute for Health Research"/>
    <n v="427.74"/>
    <n v="210171753"/>
    <x v="2"/>
    <n v="0"/>
    <n v="427.74"/>
  </r>
  <r>
    <n v="1"/>
    <d v="2026-01-01T00:00:00"/>
    <x v="10"/>
    <s v="HFR06220"/>
    <x v="104"/>
    <s v="National Institute for Health Research"/>
    <n v="74232.399999999994"/>
    <n v="210171754"/>
    <x v="2"/>
    <n v="0"/>
    <n v="74232.399999999994"/>
  </r>
  <r>
    <n v="1"/>
    <d v="2026-01-01T00:00:00"/>
    <x v="10"/>
    <s v="HFR06710"/>
    <x v="46"/>
    <s v="National Institute for Health Research"/>
    <n v="978.72"/>
    <n v="210171755"/>
    <x v="2"/>
    <n v="0"/>
    <n v="978.72"/>
  </r>
  <r>
    <n v="1"/>
    <d v="2026-01-01T00:00:00"/>
    <x v="10"/>
    <s v="HFR06850"/>
    <x v="54"/>
    <s v="Engineering &amp; Physical Sciences Research Council"/>
    <n v="2753.75"/>
    <n v="210171756"/>
    <x v="2"/>
    <n v="2753.75"/>
    <n v="0"/>
  </r>
  <r>
    <n v="1"/>
    <d v="2026-01-01T00:00:00"/>
    <x v="11"/>
    <s v="HJR02050"/>
    <x v="88"/>
    <s v="National Institute for Health Research"/>
    <n v="43268.38"/>
    <n v="210171757"/>
    <x v="2"/>
    <n v="43268.38"/>
    <n v="0"/>
  </r>
  <r>
    <n v="1"/>
    <d v="2026-01-01T00:00:00"/>
    <x v="40"/>
    <s v="HMR03640"/>
    <x v="56"/>
    <s v="National Institute for Health Research"/>
    <n v="370.9"/>
    <n v="210171758"/>
    <x v="2"/>
    <n v="0"/>
    <n v="370.9"/>
  </r>
  <r>
    <n v="1"/>
    <d v="2026-01-01T00:00:00"/>
    <x v="40"/>
    <s v="HMR04070"/>
    <x v="64"/>
    <s v="Stroke Association"/>
    <n v="11091.72"/>
    <n v="210171759"/>
    <x v="2"/>
    <n v="0"/>
    <n v="11091.72"/>
  </r>
  <r>
    <n v="1"/>
    <d v="2026-01-01T00:00:00"/>
    <x v="40"/>
    <s v="HMR06250"/>
    <x v="107"/>
    <s v="Wellcome Trust"/>
    <n v="19433.419999999998"/>
    <n v="210171760"/>
    <x v="2"/>
    <n v="19433.419999999998"/>
    <n v="0"/>
  </r>
  <r>
    <n v="1"/>
    <d v="2026-01-01T00:00:00"/>
    <x v="40"/>
    <s v="HMR06540"/>
    <x v="61"/>
    <s v="National Institute for Health Research"/>
    <n v="53442.39"/>
    <n v="210171761"/>
    <x v="2"/>
    <n v="53442.39"/>
    <n v="0"/>
  </r>
  <r>
    <n v="1"/>
    <d v="2026-01-01T00:00:00"/>
    <x v="40"/>
    <s v="HMR06660"/>
    <x v="143"/>
    <s v="Parkinson's UK"/>
    <n v="17005.14"/>
    <n v="210171762"/>
    <x v="2"/>
    <n v="17005.14"/>
    <n v="0"/>
  </r>
  <r>
    <n v="1"/>
    <d v="2026-01-01T00:00:00"/>
    <x v="40"/>
    <s v="HMR06750"/>
    <x v="91"/>
    <s v="National Institute for Health Research"/>
    <n v="6959.74"/>
    <n v="210171763"/>
    <x v="2"/>
    <n v="0"/>
    <n v="6959.74"/>
  </r>
  <r>
    <n v="1"/>
    <d v="2026-01-01T00:00:00"/>
    <x v="41"/>
    <s v="HQR02620"/>
    <x v="57"/>
    <s v="Medical Research Council"/>
    <n v="31958.6"/>
    <n v="210171764"/>
    <x v="2"/>
    <n v="0"/>
    <n v="31958.6"/>
  </r>
  <r>
    <n v="1"/>
    <d v="2026-01-01T00:00:00"/>
    <x v="41"/>
    <s v="HQR03450"/>
    <x v="68"/>
    <s v="Medical Research Council"/>
    <n v="33675.129999999997"/>
    <n v="210171765"/>
    <x v="2"/>
    <n v="0"/>
    <n v="33675.129999999997"/>
  </r>
  <r>
    <n v="1"/>
    <d v="2026-01-01T00:00:00"/>
    <x v="41"/>
    <s v="HQR03690"/>
    <x v="109"/>
    <s v="Health Data Research UK"/>
    <n v="27166.71"/>
    <n v="210171766"/>
    <x v="2"/>
    <n v="0"/>
    <n v="27166.71"/>
  </r>
  <r>
    <n v="1"/>
    <d v="2026-01-01T00:00:00"/>
    <x v="41"/>
    <s v="HQR03720"/>
    <x v="144"/>
    <s v="National Institute for Health Research"/>
    <n v="1494.46"/>
    <n v="210171767"/>
    <x v="2"/>
    <n v="1494.46"/>
    <n v="0"/>
  </r>
  <r>
    <n v="1"/>
    <d v="2026-01-01T00:00:00"/>
    <x v="55"/>
    <s v="PSR00190"/>
    <x v="18"/>
    <s v="Engineering &amp; Physical Sciences Research Council"/>
    <n v="152237.32"/>
    <n v="210171768"/>
    <x v="2"/>
    <n v="0"/>
    <n v="152237.32"/>
  </r>
  <r>
    <n v="1"/>
    <d v="2026-01-01T00:00:00"/>
    <x v="55"/>
    <s v="PSR00400"/>
    <x v="110"/>
    <s v="Gates Foundation"/>
    <n v="47769.77"/>
    <n v="210171769"/>
    <x v="2"/>
    <n v="47769.77"/>
    <n v="0"/>
  </r>
  <r>
    <n v="1"/>
    <d v="2026-02-01T00:00:00"/>
    <x v="56"/>
    <s v="A3R00210"/>
    <x v="1"/>
    <s v="Fund for Cures UK Ltd"/>
    <n v="50000"/>
    <n v="210172762"/>
    <x v="0"/>
    <n v="0"/>
    <n v="50000"/>
  </r>
  <r>
    <n v="1"/>
    <d v="2026-02-01T00:00:00"/>
    <x v="44"/>
    <s v="AZR03690"/>
    <x v="145"/>
    <s v="Immunocore Ltd"/>
    <n v="30000"/>
    <n v="210172763"/>
    <x v="0"/>
    <n v="30000"/>
    <n v="0"/>
  </r>
  <r>
    <n v="1"/>
    <d v="2026-02-01T00:00:00"/>
    <x v="2"/>
    <s v="CDR01550"/>
    <x v="146"/>
    <s v="RAMC Charity"/>
    <n v="75000"/>
    <n v="210172764"/>
    <x v="0"/>
    <n v="75000"/>
    <n v="0"/>
  </r>
  <r>
    <n v="1"/>
    <d v="2026-02-01T00:00:00"/>
    <x v="31"/>
    <s v="DCR01470"/>
    <x v="126"/>
    <s v="Advanced Research and Invention Agency (ARIA)"/>
    <n v="11250"/>
    <n v="210172765"/>
    <x v="0"/>
    <n v="11250"/>
    <n v="0"/>
  </r>
  <r>
    <n v="1"/>
    <d v="2026-02-01T00:00:00"/>
    <x v="4"/>
    <s v="DFR05670"/>
    <x v="6"/>
    <s v="Man Investments Ltd"/>
    <n v="305000"/>
    <n v="210172766"/>
    <x v="0"/>
    <n v="0"/>
    <n v="305000"/>
  </r>
  <r>
    <n v="1"/>
    <d v="2026-02-01T00:00:00"/>
    <x v="4"/>
    <s v="DFR10290"/>
    <x v="14"/>
    <s v="Toyota Motor Europe NV/SA"/>
    <n v="32356"/>
    <n v="210172767"/>
    <x v="0"/>
    <n v="32356"/>
    <n v="0"/>
  </r>
  <r>
    <n v="1"/>
    <d v="2026-02-01T00:00:00"/>
    <x v="4"/>
    <s v="DFR10800"/>
    <x v="14"/>
    <s v="Toyota Motor Europe NV/SA"/>
    <n v="82500"/>
    <n v="210172768"/>
    <x v="0"/>
    <n v="82500"/>
    <n v="0"/>
  </r>
  <r>
    <n v="1"/>
    <d v="2026-02-01T00:00:00"/>
    <x v="4"/>
    <s v="DFR11220"/>
    <x v="147"/>
    <s v="Efxentis Ltd"/>
    <n v="70388"/>
    <n v="210172769"/>
    <x v="0"/>
    <n v="70388"/>
    <n v="0"/>
  </r>
  <r>
    <n v="1"/>
    <d v="2026-02-01T00:00:00"/>
    <x v="10"/>
    <s v="HFR06840"/>
    <x v="148"/>
    <s v="Kyowa Kirin International Plc"/>
    <n v="608862.30000000005"/>
    <n v="210172770"/>
    <x v="0"/>
    <n v="608862.30000000005"/>
    <n v="0"/>
  </r>
  <r>
    <n v="1"/>
    <d v="2026-02-01T00:00:00"/>
    <x v="40"/>
    <s v="HMR00050"/>
    <x v="77"/>
    <s v="UK Biobank"/>
    <n v="22730.87"/>
    <n v="210172771"/>
    <x v="0"/>
    <n v="22730.87"/>
    <n v="0"/>
  </r>
  <r>
    <n v="1"/>
    <d v="2026-02-01T00:00:00"/>
    <x v="18"/>
    <s v="HSR02230"/>
    <x v="8"/>
    <s v="Diabetes UK"/>
    <n v="50735.73"/>
    <n v="210172772"/>
    <x v="0"/>
    <n v="0"/>
    <n v="50735.73"/>
  </r>
  <r>
    <n v="1"/>
    <d v="2026-02-01T00:00:00"/>
    <x v="18"/>
    <s v="HSR02570"/>
    <x v="149"/>
    <s v="Edwards Lifesciences Sarl"/>
    <n v="67500"/>
    <n v="210172773"/>
    <x v="0"/>
    <n v="67500"/>
    <n v="0"/>
  </r>
  <r>
    <n v="1"/>
    <d v="2026-02-01T00:00:00"/>
    <x v="4"/>
    <s v="DFR10890"/>
    <x v="28"/>
    <s v="Marley Health Ltd"/>
    <n v="138418"/>
    <n v="210173518"/>
    <x v="1"/>
    <n v="0"/>
    <n v="138418"/>
  </r>
  <r>
    <n v="1"/>
    <d v="2026-02-01T00:00:00"/>
    <x v="17"/>
    <s v="HBR05360"/>
    <x v="31"/>
    <s v="PSC Support"/>
    <n v="4000"/>
    <n v="210173519"/>
    <x v="1"/>
    <n v="4000"/>
    <n v="0"/>
  </r>
  <r>
    <n v="1"/>
    <d v="2026-02-01T00:00:00"/>
    <x v="65"/>
    <s v="MQR01270"/>
    <x v="150"/>
    <s v="International Growth Centre"/>
    <n v="5000"/>
    <n v="210173520"/>
    <x v="1"/>
    <n v="5000"/>
    <n v="0"/>
  </r>
  <r>
    <n v="1"/>
    <d v="2026-02-01T00:00:00"/>
    <x v="48"/>
    <s v="A5R00340"/>
    <x v="18"/>
    <s v="Engineering &amp; Physical Sciences Research Council"/>
    <n v="435.21"/>
    <n v="210172910"/>
    <x v="2"/>
    <n v="435.21"/>
    <n v="0"/>
  </r>
  <r>
    <n v="1"/>
    <d v="2026-02-01T00:00:00"/>
    <x v="66"/>
    <s v="ABR00110"/>
    <x v="34"/>
    <s v="Arts and Humanities Research Council"/>
    <n v="10245.540000000001"/>
    <n v="210172911"/>
    <x v="2"/>
    <n v="0"/>
    <n v="10245.540000000001"/>
  </r>
  <r>
    <n v="1"/>
    <d v="2026-02-01T00:00:00"/>
    <x v="21"/>
    <s v="AFR01540"/>
    <x v="33"/>
    <s v="Engineering &amp; Physical Sciences Research Council"/>
    <n v="14177.03"/>
    <n v="210172912"/>
    <x v="2"/>
    <n v="0"/>
    <n v="14177.03"/>
  </r>
  <r>
    <n v="1"/>
    <d v="2026-02-01T00:00:00"/>
    <x v="22"/>
    <s v="ALR02430"/>
    <x v="124"/>
    <s v="Wellcome Trust"/>
    <n v="180.88"/>
    <n v="210172913"/>
    <x v="2"/>
    <n v="180.88"/>
    <n v="0"/>
  </r>
  <r>
    <n v="1"/>
    <d v="2026-02-01T00:00:00"/>
    <x v="24"/>
    <s v="AVR03740"/>
    <x v="55"/>
    <s v="Alzheimer's Research UK"/>
    <n v="20299.2"/>
    <n v="210172914"/>
    <x v="2"/>
    <n v="0"/>
    <n v="20299.2"/>
  </r>
  <r>
    <n v="1"/>
    <d v="2026-02-01T00:00:00"/>
    <x v="44"/>
    <s v="AZR03620"/>
    <x v="51"/>
    <s v="Arthritis UK"/>
    <n v="10820.77"/>
    <n v="210172915"/>
    <x v="2"/>
    <n v="10820.77"/>
    <n v="0"/>
  </r>
  <r>
    <n v="1"/>
    <d v="2026-02-01T00:00:00"/>
    <x v="25"/>
    <s v="BAR00850"/>
    <x v="39"/>
    <s v="Economic &amp; Social Research Council"/>
    <n v="1897.38"/>
    <n v="210172916"/>
    <x v="2"/>
    <n v="0"/>
    <n v="1897.38"/>
  </r>
  <r>
    <n v="1"/>
    <d v="2026-02-01T00:00:00"/>
    <x v="1"/>
    <s v="BZR02990"/>
    <x v="69"/>
    <s v="National Institute for Health Research"/>
    <n v="456.24"/>
    <n v="210172917"/>
    <x v="2"/>
    <n v="0"/>
    <n v="456.24"/>
  </r>
  <r>
    <n v="1"/>
    <d v="2026-02-01T00:00:00"/>
    <x v="1"/>
    <s v="BZR06190"/>
    <x v="45"/>
    <s v="National Institute for Health Research"/>
    <n v="121.74"/>
    <n v="210172918"/>
    <x v="2"/>
    <n v="0"/>
    <n v="121.74"/>
  </r>
  <r>
    <n v="1"/>
    <d v="2026-02-01T00:00:00"/>
    <x v="1"/>
    <s v="BZR07020"/>
    <x v="151"/>
    <s v="National Institute for Health Research"/>
    <n v="28055.05"/>
    <n v="210172919"/>
    <x v="2"/>
    <n v="0"/>
    <n v="28055.05"/>
  </r>
  <r>
    <n v="1"/>
    <d v="2026-02-01T00:00:00"/>
    <x v="14"/>
    <s v="CBR00570"/>
    <x v="51"/>
    <s v="Biotechnology &amp; Biological Sciences Research Council"/>
    <n v="25817.759999999998"/>
    <n v="210172920"/>
    <x v="2"/>
    <n v="25817.759999999998"/>
    <n v="0"/>
  </r>
  <r>
    <n v="1"/>
    <d v="2026-02-01T00:00:00"/>
    <x v="28"/>
    <s v="CFR01500"/>
    <x v="53"/>
    <s v="California Institute of Technology"/>
    <n v="29317.27"/>
    <n v="210172921"/>
    <x v="2"/>
    <n v="0"/>
    <n v="29317.27"/>
  </r>
  <r>
    <n v="1"/>
    <d v="2026-02-01T00:00:00"/>
    <x v="30"/>
    <s v="CZR01280"/>
    <x v="52"/>
    <s v="Economic &amp; Social Research Council"/>
    <n v="18172.93"/>
    <n v="210172922"/>
    <x v="2"/>
    <n v="18172.93"/>
    <n v="0"/>
  </r>
  <r>
    <n v="1"/>
    <d v="2026-02-01T00:00:00"/>
    <x v="31"/>
    <s v="DCR01480"/>
    <x v="57"/>
    <s v="Natural Environment Research Council"/>
    <n v="9219.9"/>
    <n v="210172923"/>
    <x v="2"/>
    <n v="0"/>
    <n v="9219.9"/>
  </r>
  <r>
    <n v="1"/>
    <d v="2026-02-01T00:00:00"/>
    <x v="4"/>
    <s v="DFR10780"/>
    <x v="18"/>
    <s v="National Institute for Health Research"/>
    <n v="40081.85"/>
    <n v="210172924"/>
    <x v="2"/>
    <n v="40081.85"/>
    <n v="0"/>
  </r>
  <r>
    <n v="1"/>
    <d v="2026-02-01T00:00:00"/>
    <x v="34"/>
    <s v="DJR02770"/>
    <x v="51"/>
    <s v="Engineering &amp; Physical Sciences Research Council"/>
    <n v="52716.31"/>
    <n v="210172925"/>
    <x v="2"/>
    <n v="52716.31"/>
    <n v="0"/>
  </r>
  <r>
    <n v="1"/>
    <d v="2026-02-01T00:00:00"/>
    <x v="35"/>
    <s v="DKR01260"/>
    <x v="59"/>
    <s v="Engineering &amp; Physical Sciences Research Council"/>
    <n v="1277.23"/>
    <n v="210172926"/>
    <x v="2"/>
    <n v="0"/>
    <n v="1277.23"/>
  </r>
  <r>
    <n v="1"/>
    <d v="2026-02-01T00:00:00"/>
    <x v="5"/>
    <s v="DMR02180"/>
    <x v="60"/>
    <s v="Engineering &amp; Physical Sciences Research Council"/>
    <n v="22894.79"/>
    <n v="210172927"/>
    <x v="2"/>
    <n v="0"/>
    <n v="22894.79"/>
  </r>
  <r>
    <n v="1"/>
    <d v="2026-02-01T00:00:00"/>
    <x v="6"/>
    <s v="DNR00793"/>
    <x v="42"/>
    <s v="Engineering &amp; Physical Sciences Research Council"/>
    <n v="43115.69"/>
    <n v="210172928"/>
    <x v="2"/>
    <n v="43115.69"/>
    <n v="0"/>
  </r>
  <r>
    <n v="1"/>
    <d v="2026-02-01T00:00:00"/>
    <x v="38"/>
    <s v="H5R02000"/>
    <x v="57"/>
    <s v="Medical Research Council"/>
    <n v="32314.37"/>
    <n v="210172929"/>
    <x v="2"/>
    <n v="0"/>
    <n v="32314.37"/>
  </r>
  <r>
    <n v="1"/>
    <d v="2026-02-01T00:00:00"/>
    <x v="40"/>
    <s v="HMR05420"/>
    <x v="152"/>
    <s v="BMA Foundation"/>
    <n v="114.14"/>
    <n v="210172930"/>
    <x v="2"/>
    <n v="114.14"/>
    <n v="0"/>
  </r>
  <r>
    <n v="1"/>
    <d v="2026-02-01T00:00:00"/>
    <x v="62"/>
    <s v="HNR03632"/>
    <x v="46"/>
    <s v="Coalition for Epidemic Preparedness Innovations"/>
    <n v="12431.55"/>
    <n v="210172932"/>
    <x v="2"/>
    <n v="0"/>
    <n v="12431.55"/>
  </r>
  <r>
    <n v="1"/>
    <d v="2026-02-01T00:00:00"/>
    <x v="41"/>
    <s v="HQR03230"/>
    <x v="18"/>
    <s v="Wellcome Trust"/>
    <n v="43571.24"/>
    <n v="210172933"/>
    <x v="2"/>
    <n v="0"/>
    <n v="43571.24"/>
  </r>
  <r>
    <n v="1"/>
    <d v="2026-02-01T00:00:00"/>
    <x v="42"/>
    <s v="M3R00860"/>
    <x v="51"/>
    <s v="Economic &amp; Social Research Council"/>
    <n v="29491.52"/>
    <n v="210172934"/>
    <x v="2"/>
    <n v="29491.52"/>
    <n v="0"/>
  </r>
  <r>
    <n v="1"/>
    <d v="2026-03-01T00:00:00"/>
    <x v="0"/>
    <s v="ACR01720"/>
    <x v="10"/>
    <s v="Natural State Ltd"/>
    <n v="76907.55"/>
    <n v="210173865"/>
    <x v="0"/>
    <n v="76907.55"/>
    <n v="0"/>
  </r>
  <r>
    <n v="1"/>
    <d v="2026-03-01T00:00:00"/>
    <x v="67"/>
    <s v="B8R00400"/>
    <x v="126"/>
    <s v="Advanced Research and Invention Agency (ARIA)"/>
    <n v="26250"/>
    <n v="210173866"/>
    <x v="0"/>
    <n v="0"/>
    <n v="26250"/>
  </r>
  <r>
    <n v="1"/>
    <d v="2026-03-01T00:00:00"/>
    <x v="1"/>
    <s v="BZR06920"/>
    <x v="4"/>
    <s v="National Institute for Health Research"/>
    <n v="2066.1799999999998"/>
    <n v="210173867"/>
    <x v="0"/>
    <n v="2066.1799999999998"/>
    <n v="0"/>
  </r>
  <r>
    <n v="1"/>
    <d v="2026-03-01T00:00:00"/>
    <x v="31"/>
    <s v="DCR01470"/>
    <x v="126"/>
    <s v="Advanced Research and Invention Agency (ARIA)"/>
    <n v="7500"/>
    <n v="210173868"/>
    <x v="0"/>
    <n v="0"/>
    <n v="7500"/>
  </r>
  <r>
    <n v="1"/>
    <d v="2026-03-01T00:00:00"/>
    <x v="4"/>
    <s v="DFR07330"/>
    <x v="73"/>
    <s v="Podium Analytics"/>
    <n v="1330301"/>
    <n v="210173869"/>
    <x v="0"/>
    <n v="1330301"/>
    <n v="0"/>
  </r>
  <r>
    <n v="1"/>
    <d v="2026-03-01T00:00:00"/>
    <x v="4"/>
    <s v="DFR08401"/>
    <x v="13"/>
    <s v="AWE Plc"/>
    <n v="3750.13"/>
    <n v="210173870"/>
    <x v="0"/>
    <n v="3750.13"/>
    <n v="0"/>
  </r>
  <r>
    <n v="1"/>
    <d v="2026-03-01T00:00:00"/>
    <x v="4"/>
    <s v="DFR11210"/>
    <x v="13"/>
    <s v="AWE Plc"/>
    <n v="8759.75"/>
    <n v="210173871"/>
    <x v="0"/>
    <n v="8759.75"/>
    <n v="0"/>
  </r>
  <r>
    <n v="1"/>
    <d v="2026-03-01T00:00:00"/>
    <x v="32"/>
    <s v="DGR02470"/>
    <x v="153"/>
    <s v="Three Cliffs Geomechanical Analysis Limited"/>
    <n v="25000"/>
    <n v="210173872"/>
    <x v="0"/>
    <n v="25000"/>
    <n v="0"/>
  </r>
  <r>
    <n v="1"/>
    <d v="2026-03-01T00:00:00"/>
    <x v="8"/>
    <s v="H7R01210"/>
    <x v="8"/>
    <s v="Diabetes UK"/>
    <n v="20750.990000000002"/>
    <n v="210173873"/>
    <x v="0"/>
    <n v="20750.990000000002"/>
    <n v="0"/>
  </r>
  <r>
    <n v="1"/>
    <d v="2026-03-01T00:00:00"/>
    <x v="8"/>
    <s v="H7R01240"/>
    <x v="8"/>
    <s v="Diabetes UK"/>
    <n v="29645.26"/>
    <n v="210173874"/>
    <x v="0"/>
    <n v="29645.26"/>
    <n v="0"/>
  </r>
  <r>
    <n v="1"/>
    <d v="2026-03-01T00:00:00"/>
    <x v="8"/>
    <s v="H7R01280"/>
    <x v="8"/>
    <s v="Diabetes UK"/>
    <n v="120455.35"/>
    <n v="210173875"/>
    <x v="0"/>
    <n v="120455.35"/>
    <n v="0"/>
  </r>
  <r>
    <n v="1"/>
    <d v="2026-03-01T00:00:00"/>
    <x v="11"/>
    <s v="HJR03560"/>
    <x v="154"/>
    <s v="Royal College of Surgeons of England"/>
    <n v="10000"/>
    <n v="210173876"/>
    <x v="0"/>
    <n v="10000"/>
    <n v="0"/>
  </r>
  <r>
    <n v="1"/>
    <d v="2026-03-01T00:00:00"/>
    <x v="40"/>
    <s v="HMR06920"/>
    <x v="155"/>
    <s v="TimeTrace Labs Ltd"/>
    <n v="165420"/>
    <n v="210173877"/>
    <x v="0"/>
    <n v="165420"/>
    <n v="0"/>
  </r>
  <r>
    <n v="1"/>
    <d v="2026-03-01T00:00:00"/>
    <x v="68"/>
    <s v="LER01710"/>
    <x v="156"/>
    <s v="Cabinet Office"/>
    <n v="22000"/>
    <n v="210173878"/>
    <x v="0"/>
    <n v="22000"/>
    <n v="0"/>
  </r>
  <r>
    <n v="1"/>
    <d v="2026-03-01T00:00:00"/>
    <x v="56"/>
    <s v="A3R00220"/>
    <x v="18"/>
    <s v="Medical Research Council"/>
    <n v="14004.82"/>
    <n v="210174012"/>
    <x v="2"/>
    <n v="14004.82"/>
    <n v="0"/>
  </r>
  <r>
    <n v="1"/>
    <d v="2026-03-01T00:00:00"/>
    <x v="48"/>
    <s v="A5R00340"/>
    <x v="18"/>
    <s v="Engineering &amp; Physical Sciences Research Council"/>
    <n v="12314.95"/>
    <n v="210174014"/>
    <x v="2"/>
    <n v="12314.95"/>
    <n v="0"/>
  </r>
  <r>
    <n v="1"/>
    <d v="2026-03-01T00:00:00"/>
    <x v="22"/>
    <s v="ALR02880"/>
    <x v="34"/>
    <s v="Medical Research Council"/>
    <n v="39252.400000000001"/>
    <n v="210174015"/>
    <x v="2"/>
    <n v="39252.400000000001"/>
    <n v="0"/>
  </r>
  <r>
    <n v="1"/>
    <d v="2026-03-01T00:00:00"/>
    <x v="24"/>
    <s v="AVR03530"/>
    <x v="83"/>
    <s v="Alzheimer's Research UK"/>
    <n v="17925.63"/>
    <n v="210174016"/>
    <x v="2"/>
    <n v="17925.63"/>
    <n v="0"/>
  </r>
  <r>
    <n v="1"/>
    <d v="2026-03-01T00:00:00"/>
    <x v="26"/>
    <s v="BKR02200"/>
    <x v="40"/>
    <s v="Office of Naval Research"/>
    <n v="5714.5"/>
    <n v="210174017"/>
    <x v="2"/>
    <n v="5714.5"/>
    <n v="0"/>
  </r>
  <r>
    <n v="1"/>
    <d v="2026-03-01T00:00:00"/>
    <x v="13"/>
    <s v="BLR03610"/>
    <x v="33"/>
    <s v="Natural Environment Research Council"/>
    <n v="3687.54"/>
    <n v="210174018"/>
    <x v="2"/>
    <n v="3687.54"/>
    <n v="0"/>
  </r>
  <r>
    <n v="1"/>
    <d v="2026-03-01T00:00:00"/>
    <x v="13"/>
    <s v="BLR03860"/>
    <x v="42"/>
    <s v="Engineering &amp; Physical Sciences Research Council"/>
    <n v="111045.32"/>
    <n v="210174019"/>
    <x v="2"/>
    <n v="111045.32"/>
    <n v="0"/>
  </r>
  <r>
    <n v="1"/>
    <d v="2026-03-01T00:00:00"/>
    <x v="1"/>
    <s v="BZR06150"/>
    <x v="44"/>
    <s v="Welsh Government"/>
    <n v="854.81"/>
    <n v="210174020"/>
    <x v="2"/>
    <n v="854.81"/>
    <n v="0"/>
  </r>
  <r>
    <n v="1"/>
    <d v="2026-03-01T00:00:00"/>
    <x v="1"/>
    <s v="BZR06870"/>
    <x v="46"/>
    <s v="National Institute for Health Research"/>
    <n v="1658.29"/>
    <n v="210174021"/>
    <x v="2"/>
    <n v="1658.29"/>
    <n v="0"/>
  </r>
  <r>
    <n v="1"/>
    <d v="2026-03-01T00:00:00"/>
    <x v="14"/>
    <s v="CBR01050"/>
    <x v="38"/>
    <s v="Biotechnology &amp; Biological Sciences Research Council"/>
    <n v="936.69"/>
    <n v="210174022"/>
    <x v="2"/>
    <n v="936.69"/>
    <n v="0"/>
  </r>
  <r>
    <n v="1"/>
    <d v="2026-03-01T00:00:00"/>
    <x v="60"/>
    <s v="CQR02460"/>
    <x v="125"/>
    <s v="Economic &amp; Social Research Council"/>
    <n v="2622.49"/>
    <n v="210174023"/>
    <x v="2"/>
    <n v="2622.49"/>
    <n v="0"/>
  </r>
  <r>
    <n v="1"/>
    <d v="2026-03-01T00:00:00"/>
    <x v="60"/>
    <s v="CQR03080"/>
    <x v="157"/>
    <s v="Wellcome Trust"/>
    <n v="2089.23"/>
    <n v="210174024"/>
    <x v="2"/>
    <n v="2089.23"/>
    <n v="0"/>
  </r>
  <r>
    <n v="1"/>
    <d v="2026-03-01T00:00:00"/>
    <x v="51"/>
    <s v="CSR00700"/>
    <x v="107"/>
    <s v="National Institute for Health Research"/>
    <n v="1613.99"/>
    <n v="210174025"/>
    <x v="2"/>
    <n v="1613.99"/>
    <n v="0"/>
  </r>
  <r>
    <n v="1"/>
    <d v="2026-03-01T00:00:00"/>
    <x v="29"/>
    <s v="CYR00620"/>
    <x v="52"/>
    <s v="Economic &amp; Social Research Council"/>
    <n v="997.5"/>
    <n v="210174026"/>
    <x v="2"/>
    <n v="997.5"/>
    <n v="0"/>
  </r>
  <r>
    <n v="1"/>
    <d v="2026-03-01T00:00:00"/>
    <x v="52"/>
    <s v="DBR01630"/>
    <x v="33"/>
    <s v="Science and Technology Facilities Council"/>
    <n v="5856.95"/>
    <n v="210174027"/>
    <x v="2"/>
    <n v="5856.95"/>
    <n v="0"/>
  </r>
  <r>
    <n v="1"/>
    <d v="2026-03-01T00:00:00"/>
    <x v="31"/>
    <s v="DCR01440"/>
    <x v="42"/>
    <s v="Wellcome Trust"/>
    <n v="14817.68"/>
    <n v="210174028"/>
    <x v="2"/>
    <n v="14817.68"/>
    <n v="0"/>
  </r>
  <r>
    <n v="1"/>
    <d v="2026-03-01T00:00:00"/>
    <x v="4"/>
    <s v="DFR10720"/>
    <x v="44"/>
    <s v="Wellcome Trust"/>
    <n v="10992.52"/>
    <n v="210174029"/>
    <x v="2"/>
    <n v="10992.52"/>
    <n v="0"/>
  </r>
  <r>
    <n v="1"/>
    <d v="2026-03-01T00:00:00"/>
    <x v="4"/>
    <s v="DFR10940"/>
    <x v="55"/>
    <s v="Engineering &amp; Physical Sciences Research Council"/>
    <n v="32853.919999999998"/>
    <n v="210174030"/>
    <x v="2"/>
    <n v="32853.919999999998"/>
    <n v="0"/>
  </r>
  <r>
    <n v="1"/>
    <d v="2026-03-01T00:00:00"/>
    <x v="4"/>
    <s v="DFR11380"/>
    <x v="126"/>
    <s v="Advanced Research and Invention Agency (ARIA)"/>
    <n v="11250"/>
    <n v="210174031"/>
    <x v="2"/>
    <n v="11250"/>
    <n v="0"/>
  </r>
  <r>
    <n v="1"/>
    <d v="2026-03-01T00:00:00"/>
    <x v="4"/>
    <s v="DFR11390"/>
    <x v="126"/>
    <s v="Advanced Research and Invention Agency (ARIA)"/>
    <n v="11250"/>
    <n v="210174032"/>
    <x v="2"/>
    <n v="11250"/>
    <n v="0"/>
  </r>
  <r>
    <n v="1"/>
    <d v="2026-03-01T00:00:00"/>
    <x v="32"/>
    <s v="DGR02000"/>
    <x v="34"/>
    <s v="Natural Environment Research Council"/>
    <n v="1083.08"/>
    <n v="210174033"/>
    <x v="2"/>
    <n v="1083.08"/>
    <n v="0"/>
  </r>
  <r>
    <n v="1"/>
    <d v="2026-03-01T00:00:00"/>
    <x v="32"/>
    <s v="DGR02250"/>
    <x v="42"/>
    <s v="Engineering &amp; Physical Sciences Research Council"/>
    <n v="2872.24"/>
    <n v="210174034"/>
    <x v="2"/>
    <n v="2872.24"/>
    <n v="0"/>
  </r>
  <r>
    <n v="1"/>
    <d v="2026-03-01T00:00:00"/>
    <x v="34"/>
    <s v="DJR02620"/>
    <x v="57"/>
    <s v="Engineering &amp; Physical Sciences Research Council"/>
    <n v="30258.66"/>
    <n v="210174035"/>
    <x v="2"/>
    <n v="30258.66"/>
    <n v="0"/>
  </r>
  <r>
    <n v="1"/>
    <d v="2026-03-01T00:00:00"/>
    <x v="34"/>
    <s v="DJR03190"/>
    <x v="58"/>
    <s v="Engineering &amp; Physical Sciences Research Council"/>
    <n v="532.20000000000005"/>
    <n v="210174036"/>
    <x v="2"/>
    <n v="532.20000000000005"/>
    <n v="0"/>
  </r>
  <r>
    <n v="1"/>
    <d v="2026-03-01T00:00:00"/>
    <x v="5"/>
    <s v="DMR02520"/>
    <x v="127"/>
    <s v="University of Oslo"/>
    <n v="357.12"/>
    <n v="210174037"/>
    <x v="2"/>
    <n v="357.12"/>
    <n v="0"/>
  </r>
  <r>
    <n v="1"/>
    <d v="2026-03-01T00:00:00"/>
    <x v="7"/>
    <s v="EPR02250"/>
    <x v="52"/>
    <s v="Nuffield Foundation"/>
    <n v="1387.87"/>
    <n v="210174038"/>
    <x v="2"/>
    <n v="1387.87"/>
    <n v="0"/>
  </r>
  <r>
    <n v="1"/>
    <d v="2026-03-01T00:00:00"/>
    <x v="37"/>
    <s v="H4R03130"/>
    <x v="61"/>
    <s v="National Institute for Health Research"/>
    <n v="21318.48"/>
    <n v="210174039"/>
    <x v="2"/>
    <n v="21318.48"/>
    <n v="0"/>
  </r>
  <r>
    <n v="1"/>
    <d v="2026-03-01T00:00:00"/>
    <x v="58"/>
    <s v="HER01940"/>
    <x v="18"/>
    <s v="National Institute for Health Research"/>
    <n v="3627.8"/>
    <n v="210174040"/>
    <x v="2"/>
    <n v="3627.8"/>
    <n v="0"/>
  </r>
  <r>
    <n v="1"/>
    <d v="2026-03-01T00:00:00"/>
    <x v="10"/>
    <s v="HFR05580"/>
    <x v="33"/>
    <s v="National Institute for Health Research"/>
    <n v="3905.25"/>
    <n v="210174041"/>
    <x v="2"/>
    <n v="3905.25"/>
    <n v="0"/>
  </r>
  <r>
    <n v="1"/>
    <d v="2026-03-01T00:00:00"/>
    <x v="10"/>
    <s v="HFR06220"/>
    <x v="104"/>
    <s v="National Institute for Health Research"/>
    <n v="53134.98"/>
    <n v="210174042"/>
    <x v="2"/>
    <n v="53134.98"/>
    <n v="0"/>
  </r>
  <r>
    <n v="1"/>
    <d v="2026-03-01T00:00:00"/>
    <x v="10"/>
    <s v="HFR06500"/>
    <x v="93"/>
    <s v="Health Data Research UK"/>
    <n v="91570.16"/>
    <n v="210174043"/>
    <x v="2"/>
    <n v="91570.16"/>
    <n v="0"/>
  </r>
  <r>
    <n v="1"/>
    <d v="2026-03-01T00:00:00"/>
    <x v="10"/>
    <s v="HFR07050"/>
    <x v="94"/>
    <s v="National Institute for Health Research"/>
    <n v="28015"/>
    <n v="210174044"/>
    <x v="2"/>
    <n v="28015"/>
    <n v="0"/>
  </r>
  <r>
    <n v="1"/>
    <d v="2026-03-01T00:00:00"/>
    <x v="11"/>
    <s v="HJR03300"/>
    <x v="51"/>
    <s v="Cancer Research UK"/>
    <n v="29916.47"/>
    <n v="210174045"/>
    <x v="2"/>
    <n v="29916.47"/>
    <n v="0"/>
  </r>
  <r>
    <n v="1"/>
    <d v="2026-03-01T00:00:00"/>
    <x v="40"/>
    <s v="HMR05120"/>
    <x v="18"/>
    <s v="Wellcome Trust"/>
    <n v="501.69"/>
    <n v="210174046"/>
    <x v="2"/>
    <n v="501.69"/>
    <n v="0"/>
  </r>
  <r>
    <n v="1"/>
    <d v="2026-03-01T00:00:00"/>
    <x v="40"/>
    <s v="HMR05420"/>
    <x v="152"/>
    <s v="BMA Foundation"/>
    <n v="1061.27"/>
    <n v="210174047"/>
    <x v="2"/>
    <n v="1061.27"/>
    <n v="0"/>
  </r>
  <r>
    <n v="1"/>
    <d v="2026-03-01T00:00:00"/>
    <x v="40"/>
    <s v="HMR06020"/>
    <x v="64"/>
    <s v="Stroke Association"/>
    <n v="15381.64"/>
    <n v="210174048"/>
    <x v="2"/>
    <n v="15381.64"/>
    <n v="0"/>
  </r>
  <r>
    <n v="1"/>
    <d v="2026-03-01T00:00:00"/>
    <x v="40"/>
    <s v="HMR06590"/>
    <x v="128"/>
    <s v="University of Minnesota"/>
    <n v="25976.25"/>
    <n v="210174049"/>
    <x v="2"/>
    <n v="25976.25"/>
    <n v="0"/>
  </r>
  <r>
    <n v="1"/>
    <d v="2026-03-01T00:00:00"/>
    <x v="62"/>
    <s v="HNR03530"/>
    <x v="88"/>
    <s v="Medical Research Council"/>
    <n v="11.05"/>
    <n v="210174050"/>
    <x v="2"/>
    <n v="11.05"/>
    <n v="0"/>
  </r>
  <r>
    <n v="1"/>
    <d v="2026-03-01T00:00:00"/>
    <x v="62"/>
    <s v="HNR03632"/>
    <x v="46"/>
    <s v="Coalition for Epidemic Preparedness Innovations"/>
    <n v="15224.24"/>
    <n v="210174051"/>
    <x v="2"/>
    <n v="15224.24"/>
    <n v="0"/>
  </r>
  <r>
    <n v="1"/>
    <d v="2026-03-01T00:00:00"/>
    <x v="41"/>
    <s v="HQR03410"/>
    <x v="83"/>
    <s v="Alzheimer's Research UK"/>
    <n v="9363.6299999999992"/>
    <n v="210174052"/>
    <x v="2"/>
    <n v="9363.629999999999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6770A-9448-47F3-B003-C0E5E25F5376}" name="PivotTable1" cacheId="4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M2:P72" firstHeaderRow="1" firstDataRow="2" firstDataCol="1"/>
  <pivotFields count="11">
    <pivotField dataField="1" showAll="0"/>
    <pivotField numFmtId="17" showAll="0"/>
    <pivotField axis="axisRow" showAll="0" sortType="descending">
      <items count="93">
        <item x="0"/>
        <item x="20"/>
        <item x="21"/>
        <item x="43"/>
        <item x="22"/>
        <item x="57"/>
        <item m="1" x="75"/>
        <item x="23"/>
        <item m="1" x="73"/>
        <item x="24"/>
        <item x="44"/>
        <item m="1" x="69"/>
        <item x="67"/>
        <item x="49"/>
        <item x="59"/>
        <item x="26"/>
        <item x="13"/>
        <item x="50"/>
        <item x="27"/>
        <item x="45"/>
        <item x="1"/>
        <item m="1" x="85"/>
        <item x="2"/>
        <item x="28"/>
        <item m="1" x="74"/>
        <item x="60"/>
        <item m="1" x="82"/>
        <item x="51"/>
        <item m="1" x="72"/>
        <item x="15"/>
        <item x="30"/>
        <item x="52"/>
        <item x="31"/>
        <item x="4"/>
        <item x="32"/>
        <item x="33"/>
        <item x="34"/>
        <item x="35"/>
        <item x="5"/>
        <item x="6"/>
        <item x="47"/>
        <item x="53"/>
        <item x="54"/>
        <item x="64"/>
        <item x="7"/>
        <item m="1" x="88"/>
        <item m="1" x="81"/>
        <item x="37"/>
        <item x="38"/>
        <item x="39"/>
        <item x="8"/>
        <item m="1" x="91"/>
        <item m="1" x="84"/>
        <item x="17"/>
        <item x="9"/>
        <item x="58"/>
        <item x="10"/>
        <item m="1" x="87"/>
        <item x="11"/>
        <item x="40"/>
        <item x="62"/>
        <item x="41"/>
        <item m="1" x="89"/>
        <item x="12"/>
        <item x="61"/>
        <item x="68"/>
        <item x="25"/>
        <item x="18"/>
        <item m="1" x="79"/>
        <item x="16"/>
        <item x="63"/>
        <item m="1" x="70"/>
        <item x="29"/>
        <item m="1" x="78"/>
        <item m="1" x="90"/>
        <item m="1" x="71"/>
        <item x="14"/>
        <item x="66"/>
        <item m="1" x="86"/>
        <item m="1" x="83"/>
        <item x="55"/>
        <item m="1" x="77"/>
        <item x="65"/>
        <item x="56"/>
        <item m="1" x="80"/>
        <item m="1" x="76"/>
        <item x="46"/>
        <item x="19"/>
        <item x="42"/>
        <item x="48"/>
        <item x="3"/>
        <item x="3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3" showAll="0"/>
    <pivotField showAll="0"/>
    <pivotField axis="axisCol" showAll="0">
      <items count="5">
        <item x="1"/>
        <item x="0"/>
        <item x="2"/>
        <item m="1" x="3"/>
        <item t="default"/>
      </items>
    </pivotField>
    <pivotField showAll="0"/>
    <pivotField numFmtId="43" showAll="0"/>
  </pivotFields>
  <rowFields count="1">
    <field x="2"/>
  </rowFields>
  <rowItems count="69">
    <i>
      <x v="20"/>
    </i>
    <i>
      <x v="33"/>
    </i>
    <i>
      <x v="59"/>
    </i>
    <i>
      <x v="56"/>
    </i>
    <i>
      <x v="58"/>
    </i>
    <i>
      <x v="61"/>
    </i>
    <i>
      <x v="9"/>
    </i>
    <i>
      <x v="76"/>
    </i>
    <i>
      <x v="50"/>
    </i>
    <i>
      <x v="36"/>
    </i>
    <i>
      <x v="47"/>
    </i>
    <i>
      <x v="10"/>
    </i>
    <i>
      <x v="53"/>
    </i>
    <i>
      <x v="16"/>
    </i>
    <i>
      <x v="13"/>
    </i>
    <i>
      <x v="32"/>
    </i>
    <i>
      <x v="4"/>
    </i>
    <i>
      <x v="31"/>
    </i>
    <i>
      <x v="38"/>
    </i>
    <i>
      <x v="34"/>
    </i>
    <i>
      <x v="39"/>
    </i>
    <i>
      <x v="35"/>
    </i>
    <i>
      <x v="23"/>
    </i>
    <i>
      <x v="42"/>
    </i>
    <i>
      <x v="49"/>
    </i>
    <i>
      <x v="72"/>
    </i>
    <i>
      <x v="89"/>
    </i>
    <i>
      <x v="44"/>
    </i>
    <i>
      <x v="60"/>
    </i>
    <i>
      <x v="37"/>
    </i>
    <i>
      <x v="67"/>
    </i>
    <i>
      <x v="90"/>
    </i>
    <i>
      <x v="80"/>
    </i>
    <i>
      <x v="30"/>
    </i>
    <i>
      <x v="88"/>
    </i>
    <i>
      <x v="27"/>
    </i>
    <i>
      <x v="2"/>
    </i>
    <i>
      <x v="3"/>
    </i>
    <i>
      <x v="18"/>
    </i>
    <i>
      <x v="15"/>
    </i>
    <i>
      <x v="83"/>
    </i>
    <i>
      <x v="66"/>
    </i>
    <i>
      <x v="19"/>
    </i>
    <i>
      <x v="29"/>
    </i>
    <i>
      <x v="55"/>
    </i>
    <i>
      <x v="48"/>
    </i>
    <i>
      <x v="25"/>
    </i>
    <i>
      <x v="22"/>
    </i>
    <i>
      <x/>
    </i>
    <i>
      <x v="86"/>
    </i>
    <i>
      <x v="1"/>
    </i>
    <i>
      <x v="87"/>
    </i>
    <i>
      <x v="17"/>
    </i>
    <i>
      <x v="14"/>
    </i>
    <i>
      <x v="5"/>
    </i>
    <i>
      <x v="91"/>
    </i>
    <i>
      <x v="65"/>
    </i>
    <i>
      <x v="70"/>
    </i>
    <i>
      <x v="54"/>
    </i>
    <i>
      <x v="7"/>
    </i>
    <i>
      <x v="64"/>
    </i>
    <i>
      <x v="12"/>
    </i>
    <i>
      <x v="43"/>
    </i>
    <i>
      <x v="77"/>
    </i>
    <i>
      <x v="69"/>
    </i>
    <i>
      <x v="63"/>
    </i>
    <i>
      <x v="82"/>
    </i>
    <i>
      <x v="40"/>
    </i>
    <i>
      <x v="41"/>
    </i>
  </rowItems>
  <colFields count="1">
    <field x="8"/>
  </colFields>
  <colItems count="3">
    <i>
      <x/>
    </i>
    <i>
      <x v="1"/>
    </i>
    <i>
      <x v="2"/>
    </i>
  </colItems>
  <dataFields count="1">
    <dataField name="Sum of ID" fld="0" baseField="0" baseItem="0"/>
  </dataFields>
  <formats count="65">
    <format dxfId="351">
      <pivotArea type="all" dataOnly="0" outline="0" fieldPosition="0"/>
    </format>
    <format dxfId="350">
      <pivotArea field="2" type="button" dataOnly="0" labelOnly="1" outline="0" axis="axisRow" fieldPosition="0"/>
    </format>
    <format dxfId="34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8">
      <pivotArea dataOnly="0" labelOnly="1" fieldPosition="0">
        <references count="1">
          <reference field="2" count="16">
            <x v="50"/>
            <x v="51"/>
            <x v="52"/>
            <x v="53"/>
            <x v="54"/>
            <x v="55"/>
            <x v="56"/>
            <x v="57"/>
            <x v="58"/>
            <x v="59"/>
            <x v="60"/>
            <x v="61"/>
            <x v="62"/>
            <x v="63"/>
            <x v="64"/>
            <x v="65"/>
          </reference>
        </references>
      </pivotArea>
    </format>
    <format dxfId="347">
      <pivotArea dataOnly="0" labelOnly="1" grandRow="1" outline="0" fieldPosition="0"/>
    </format>
    <format dxfId="346">
      <pivotArea dataOnly="0" labelOnly="1" outline="0" axis="axisValues" fieldPosition="0"/>
    </format>
    <format dxfId="345">
      <pivotArea type="all" dataOnly="0" outline="0" fieldPosition="0"/>
    </format>
    <format dxfId="344">
      <pivotArea field="2" type="button" dataOnly="0" labelOnly="1" outline="0" axis="axisRow" fieldPosition="0"/>
    </format>
    <format dxfId="343">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2">
      <pivotArea dataOnly="0" labelOnly="1" fieldPosition="0">
        <references count="1">
          <reference field="2" count="16">
            <x v="50"/>
            <x v="51"/>
            <x v="52"/>
            <x v="53"/>
            <x v="54"/>
            <x v="55"/>
            <x v="56"/>
            <x v="57"/>
            <x v="58"/>
            <x v="59"/>
            <x v="60"/>
            <x v="61"/>
            <x v="62"/>
            <x v="63"/>
            <x v="64"/>
            <x v="65"/>
          </reference>
        </references>
      </pivotArea>
    </format>
    <format dxfId="341">
      <pivotArea dataOnly="0" labelOnly="1" grandRow="1" outline="0" fieldPosition="0"/>
    </format>
    <format dxfId="340">
      <pivotArea dataOnly="0" labelOnly="1" outline="0" axis="axisValues" fieldPosition="0"/>
    </format>
    <format dxfId="339">
      <pivotArea field="2" type="button" dataOnly="0" labelOnly="1" outline="0" axis="axisRow" fieldPosition="0"/>
    </format>
    <format dxfId="338">
      <pivotArea dataOnly="0" labelOnly="1" outline="0" axis="axisValues" fieldPosition="0"/>
    </format>
    <format dxfId="337">
      <pivotArea field="2" type="button" dataOnly="0" labelOnly="1" outline="0" axis="axisRow" fieldPosition="0"/>
    </format>
    <format dxfId="336">
      <pivotArea dataOnly="0" labelOnly="1" outline="0" axis="axisValues" fieldPosition="0"/>
    </format>
    <format dxfId="335">
      <pivotArea field="2" type="button" dataOnly="0" labelOnly="1" outline="0" axis="axisRow" fieldPosition="0"/>
    </format>
    <format dxfId="334">
      <pivotArea dataOnly="0" labelOnly="1" outline="0" axis="axisValues" fieldPosition="0"/>
    </format>
    <format dxfId="333">
      <pivotArea field="2" type="button" dataOnly="0" labelOnly="1" outline="0" axis="axisRow" fieldPosition="0"/>
    </format>
    <format dxfId="332">
      <pivotArea dataOnly="0" labelOnly="1" outline="0" axis="axisValues" fieldPosition="0"/>
    </format>
    <format dxfId="331">
      <pivotArea type="origin" dataOnly="0" labelOnly="1" outline="0" fieldPosition="0"/>
    </format>
    <format dxfId="330">
      <pivotArea field="8" type="button" dataOnly="0" labelOnly="1" outline="0" axis="axisCol" fieldPosition="0"/>
    </format>
    <format dxfId="329">
      <pivotArea type="topRight" dataOnly="0" labelOnly="1" outline="0" fieldPosition="0"/>
    </format>
    <format dxfId="328">
      <pivotArea field="2" type="button" dataOnly="0" labelOnly="1" outline="0" axis="axisRow" fieldPosition="0"/>
    </format>
    <format dxfId="327">
      <pivotArea dataOnly="0" labelOnly="1" fieldPosition="0">
        <references count="1">
          <reference field="8" count="0"/>
        </references>
      </pivotArea>
    </format>
    <format dxfId="326">
      <pivotArea dataOnly="0" labelOnly="1" grandCol="1" outline="0" fieldPosition="0"/>
    </format>
    <format dxfId="325">
      <pivotArea type="origin" dataOnly="0" labelOnly="1" outline="0" fieldPosition="0"/>
    </format>
    <format dxfId="324">
      <pivotArea field="8" type="button" dataOnly="0" labelOnly="1" outline="0" axis="axisCol" fieldPosition="0"/>
    </format>
    <format dxfId="323">
      <pivotArea type="topRight" dataOnly="0" labelOnly="1" outline="0" fieldPosition="0"/>
    </format>
    <format dxfId="322">
      <pivotArea field="2" type="button" dataOnly="0" labelOnly="1" outline="0" axis="axisRow" fieldPosition="0"/>
    </format>
    <format dxfId="321">
      <pivotArea dataOnly="0" labelOnly="1" fieldPosition="0">
        <references count="1">
          <reference field="8" count="0"/>
        </references>
      </pivotArea>
    </format>
    <format dxfId="320">
      <pivotArea dataOnly="0" labelOnly="1" grandCol="1" outline="0" fieldPosition="0"/>
    </format>
    <format dxfId="319">
      <pivotArea type="origin" dataOnly="0" labelOnly="1" outline="0" fieldPosition="0"/>
    </format>
    <format dxfId="318">
      <pivotArea field="8" type="button" dataOnly="0" labelOnly="1" outline="0" axis="axisCol" fieldPosition="0"/>
    </format>
    <format dxfId="317">
      <pivotArea type="topRight" dataOnly="0" labelOnly="1" outline="0" fieldPosition="0"/>
    </format>
    <format dxfId="316">
      <pivotArea field="2" type="button" dataOnly="0" labelOnly="1" outline="0" axis="axisRow" fieldPosition="0"/>
    </format>
    <format dxfId="315">
      <pivotArea dataOnly="0" labelOnly="1" fieldPosition="0">
        <references count="1">
          <reference field="8" count="0"/>
        </references>
      </pivotArea>
    </format>
    <format dxfId="314">
      <pivotArea dataOnly="0" labelOnly="1" grandCol="1" outline="0" fieldPosition="0"/>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8" type="button" dataOnly="0" labelOnly="1" outline="0" axis="axisCol" fieldPosition="0"/>
    </format>
    <format dxfId="309">
      <pivotArea type="topRight" dataOnly="0" labelOnly="1" outline="0" fieldPosition="0"/>
    </format>
    <format dxfId="308">
      <pivotArea field="2" type="button" dataOnly="0" labelOnly="1" outline="0" axis="axisRow" fieldPosition="0"/>
    </format>
    <format dxfId="307">
      <pivotArea dataOnly="0" labelOnly="1" fieldPosition="0">
        <references count="1">
          <reference field="2" count="50">
            <x v="0"/>
            <x v="1"/>
            <x v="2"/>
            <x v="3"/>
            <x v="5"/>
            <x v="6"/>
            <x v="8"/>
            <x v="9"/>
            <x v="10"/>
            <x v="11"/>
            <x v="13"/>
            <x v="14"/>
            <x v="15"/>
            <x v="16"/>
            <x v="17"/>
            <x v="18"/>
            <x v="19"/>
            <x v="20"/>
            <x v="22"/>
            <x v="23"/>
            <x v="25"/>
            <x v="29"/>
            <x v="30"/>
            <x v="32"/>
            <x v="33"/>
            <x v="34"/>
            <x v="35"/>
            <x v="36"/>
            <x v="37"/>
            <x v="38"/>
            <x v="39"/>
            <x v="42"/>
            <x v="43"/>
            <x v="44"/>
            <x v="45"/>
            <x v="47"/>
            <x v="48"/>
            <x v="49"/>
            <x v="50"/>
            <x v="53"/>
            <x v="55"/>
            <x v="56"/>
            <x v="58"/>
            <x v="59"/>
            <x v="60"/>
            <x v="61"/>
            <x v="64"/>
            <x v="70"/>
            <x v="71"/>
            <x v="72"/>
          </reference>
        </references>
      </pivotArea>
    </format>
    <format dxfId="306">
      <pivotArea dataOnly="0" labelOnly="1" fieldPosition="0">
        <references count="1">
          <reference field="2" count="18">
            <x v="4"/>
            <x v="7"/>
            <x v="21"/>
            <x v="24"/>
            <x v="27"/>
            <x v="28"/>
            <x v="40"/>
            <x v="41"/>
            <x v="51"/>
            <x v="63"/>
            <x v="65"/>
            <x v="67"/>
            <x v="68"/>
            <x v="69"/>
            <x v="73"/>
            <x v="74"/>
            <x v="75"/>
            <x v="76"/>
          </reference>
        </references>
      </pivotArea>
    </format>
    <format dxfId="305">
      <pivotArea dataOnly="0" labelOnly="1" fieldPosition="0">
        <references count="1">
          <reference field="8" count="0"/>
        </references>
      </pivotArea>
    </format>
    <format dxfId="304">
      <pivotArea type="all" dataOnly="0" outline="0" fieldPosition="0"/>
    </format>
    <format dxfId="303">
      <pivotArea outline="0" collapsedLevelsAreSubtotals="1" fieldPosition="0"/>
    </format>
    <format dxfId="302">
      <pivotArea type="origin" dataOnly="0" labelOnly="1" outline="0" fieldPosition="0"/>
    </format>
    <format dxfId="301">
      <pivotArea field="8" type="button" dataOnly="0" labelOnly="1" outline="0" axis="axisCol" fieldPosition="0"/>
    </format>
    <format dxfId="300">
      <pivotArea type="topRight" dataOnly="0" labelOnly="1" outline="0" fieldPosition="0"/>
    </format>
    <format dxfId="299">
      <pivotArea field="2" type="button" dataOnly="0" labelOnly="1" outline="0" axis="axisRow" fieldPosition="0"/>
    </format>
    <format dxfId="298">
      <pivotArea dataOnly="0" labelOnly="1" fieldPosition="0">
        <references count="1">
          <reference field="2" count="50">
            <x v="0"/>
            <x v="1"/>
            <x v="2"/>
            <x v="3"/>
            <x v="5"/>
            <x v="6"/>
            <x v="8"/>
            <x v="9"/>
            <x v="10"/>
            <x v="11"/>
            <x v="13"/>
            <x v="14"/>
            <x v="15"/>
            <x v="16"/>
            <x v="17"/>
            <x v="18"/>
            <x v="19"/>
            <x v="20"/>
            <x v="22"/>
            <x v="23"/>
            <x v="25"/>
            <x v="29"/>
            <x v="30"/>
            <x v="32"/>
            <x v="33"/>
            <x v="34"/>
            <x v="35"/>
            <x v="36"/>
            <x v="37"/>
            <x v="38"/>
            <x v="39"/>
            <x v="42"/>
            <x v="43"/>
            <x v="44"/>
            <x v="45"/>
            <x v="47"/>
            <x v="48"/>
            <x v="49"/>
            <x v="50"/>
            <x v="53"/>
            <x v="55"/>
            <x v="56"/>
            <x v="58"/>
            <x v="59"/>
            <x v="60"/>
            <x v="61"/>
            <x v="64"/>
            <x v="70"/>
            <x v="71"/>
            <x v="72"/>
          </reference>
        </references>
      </pivotArea>
    </format>
    <format dxfId="297">
      <pivotArea dataOnly="0" labelOnly="1" fieldPosition="0">
        <references count="1">
          <reference field="2" count="18">
            <x v="4"/>
            <x v="7"/>
            <x v="21"/>
            <x v="24"/>
            <x v="27"/>
            <x v="28"/>
            <x v="40"/>
            <x v="41"/>
            <x v="51"/>
            <x v="63"/>
            <x v="65"/>
            <x v="67"/>
            <x v="68"/>
            <x v="69"/>
            <x v="73"/>
            <x v="74"/>
            <x v="75"/>
            <x v="76"/>
          </reference>
        </references>
      </pivotArea>
    </format>
    <format dxfId="296">
      <pivotArea dataOnly="0" labelOnly="1" fieldPosition="0">
        <references count="1">
          <reference field="8" count="0"/>
        </references>
      </pivotArea>
    </format>
    <format dxfId="295">
      <pivotArea type="all" dataOnly="0" outline="0" fieldPosition="0"/>
    </format>
    <format dxfId="294">
      <pivotArea outline="0" collapsedLevelsAreSubtotals="1" fieldPosition="0"/>
    </format>
    <format dxfId="293">
      <pivotArea type="origin" dataOnly="0" labelOnly="1" outline="0" fieldPosition="0"/>
    </format>
    <format dxfId="292">
      <pivotArea field="8" type="button" dataOnly="0" labelOnly="1" outline="0" axis="axisCol" fieldPosition="0"/>
    </format>
    <format dxfId="291">
      <pivotArea type="topRight" dataOnly="0" labelOnly="1" outline="0" fieldPosition="0"/>
    </format>
    <format dxfId="290">
      <pivotArea field="2" type="button" dataOnly="0" labelOnly="1" outline="0" axis="axisRow" fieldPosition="0"/>
    </format>
    <format dxfId="289">
      <pivotArea dataOnly="0" labelOnly="1" fieldPosition="0">
        <references count="1">
          <reference field="2" count="50">
            <x v="0"/>
            <x v="1"/>
            <x v="2"/>
            <x v="3"/>
            <x v="5"/>
            <x v="6"/>
            <x v="8"/>
            <x v="9"/>
            <x v="10"/>
            <x v="11"/>
            <x v="13"/>
            <x v="14"/>
            <x v="15"/>
            <x v="16"/>
            <x v="17"/>
            <x v="18"/>
            <x v="19"/>
            <x v="20"/>
            <x v="22"/>
            <x v="23"/>
            <x v="25"/>
            <x v="29"/>
            <x v="30"/>
            <x v="32"/>
            <x v="33"/>
            <x v="34"/>
            <x v="35"/>
            <x v="36"/>
            <x v="37"/>
            <x v="38"/>
            <x v="39"/>
            <x v="42"/>
            <x v="43"/>
            <x v="44"/>
            <x v="45"/>
            <x v="47"/>
            <x v="48"/>
            <x v="49"/>
            <x v="50"/>
            <x v="53"/>
            <x v="55"/>
            <x v="56"/>
            <x v="58"/>
            <x v="59"/>
            <x v="60"/>
            <x v="61"/>
            <x v="64"/>
            <x v="70"/>
            <x v="71"/>
            <x v="72"/>
          </reference>
        </references>
      </pivotArea>
    </format>
    <format dxfId="288">
      <pivotArea dataOnly="0" labelOnly="1" fieldPosition="0">
        <references count="1">
          <reference field="2" count="18">
            <x v="4"/>
            <x v="7"/>
            <x v="21"/>
            <x v="24"/>
            <x v="27"/>
            <x v="28"/>
            <x v="40"/>
            <x v="41"/>
            <x v="51"/>
            <x v="63"/>
            <x v="65"/>
            <x v="67"/>
            <x v="68"/>
            <x v="69"/>
            <x v="73"/>
            <x v="74"/>
            <x v="75"/>
            <x v="76"/>
          </reference>
        </references>
      </pivotArea>
    </format>
    <format dxfId="287">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4489D-C922-417B-BC44-A8C985F40036}" name="PivotTable1" cacheId="4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K2:L21" firstHeaderRow="1" firstDataRow="1" firstDataCol="1"/>
  <pivotFields count="11">
    <pivotField showAll="0"/>
    <pivotField numFmtId="17" showAll="0"/>
    <pivotField showAll="0">
      <items count="93">
        <item x="0"/>
        <item x="20"/>
        <item x="21"/>
        <item x="43"/>
        <item x="22"/>
        <item x="57"/>
        <item m="1" x="75"/>
        <item x="23"/>
        <item m="1" x="73"/>
        <item x="24"/>
        <item x="44"/>
        <item m="1" x="69"/>
        <item x="67"/>
        <item x="49"/>
        <item x="59"/>
        <item x="26"/>
        <item x="13"/>
        <item x="50"/>
        <item x="27"/>
        <item x="45"/>
        <item x="1"/>
        <item m="1" x="85"/>
        <item x="2"/>
        <item x="28"/>
        <item m="1" x="74"/>
        <item x="60"/>
        <item m="1" x="82"/>
        <item x="51"/>
        <item m="1" x="72"/>
        <item x="15"/>
        <item x="30"/>
        <item x="52"/>
        <item x="31"/>
        <item x="4"/>
        <item x="32"/>
        <item x="33"/>
        <item x="34"/>
        <item x="35"/>
        <item x="5"/>
        <item x="6"/>
        <item x="47"/>
        <item x="53"/>
        <item x="54"/>
        <item x="64"/>
        <item x="7"/>
        <item m="1" x="88"/>
        <item m="1" x="81"/>
        <item x="37"/>
        <item x="38"/>
        <item x="39"/>
        <item x="8"/>
        <item m="1" x="91"/>
        <item m="1" x="84"/>
        <item x="17"/>
        <item x="9"/>
        <item x="58"/>
        <item x="10"/>
        <item m="1" x="87"/>
        <item x="11"/>
        <item x="40"/>
        <item x="62"/>
        <item x="41"/>
        <item m="1" x="89"/>
        <item x="12"/>
        <item x="61"/>
        <item x="68"/>
        <item x="25"/>
        <item x="18"/>
        <item m="1" x="79"/>
        <item x="16"/>
        <item x="63"/>
        <item m="1" x="70"/>
        <item x="29"/>
        <item m="1" x="78"/>
        <item m="1" x="90"/>
        <item m="1" x="71"/>
        <item x="14"/>
        <item x="66"/>
        <item m="1" x="86"/>
        <item m="1" x="83"/>
        <item x="55"/>
        <item m="1" x="77"/>
        <item x="65"/>
        <item x="56"/>
        <item m="1" x="80"/>
        <item m="1" x="76"/>
        <item x="46"/>
        <item x="19"/>
        <item x="42"/>
        <item x="48"/>
        <item x="3"/>
        <item x="36"/>
        <item t="default"/>
      </items>
    </pivotField>
    <pivotField showAll="0"/>
    <pivotField axis="axisRow" showAll="0">
      <items count="544">
        <item m="1" x="513"/>
        <item x="72"/>
        <item m="1" x="444"/>
        <item x="83"/>
        <item x="37"/>
        <item m="1" x="406"/>
        <item m="1" x="422"/>
        <item m="1" x="266"/>
        <item x="13"/>
        <item m="1" x="542"/>
        <item m="1" x="331"/>
        <item m="1" x="363"/>
        <item m="1" x="452"/>
        <item m="1" x="510"/>
        <item m="1" x="219"/>
        <item m="1" x="299"/>
        <item m="1" x="488"/>
        <item m="1" x="280"/>
        <item x="44"/>
        <item x="22"/>
        <item m="1" x="279"/>
        <item m="1" x="425"/>
        <item m="1" x="490"/>
        <item x="21"/>
        <item m="1" x="427"/>
        <item m="1" x="445"/>
        <item m="1" x="486"/>
        <item m="1" x="433"/>
        <item x="106"/>
        <item m="1" x="160"/>
        <item x="8"/>
        <item m="1" x="539"/>
        <item m="1" x="340"/>
        <item m="1" x="439"/>
        <item m="1" x="541"/>
        <item m="1" x="231"/>
        <item m="1" x="380"/>
        <item m="1" x="475"/>
        <item x="65"/>
        <item m="1" x="223"/>
        <item m="1" x="401"/>
        <item m="1" x="434"/>
        <item m="1" x="407"/>
        <item m="1" x="293"/>
        <item x="1"/>
        <item m="1" x="291"/>
        <item m="1" x="301"/>
        <item m="1" x="509"/>
        <item m="1" x="345"/>
        <item x="108"/>
        <item m="1" x="494"/>
        <item m="1" x="235"/>
        <item m="1" x="405"/>
        <item m="1" x="381"/>
        <item m="1" x="397"/>
        <item x="145"/>
        <item m="1" x="396"/>
        <item m="1" x="394"/>
        <item m="1" x="263"/>
        <item m="1" x="522"/>
        <item m="1" x="368"/>
        <item m="1" x="164"/>
        <item m="1" x="419"/>
        <item m="1" x="459"/>
        <item m="1" x="326"/>
        <item m="1" x="163"/>
        <item m="1" x="195"/>
        <item x="32"/>
        <item x="60"/>
        <item m="1" x="458"/>
        <item m="1" x="165"/>
        <item x="150"/>
        <item m="1" x="501"/>
        <item x="6"/>
        <item m="1" x="384"/>
        <item m="1" x="416"/>
        <item m="1" x="161"/>
        <item x="35"/>
        <item m="1" x="423"/>
        <item x="27"/>
        <item m="1" x="370"/>
        <item m="1" x="451"/>
        <item x="80"/>
        <item m="1" x="517"/>
        <item m="1" x="324"/>
        <item m="1" x="232"/>
        <item x="20"/>
        <item m="1" x="470"/>
        <item m="1" x="353"/>
        <item m="1" x="529"/>
        <item m="1" x="344"/>
        <item x="69"/>
        <item m="1" x="390"/>
        <item m="1" x="171"/>
        <item m="1" x="395"/>
        <item x="111"/>
        <item m="1" x="378"/>
        <item m="1" x="350"/>
        <item m="1" x="357"/>
        <item m="1" x="516"/>
        <item m="1" x="206"/>
        <item m="1" x="467"/>
        <item x="76"/>
        <item m="1" x="392"/>
        <item x="61"/>
        <item m="1" x="278"/>
        <item x="2"/>
        <item m="1" x="429"/>
        <item x="113"/>
        <item m="1" x="466"/>
        <item m="1" x="410"/>
        <item m="1" x="386"/>
        <item m="1" x="428"/>
        <item m="1" x="393"/>
        <item m="1" x="273"/>
        <item m="1" x="530"/>
        <item m="1" x="430"/>
        <item m="1" x="372"/>
        <item m="1" x="480"/>
        <item m="1" x="369"/>
        <item m="1" x="377"/>
        <item m="1" x="408"/>
        <item m="1" x="382"/>
        <item m="1" x="183"/>
        <item x="64"/>
        <item m="1" x="418"/>
        <item m="1" x="383"/>
        <item m="1" x="497"/>
        <item m="1" x="239"/>
        <item m="1" x="186"/>
        <item m="1" x="196"/>
        <item x="77"/>
        <item m="1" x="415"/>
        <item m="1" x="188"/>
        <item x="18"/>
        <item x="34"/>
        <item x="67"/>
        <item m="1" x="453"/>
        <item x="105"/>
        <item x="51"/>
        <item x="42"/>
        <item x="68"/>
        <item x="124"/>
        <item x="141"/>
        <item m="1" x="209"/>
        <item x="57"/>
        <item m="1" x="272"/>
        <item m="1" x="387"/>
        <item x="33"/>
        <item x="56"/>
        <item m="1" x="534"/>
        <item x="43"/>
        <item m="1" x="527"/>
        <item x="54"/>
        <item x="52"/>
        <item x="94"/>
        <item x="100"/>
        <item x="138"/>
        <item x="36"/>
        <item x="39"/>
        <item m="1" x="481"/>
        <item x="85"/>
        <item m="1" x="362"/>
        <item m="1" x="351"/>
        <item m="1" x="479"/>
        <item m="1" x="450"/>
        <item m="1" x="468"/>
        <item m="1" x="240"/>
        <item m="1" x="508"/>
        <item x="136"/>
        <item m="1" x="514"/>
        <item m="1" x="519"/>
        <item m="1" x="496"/>
        <item m="1" x="485"/>
        <item m="1" x="521"/>
        <item m="1" x="440"/>
        <item m="1" x="520"/>
        <item m="1" x="465"/>
        <item m="1" x="300"/>
        <item m="1" x="414"/>
        <item m="1" x="478"/>
        <item x="119"/>
        <item m="1" x="352"/>
        <item x="115"/>
        <item m="1" x="360"/>
        <item m="1" x="455"/>
        <item m="1" x="537"/>
        <item m="1" x="515"/>
        <item m="1" x="359"/>
        <item m="1" x="443"/>
        <item m="1" x="217"/>
        <item m="1" x="270"/>
        <item m="1" x="271"/>
        <item m="1" x="379"/>
        <item m="1" x="290"/>
        <item m="1" x="274"/>
        <item m="1" x="531"/>
        <item m="1" x="249"/>
        <item m="1" x="447"/>
        <item m="1" x="399"/>
        <item x="3"/>
        <item m="1" x="421"/>
        <item x="24"/>
        <item m="1" x="424"/>
        <item m="1" x="446"/>
        <item m="1" x="413"/>
        <item m="1" x="462"/>
        <item m="1" x="503"/>
        <item m="1" x="197"/>
        <item m="1" x="391"/>
        <item m="1" x="343"/>
        <item m="1" x="388"/>
        <item m="1" x="536"/>
        <item m="1" x="493"/>
        <item m="1" x="477"/>
        <item m="1" x="317"/>
        <item m="1" x="437"/>
        <item m="1" x="436"/>
        <item m="1" x="355"/>
        <item m="1" x="473"/>
        <item m="1" x="476"/>
        <item x="154"/>
        <item m="1" x="250"/>
        <item x="110"/>
        <item m="1" x="441"/>
        <item m="1" x="426"/>
        <item m="1" x="374"/>
        <item x="41"/>
        <item m="1" x="286"/>
        <item m="1" x="182"/>
        <item m="1" x="207"/>
        <item m="1" x="463"/>
        <item m="1" x="507"/>
        <item m="1" x="403"/>
        <item m="1" x="523"/>
        <item m="1" x="404"/>
        <item m="1" x="482"/>
        <item m="1" x="492"/>
        <item m="1" x="438"/>
        <item m="1" x="417"/>
        <item m="1" x="175"/>
        <item m="1" x="464"/>
        <item m="1" x="457"/>
        <item x="29"/>
        <item m="1" x="538"/>
        <item m="1" x="158"/>
        <item m="1" x="535"/>
        <item m="1" x="532"/>
        <item m="1" x="469"/>
        <item m="1" x="460"/>
        <item m="1" x="214"/>
        <item m="1" x="511"/>
        <item m="1" x="269"/>
        <item m="1" x="259"/>
        <item m="1" x="471"/>
        <item m="1" x="319"/>
        <item m="1" x="528"/>
        <item x="59"/>
        <item m="1" x="347"/>
        <item x="96"/>
        <item m="1" x="412"/>
        <item m="1" x="385"/>
        <item m="1" x="371"/>
        <item x="11"/>
        <item m="1" x="282"/>
        <item m="1" x="349"/>
        <item m="1" x="448"/>
        <item m="1" x="506"/>
        <item x="55"/>
        <item x="97"/>
        <item x="117"/>
        <item x="152"/>
        <item m="1" x="420"/>
        <item m="1" x="502"/>
        <item m="1" x="512"/>
        <item m="1" x="190"/>
        <item m="1" x="356"/>
        <item m="1" x="193"/>
        <item m="1" x="194"/>
        <item x="73"/>
        <item m="1" x="376"/>
        <item m="1" x="409"/>
        <item x="118"/>
        <item m="1" x="442"/>
        <item m="1" x="411"/>
        <item m="1" x="348"/>
        <item m="1" x="518"/>
        <item m="1" x="472"/>
        <item m="1" x="526"/>
        <item m="1" x="298"/>
        <item m="1" x="167"/>
        <item m="1" x="288"/>
        <item m="1" x="346"/>
        <item m="1" x="449"/>
        <item m="1" x="400"/>
        <item m="1" x="364"/>
        <item m="1" x="244"/>
        <item m="1" x="260"/>
        <item x="102"/>
        <item m="1" x="389"/>
        <item m="1" x="168"/>
        <item m="1" x="262"/>
        <item m="1" x="431"/>
        <item m="1" x="185"/>
        <item m="1" x="315"/>
        <item m="1" x="264"/>
        <item m="1" x="335"/>
        <item m="1" x="333"/>
        <item m="1" x="495"/>
        <item m="1" x="366"/>
        <item m="1" x="285"/>
        <item m="1" x="367"/>
        <item m="1" x="398"/>
        <item x="88"/>
        <item m="1" x="402"/>
        <item m="1" x="354"/>
        <item m="1" x="525"/>
        <item m="1" x="432"/>
        <item x="135"/>
        <item m="1" x="454"/>
        <item m="1" x="524"/>
        <item m="1" x="504"/>
        <item x="79"/>
        <item m="1" x="461"/>
        <item x="125"/>
        <item m="1" x="456"/>
        <item m="1" x="322"/>
        <item m="1" x="533"/>
        <item m="1" x="283"/>
        <item m="1" x="225"/>
        <item m="1" x="500"/>
        <item m="1" x="339"/>
        <item x="92"/>
        <item m="1" x="373"/>
        <item m="1" x="181"/>
        <item m="1" x="166"/>
        <item m="1" x="499"/>
        <item m="1" x="483"/>
        <item m="1" x="237"/>
        <item m="1" x="238"/>
        <item m="1" x="474"/>
        <item m="1" x="365"/>
        <item m="1" x="265"/>
        <item m="1" x="361"/>
        <item m="1" x="327"/>
        <item m="1" x="302"/>
        <item m="1" x="375"/>
        <item m="1" x="435"/>
        <item m="1" x="170"/>
        <item m="1" x="487"/>
        <item m="1" x="305"/>
        <item m="1" x="491"/>
        <item m="1" x="276"/>
        <item m="1" x="204"/>
        <item m="1" x="275"/>
        <item m="1" x="191"/>
        <item m="1" x="358"/>
        <item m="1" x="540"/>
        <item m="1" x="484"/>
        <item m="1" x="329"/>
        <item m="1" x="284"/>
        <item m="1" x="498"/>
        <item m="1" x="505"/>
        <item m="1" x="226"/>
        <item m="1" x="201"/>
        <item m="1" x="203"/>
        <item m="1" x="162"/>
        <item m="1" x="489"/>
        <item x="93"/>
        <item m="1" x="287"/>
        <item x="63"/>
        <item m="1" x="311"/>
        <item x="78"/>
        <item x="66"/>
        <item m="1" x="258"/>
        <item m="1" x="261"/>
        <item m="1" x="267"/>
        <item m="1" x="216"/>
        <item m="1" x="268"/>
        <item m="1" x="222"/>
        <item x="157"/>
        <item m="1" x="200"/>
        <item m="1" x="277"/>
        <item m="1" x="281"/>
        <item x="99"/>
        <item x="62"/>
        <item m="1" x="289"/>
        <item m="1" x="292"/>
        <item m="1" x="294"/>
        <item m="1" x="295"/>
        <item m="1" x="296"/>
        <item m="1" x="208"/>
        <item m="1" x="297"/>
        <item m="1" x="215"/>
        <item m="1" x="303"/>
        <item x="112"/>
        <item m="1" x="173"/>
        <item m="1" x="304"/>
        <item m="1" x="306"/>
        <item m="1" x="307"/>
        <item m="1" x="308"/>
        <item m="1" x="309"/>
        <item x="87"/>
        <item m="1" x="202"/>
        <item m="1" x="310"/>
        <item x="95"/>
        <item x="103"/>
        <item m="1" x="312"/>
        <item m="1" x="313"/>
        <item m="1" x="314"/>
        <item x="46"/>
        <item m="1" x="316"/>
        <item x="146"/>
        <item x="114"/>
        <item x="134"/>
        <item m="1" x="318"/>
        <item m="1" x="212"/>
        <item m="1" x="320"/>
        <item m="1" x="321"/>
        <item m="1" x="236"/>
        <item m="1" x="323"/>
        <item m="1" x="328"/>
        <item m="1" x="252"/>
        <item m="1" x="198"/>
        <item m="1" x="330"/>
        <item m="1" x="221"/>
        <item m="1" x="159"/>
        <item m="1" x="332"/>
        <item m="1" x="211"/>
        <item m="1" x="213"/>
        <item m="1" x="334"/>
        <item x="70"/>
        <item m="1" x="247"/>
        <item m="1" x="336"/>
        <item m="1" x="337"/>
        <item m="1" x="179"/>
        <item x="38"/>
        <item m="1" x="180"/>
        <item x="58"/>
        <item x="10"/>
        <item m="1" x="338"/>
        <item m="1" x="325"/>
        <item x="84"/>
        <item x="89"/>
        <item x="104"/>
        <item x="7"/>
        <item x="31"/>
        <item m="1" x="341"/>
        <item m="1" x="342"/>
        <item x="0"/>
        <item x="45"/>
        <item x="53"/>
        <item m="1" x="257"/>
        <item m="1" x="169"/>
        <item m="1" x="172"/>
        <item m="1" x="174"/>
        <item x="15"/>
        <item x="16"/>
        <item m="1" x="176"/>
        <item m="1" x="177"/>
        <item m="1" x="178"/>
        <item x="40"/>
        <item m="1" x="184"/>
        <item m="1" x="187"/>
        <item m="1" x="189"/>
        <item m="1" x="192"/>
        <item m="1" x="199"/>
        <item x="140"/>
        <item m="1" x="205"/>
        <item m="1" x="210"/>
        <item x="14"/>
        <item m="1" x="218"/>
        <item x="116"/>
        <item m="1" x="220"/>
        <item x="30"/>
        <item m="1" x="224"/>
        <item m="1" x="227"/>
        <item m="1" x="228"/>
        <item m="1" x="229"/>
        <item m="1" x="230"/>
        <item x="86"/>
        <item m="1" x="233"/>
        <item m="1" x="234"/>
        <item x="142"/>
        <item x="48"/>
        <item x="148"/>
        <item x="132"/>
        <item m="1" x="241"/>
        <item m="1" x="242"/>
        <item x="101"/>
        <item x="107"/>
        <item m="1" x="243"/>
        <item x="91"/>
        <item m="1" x="245"/>
        <item m="1" x="246"/>
        <item x="4"/>
        <item m="1" x="248"/>
        <item m="1" x="251"/>
        <item x="131"/>
        <item x="5"/>
        <item x="109"/>
        <item m="1" x="253"/>
        <item m="1" x="254"/>
        <item m="1" x="255"/>
        <item m="1" x="256"/>
        <item x="9"/>
        <item x="12"/>
        <item x="17"/>
        <item x="19"/>
        <item x="23"/>
        <item x="25"/>
        <item x="26"/>
        <item x="28"/>
        <item x="47"/>
        <item x="49"/>
        <item x="50"/>
        <item x="71"/>
        <item x="74"/>
        <item x="75"/>
        <item x="81"/>
        <item x="82"/>
        <item x="90"/>
        <item x="98"/>
        <item x="120"/>
        <item x="121"/>
        <item x="122"/>
        <item x="123"/>
        <item x="126"/>
        <item x="127"/>
        <item x="128"/>
        <item x="129"/>
        <item x="130"/>
        <item x="133"/>
        <item x="137"/>
        <item x="139"/>
        <item x="143"/>
        <item x="144"/>
        <item x="147"/>
        <item x="149"/>
        <item x="151"/>
        <item x="153"/>
        <item x="155"/>
        <item x="156"/>
        <item t="default"/>
      </items>
    </pivotField>
    <pivotField showAll="0"/>
    <pivotField dataField="1" numFmtId="43" showAll="0"/>
    <pivotField showAll="0"/>
    <pivotField showAll="0">
      <items count="5">
        <item x="1"/>
        <item h="1" x="0"/>
        <item h="1" x="2"/>
        <item h="1" m="1" x="3"/>
        <item t="default"/>
      </items>
    </pivotField>
    <pivotField showAll="0"/>
    <pivotField numFmtId="43" showAll="0"/>
  </pivotFields>
  <rowFields count="1">
    <field x="4"/>
  </rowFields>
  <rowItems count="19">
    <i>
      <x v="8"/>
    </i>
    <i>
      <x v="19"/>
    </i>
    <i>
      <x v="71"/>
    </i>
    <i>
      <x v="79"/>
    </i>
    <i>
      <x v="82"/>
    </i>
    <i>
      <x v="141"/>
    </i>
    <i>
      <x v="169"/>
    </i>
    <i>
      <x v="202"/>
    </i>
    <i>
      <x v="243"/>
    </i>
    <i>
      <x v="318"/>
    </i>
    <i>
      <x v="446"/>
    </i>
    <i>
      <x v="474"/>
    </i>
    <i>
      <x v="505"/>
    </i>
    <i>
      <x v="509"/>
    </i>
    <i>
      <x v="510"/>
    </i>
    <i>
      <x v="511"/>
    </i>
    <i>
      <x v="512"/>
    </i>
    <i>
      <x v="519"/>
    </i>
    <i>
      <x v="520"/>
    </i>
  </rowItems>
  <colItems count="1">
    <i/>
  </colItems>
  <dataFields count="1">
    <dataField name="Sum of Invoice Amount" fld="6" baseField="4" baseItem="0" numFmtId="43"/>
  </dataFields>
  <formats count="22">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8" type="button" dataOnly="0" labelOnly="1" outline="0"/>
    </format>
    <format dxfId="203">
      <pivotArea type="topRight" dataOnly="0" labelOnly="1" outline="0" fieldPosition="0"/>
    </format>
    <format dxfId="202">
      <pivotArea field="2" type="button" dataOnly="0" labelOnly="1" outline="0"/>
    </format>
    <format dxfId="201">
      <pivotArea dataOnly="0" labelOnly="1" grandRow="1" outline="0" fieldPosition="0"/>
    </format>
    <format dxfId="200">
      <pivotArea dataOnly="0" labelOnly="1" grandCol="1" outline="0" fieldPosition="0"/>
    </format>
    <format dxfId="199">
      <pivotArea type="all" dataOnly="0" outline="0" fieldPosition="0"/>
    </format>
    <format dxfId="198">
      <pivotArea type="origin" dataOnly="0" labelOnly="1" outline="0" fieldPosition="0"/>
    </format>
    <format dxfId="197">
      <pivotArea field="8" type="button" dataOnly="0" labelOnly="1" outline="0"/>
    </format>
    <format dxfId="196">
      <pivotArea type="topRight" dataOnly="0" labelOnly="1" outline="0" fieldPosition="0"/>
    </format>
    <format dxfId="195">
      <pivotArea field="2" type="button" dataOnly="0" labelOnly="1" outline="0"/>
    </format>
    <format dxfId="194">
      <pivotArea dataOnly="0" labelOnly="1" grandRow="1" outline="0" fieldPosition="0"/>
    </format>
    <format dxfId="193">
      <pivotArea dataOnly="0" labelOnly="1" grandCol="1" outline="0" fieldPosition="0"/>
    </format>
    <format dxfId="192">
      <pivotArea outline="0" fieldPosition="0">
        <references count="1">
          <reference field="4294967294" count="1">
            <x v="0"/>
          </reference>
        </references>
      </pivotArea>
    </format>
    <format dxfId="191">
      <pivotArea type="all" dataOnly="0" outline="0" fieldPosition="0"/>
    </format>
    <format dxfId="190">
      <pivotArea outline="0" collapsedLevelsAreSubtotals="1" fieldPosition="0"/>
    </format>
    <format dxfId="189">
      <pivotArea field="4" type="button" dataOnly="0" labelOnly="1" outline="0" axis="axisRow" fieldPosition="0"/>
    </format>
    <format dxfId="188">
      <pivotArea dataOnly="0" labelOnly="1" fieldPosition="0">
        <references count="1">
          <reference field="4" count="50">
            <x v="3"/>
            <x v="4"/>
            <x v="14"/>
            <x v="18"/>
            <x v="28"/>
            <x v="30"/>
            <x v="49"/>
            <x v="61"/>
            <x v="65"/>
            <x v="67"/>
            <x v="68"/>
            <x v="70"/>
            <x v="71"/>
            <x v="77"/>
            <x v="91"/>
            <x v="100"/>
            <x v="104"/>
            <x v="123"/>
            <x v="124"/>
            <x v="134"/>
            <x v="135"/>
            <x v="139"/>
            <x v="140"/>
            <x v="141"/>
            <x v="143"/>
            <x v="144"/>
            <x v="145"/>
            <x v="148"/>
            <x v="149"/>
            <x v="151"/>
            <x v="153"/>
            <x v="154"/>
            <x v="155"/>
            <x v="156"/>
            <x v="158"/>
            <x v="159"/>
            <x v="161"/>
            <x v="190"/>
            <x v="221"/>
            <x v="227"/>
            <x v="229"/>
            <x v="230"/>
            <x v="257"/>
            <x v="259"/>
            <x v="268"/>
            <x v="269"/>
            <x v="282"/>
            <x v="290"/>
            <x v="300"/>
            <x v="313"/>
          </reference>
        </references>
      </pivotArea>
    </format>
    <format dxfId="187">
      <pivotArea dataOnly="0" labelOnly="1" fieldPosition="0">
        <references count="1">
          <reference field="4" count="35">
            <x v="324"/>
            <x v="334"/>
            <x v="335"/>
            <x v="353"/>
            <x v="363"/>
            <x v="364"/>
            <x v="365"/>
            <x v="366"/>
            <x v="368"/>
            <x v="370"/>
            <x v="380"/>
            <x v="381"/>
            <x v="385"/>
            <x v="391"/>
            <x v="402"/>
            <x v="403"/>
            <x v="405"/>
            <x v="406"/>
            <x v="410"/>
            <x v="435"/>
            <x v="436"/>
            <x v="437"/>
            <x v="438"/>
            <x v="442"/>
            <x v="443"/>
            <x v="444"/>
            <x v="450"/>
            <x v="451"/>
            <x v="461"/>
            <x v="466"/>
            <x v="467"/>
            <x v="468"/>
            <x v="471"/>
            <x v="472"/>
            <x v="473"/>
          </reference>
        </references>
      </pivotArea>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86604F-E36B-4031-B6E2-C615E393F7EE}" name="PivotTable2" cacheId="4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2:D72" firstHeaderRow="1" firstDataRow="2" firstDataCol="1"/>
  <pivotFields count="11">
    <pivotField dataField="1" showAll="0"/>
    <pivotField numFmtId="17" showAll="0"/>
    <pivotField axis="axisRow" showAll="0">
      <items count="93">
        <item x="0"/>
        <item x="20"/>
        <item x="21"/>
        <item x="43"/>
        <item x="22"/>
        <item x="57"/>
        <item m="1" x="75"/>
        <item x="23"/>
        <item m="1" x="73"/>
        <item x="24"/>
        <item x="44"/>
        <item m="1" x="69"/>
        <item x="67"/>
        <item x="49"/>
        <item x="59"/>
        <item x="26"/>
        <item x="13"/>
        <item x="50"/>
        <item x="27"/>
        <item x="45"/>
        <item x="1"/>
        <item m="1" x="85"/>
        <item x="2"/>
        <item x="28"/>
        <item m="1" x="74"/>
        <item x="60"/>
        <item m="1" x="82"/>
        <item x="51"/>
        <item m="1" x="72"/>
        <item x="15"/>
        <item x="30"/>
        <item x="52"/>
        <item x="31"/>
        <item x="4"/>
        <item x="32"/>
        <item x="33"/>
        <item x="34"/>
        <item x="35"/>
        <item x="5"/>
        <item x="6"/>
        <item x="47"/>
        <item x="53"/>
        <item x="54"/>
        <item x="64"/>
        <item x="7"/>
        <item m="1" x="88"/>
        <item m="1" x="81"/>
        <item x="37"/>
        <item x="38"/>
        <item x="39"/>
        <item x="8"/>
        <item m="1" x="91"/>
        <item m="1" x="84"/>
        <item x="17"/>
        <item x="9"/>
        <item x="58"/>
        <item x="10"/>
        <item m="1" x="87"/>
        <item x="11"/>
        <item x="40"/>
        <item x="62"/>
        <item x="41"/>
        <item m="1" x="89"/>
        <item x="12"/>
        <item x="61"/>
        <item x="68"/>
        <item x="25"/>
        <item x="18"/>
        <item m="1" x="79"/>
        <item x="16"/>
        <item x="63"/>
        <item m="1" x="70"/>
        <item x="29"/>
        <item m="1" x="78"/>
        <item m="1" x="90"/>
        <item m="1" x="71"/>
        <item x="14"/>
        <item x="66"/>
        <item m="1" x="86"/>
        <item m="1" x="83"/>
        <item x="55"/>
        <item m="1" x="77"/>
        <item x="65"/>
        <item x="56"/>
        <item m="1" x="80"/>
        <item m="1" x="76"/>
        <item x="46"/>
        <item x="19"/>
        <item x="42"/>
        <item x="48"/>
        <item x="3"/>
        <item x="36"/>
        <item t="default"/>
      </items>
    </pivotField>
    <pivotField showAll="0"/>
    <pivotField showAll="0"/>
    <pivotField showAll="0"/>
    <pivotField numFmtId="43" showAll="0"/>
    <pivotField showAll="0"/>
    <pivotField axis="axisCol" showAll="0">
      <items count="5">
        <item x="1"/>
        <item x="0"/>
        <item x="2"/>
        <item m="1" x="3"/>
        <item t="default"/>
      </items>
    </pivotField>
    <pivotField showAll="0"/>
    <pivotField numFmtId="43" showAll="0"/>
  </pivotFields>
  <rowFields count="1">
    <field x="2"/>
  </rowFields>
  <rowItems count="69">
    <i>
      <x/>
    </i>
    <i>
      <x v="1"/>
    </i>
    <i>
      <x v="2"/>
    </i>
    <i>
      <x v="3"/>
    </i>
    <i>
      <x v="4"/>
    </i>
    <i>
      <x v="5"/>
    </i>
    <i>
      <x v="7"/>
    </i>
    <i>
      <x v="9"/>
    </i>
    <i>
      <x v="10"/>
    </i>
    <i>
      <x v="12"/>
    </i>
    <i>
      <x v="13"/>
    </i>
    <i>
      <x v="14"/>
    </i>
    <i>
      <x v="15"/>
    </i>
    <i>
      <x v="16"/>
    </i>
    <i>
      <x v="17"/>
    </i>
    <i>
      <x v="18"/>
    </i>
    <i>
      <x v="19"/>
    </i>
    <i>
      <x v="20"/>
    </i>
    <i>
      <x v="22"/>
    </i>
    <i>
      <x v="23"/>
    </i>
    <i>
      <x v="25"/>
    </i>
    <i>
      <x v="27"/>
    </i>
    <i>
      <x v="29"/>
    </i>
    <i>
      <x v="30"/>
    </i>
    <i>
      <x v="31"/>
    </i>
    <i>
      <x v="32"/>
    </i>
    <i>
      <x v="33"/>
    </i>
    <i>
      <x v="34"/>
    </i>
    <i>
      <x v="35"/>
    </i>
    <i>
      <x v="36"/>
    </i>
    <i>
      <x v="37"/>
    </i>
    <i>
      <x v="38"/>
    </i>
    <i>
      <x v="39"/>
    </i>
    <i>
      <x v="40"/>
    </i>
    <i>
      <x v="41"/>
    </i>
    <i>
      <x v="42"/>
    </i>
    <i>
      <x v="43"/>
    </i>
    <i>
      <x v="44"/>
    </i>
    <i>
      <x v="47"/>
    </i>
    <i>
      <x v="48"/>
    </i>
    <i>
      <x v="49"/>
    </i>
    <i>
      <x v="50"/>
    </i>
    <i>
      <x v="53"/>
    </i>
    <i>
      <x v="54"/>
    </i>
    <i>
      <x v="55"/>
    </i>
    <i>
      <x v="56"/>
    </i>
    <i>
      <x v="58"/>
    </i>
    <i>
      <x v="59"/>
    </i>
    <i>
      <x v="60"/>
    </i>
    <i>
      <x v="61"/>
    </i>
    <i>
      <x v="63"/>
    </i>
    <i>
      <x v="64"/>
    </i>
    <i>
      <x v="65"/>
    </i>
    <i>
      <x v="66"/>
    </i>
    <i>
      <x v="67"/>
    </i>
    <i>
      <x v="69"/>
    </i>
    <i>
      <x v="70"/>
    </i>
    <i>
      <x v="72"/>
    </i>
    <i>
      <x v="76"/>
    </i>
    <i>
      <x v="77"/>
    </i>
    <i>
      <x v="80"/>
    </i>
    <i>
      <x v="82"/>
    </i>
    <i>
      <x v="83"/>
    </i>
    <i>
      <x v="86"/>
    </i>
    <i>
      <x v="87"/>
    </i>
    <i>
      <x v="88"/>
    </i>
    <i>
      <x v="89"/>
    </i>
    <i>
      <x v="90"/>
    </i>
    <i>
      <x v="91"/>
    </i>
  </rowItems>
  <colFields count="1">
    <field x="8"/>
  </colFields>
  <colItems count="3">
    <i>
      <x/>
    </i>
    <i>
      <x v="1"/>
    </i>
    <i>
      <x v="2"/>
    </i>
  </colItems>
  <dataFields count="1">
    <dataField name="Sum of ID" fld="0" baseField="0" baseItem="0"/>
  </dataFields>
  <formats count="20">
    <format dxfId="227">
      <pivotArea type="all" dataOnly="0" outline="0" fieldPosition="0"/>
    </format>
    <format dxfId="226">
      <pivotArea outline="0" collapsedLevelsAreSubtotals="1" fieldPosition="0"/>
    </format>
    <format dxfId="225">
      <pivotArea type="origin" dataOnly="0" labelOnly="1" outline="0" fieldPosition="0"/>
    </format>
    <format dxfId="224">
      <pivotArea field="8" type="button" dataOnly="0" labelOnly="1" outline="0" axis="axisCol" fieldPosition="0"/>
    </format>
    <format dxfId="223">
      <pivotArea type="topRight" dataOnly="0" labelOnly="1" outline="0" fieldPosition="0"/>
    </format>
    <format dxfId="222">
      <pivotArea field="2" type="button" dataOnly="0" labelOnly="1" outline="0" axis="axisRow" fieldPosition="0"/>
    </format>
    <format dxfId="221">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0">
      <pivotArea dataOnly="0" labelOnly="1" fieldPosition="0">
        <references count="1">
          <reference field="2" count="16">
            <x v="50"/>
            <x v="51"/>
            <x v="52"/>
            <x v="53"/>
            <x v="54"/>
            <x v="55"/>
            <x v="56"/>
            <x v="57"/>
            <x v="58"/>
            <x v="59"/>
            <x v="60"/>
            <x v="61"/>
            <x v="62"/>
            <x v="63"/>
            <x v="64"/>
            <x v="65"/>
          </reference>
        </references>
      </pivotArea>
    </format>
    <format dxfId="219">
      <pivotArea dataOnly="0" labelOnly="1" grandRow="1" outline="0" fieldPosition="0"/>
    </format>
    <format dxfId="218">
      <pivotArea dataOnly="0" labelOnly="1" fieldPosition="0">
        <references count="1">
          <reference field="8" count="0"/>
        </references>
      </pivotArea>
    </format>
    <format dxfId="217">
      <pivotArea dataOnly="0" labelOnly="1" grandCol="1" outline="0" fieldPosition="0"/>
    </format>
    <format dxfId="216">
      <pivotArea type="all" dataOnly="0" outline="0" fieldPosition="0"/>
    </format>
    <format dxfId="215">
      <pivotArea outline="0" collapsedLevelsAreSubtotals="1" fieldPosition="0"/>
    </format>
    <format dxfId="214">
      <pivotArea type="origin" dataOnly="0" labelOnly="1" outline="0" fieldPosition="0"/>
    </format>
    <format dxfId="213">
      <pivotArea field="8" type="button" dataOnly="0" labelOnly="1" outline="0" axis="axisCol" fieldPosition="0"/>
    </format>
    <format dxfId="212">
      <pivotArea type="topRight" dataOnly="0" labelOnly="1" outline="0" fieldPosition="0"/>
    </format>
    <format dxfId="211">
      <pivotArea field="2" type="button" dataOnly="0" labelOnly="1" outline="0" axis="axisRow" fieldPosition="0"/>
    </format>
    <format dxfId="210">
      <pivotArea dataOnly="0" labelOnly="1" fieldPosition="0">
        <references count="1">
          <reference field="2" count="50">
            <x v="0"/>
            <x v="1"/>
            <x v="2"/>
            <x v="3"/>
            <x v="4"/>
            <x v="5"/>
            <x v="6"/>
            <x v="7"/>
            <x v="8"/>
            <x v="9"/>
            <x v="10"/>
            <x v="11"/>
            <x v="13"/>
            <x v="14"/>
            <x v="15"/>
            <x v="16"/>
            <x v="17"/>
            <x v="18"/>
            <x v="19"/>
            <x v="20"/>
            <x v="22"/>
            <x v="23"/>
            <x v="24"/>
            <x v="25"/>
            <x v="27"/>
            <x v="28"/>
            <x v="30"/>
            <x v="31"/>
            <x v="32"/>
            <x v="33"/>
            <x v="34"/>
            <x v="35"/>
            <x v="36"/>
            <x v="37"/>
            <x v="38"/>
            <x v="39"/>
            <x v="44"/>
            <x v="47"/>
            <x v="48"/>
            <x v="49"/>
            <x v="50"/>
            <x v="53"/>
            <x v="55"/>
            <x v="56"/>
            <x v="58"/>
            <x v="59"/>
            <x v="60"/>
            <x v="61"/>
            <x v="63"/>
            <x v="64"/>
          </reference>
        </references>
      </pivotArea>
    </format>
    <format dxfId="209">
      <pivotArea dataOnly="0" labelOnly="1" fieldPosition="0">
        <references count="1">
          <reference field="2" count="15">
            <x v="65"/>
            <x v="66"/>
            <x v="67"/>
            <x v="69"/>
            <x v="70"/>
            <x v="71"/>
            <x v="72"/>
            <x v="75"/>
            <x v="76"/>
            <x v="77"/>
            <x v="82"/>
            <x v="83"/>
            <x v="86"/>
            <x v="87"/>
            <x v="88"/>
          </reference>
        </references>
      </pivotArea>
    </format>
    <format dxfId="208">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FA7D0-A498-407D-988C-D8A10184F817}" name="PivotTable3" cacheId="4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F2:I72" firstHeaderRow="1" firstDataRow="2" firstDataCol="1"/>
  <pivotFields count="11">
    <pivotField showAll="0"/>
    <pivotField numFmtId="17" showAll="0"/>
    <pivotField axis="axisRow" showAll="0">
      <items count="93">
        <item x="0"/>
        <item x="20"/>
        <item x="21"/>
        <item x="43"/>
        <item x="22"/>
        <item x="57"/>
        <item m="1" x="75"/>
        <item x="23"/>
        <item m="1" x="73"/>
        <item x="24"/>
        <item x="44"/>
        <item m="1" x="69"/>
        <item x="67"/>
        <item x="49"/>
        <item x="59"/>
        <item x="26"/>
        <item x="13"/>
        <item x="50"/>
        <item x="27"/>
        <item x="45"/>
        <item x="1"/>
        <item m="1" x="85"/>
        <item x="2"/>
        <item x="28"/>
        <item m="1" x="74"/>
        <item x="60"/>
        <item m="1" x="82"/>
        <item x="51"/>
        <item m="1" x="72"/>
        <item x="15"/>
        <item x="30"/>
        <item x="52"/>
        <item x="31"/>
        <item x="4"/>
        <item x="32"/>
        <item x="33"/>
        <item x="34"/>
        <item x="35"/>
        <item x="5"/>
        <item x="6"/>
        <item x="47"/>
        <item x="53"/>
        <item x="54"/>
        <item x="64"/>
        <item x="7"/>
        <item m="1" x="88"/>
        <item m="1" x="81"/>
        <item x="37"/>
        <item x="38"/>
        <item x="39"/>
        <item x="8"/>
        <item m="1" x="91"/>
        <item m="1" x="84"/>
        <item x="17"/>
        <item x="9"/>
        <item x="58"/>
        <item x="10"/>
        <item m="1" x="87"/>
        <item x="11"/>
        <item x="40"/>
        <item x="62"/>
        <item x="41"/>
        <item m="1" x="89"/>
        <item x="12"/>
        <item x="61"/>
        <item x="68"/>
        <item x="25"/>
        <item x="18"/>
        <item m="1" x="79"/>
        <item x="16"/>
        <item x="63"/>
        <item m="1" x="70"/>
        <item x="29"/>
        <item m="1" x="78"/>
        <item m="1" x="90"/>
        <item m="1" x="71"/>
        <item x="14"/>
        <item x="66"/>
        <item m="1" x="86"/>
        <item m="1" x="83"/>
        <item x="55"/>
        <item m="1" x="77"/>
        <item x="65"/>
        <item x="56"/>
        <item m="1" x="80"/>
        <item m="1" x="76"/>
        <item x="46"/>
        <item x="19"/>
        <item x="42"/>
        <item x="48"/>
        <item x="3"/>
        <item x="36"/>
        <item t="default"/>
      </items>
    </pivotField>
    <pivotField showAll="0"/>
    <pivotField showAll="0"/>
    <pivotField showAll="0"/>
    <pivotField dataField="1" numFmtId="43" showAll="0"/>
    <pivotField showAll="0"/>
    <pivotField axis="axisCol" showAll="0">
      <items count="5">
        <item x="1"/>
        <item x="0"/>
        <item x="2"/>
        <item m="1" x="3"/>
        <item t="default"/>
      </items>
    </pivotField>
    <pivotField showAll="0"/>
    <pivotField numFmtId="43" showAll="0"/>
  </pivotFields>
  <rowFields count="1">
    <field x="2"/>
  </rowFields>
  <rowItems count="69">
    <i>
      <x/>
    </i>
    <i>
      <x v="1"/>
    </i>
    <i>
      <x v="2"/>
    </i>
    <i>
      <x v="3"/>
    </i>
    <i>
      <x v="4"/>
    </i>
    <i>
      <x v="5"/>
    </i>
    <i>
      <x v="7"/>
    </i>
    <i>
      <x v="9"/>
    </i>
    <i>
      <x v="10"/>
    </i>
    <i>
      <x v="12"/>
    </i>
    <i>
      <x v="13"/>
    </i>
    <i>
      <x v="14"/>
    </i>
    <i>
      <x v="15"/>
    </i>
    <i>
      <x v="16"/>
    </i>
    <i>
      <x v="17"/>
    </i>
    <i>
      <x v="18"/>
    </i>
    <i>
      <x v="19"/>
    </i>
    <i>
      <x v="20"/>
    </i>
    <i>
      <x v="22"/>
    </i>
    <i>
      <x v="23"/>
    </i>
    <i>
      <x v="25"/>
    </i>
    <i>
      <x v="27"/>
    </i>
    <i>
      <x v="29"/>
    </i>
    <i>
      <x v="30"/>
    </i>
    <i>
      <x v="31"/>
    </i>
    <i>
      <x v="32"/>
    </i>
    <i>
      <x v="33"/>
    </i>
    <i>
      <x v="34"/>
    </i>
    <i>
      <x v="35"/>
    </i>
    <i>
      <x v="36"/>
    </i>
    <i>
      <x v="37"/>
    </i>
    <i>
      <x v="38"/>
    </i>
    <i>
      <x v="39"/>
    </i>
    <i>
      <x v="40"/>
    </i>
    <i>
      <x v="41"/>
    </i>
    <i>
      <x v="42"/>
    </i>
    <i>
      <x v="43"/>
    </i>
    <i>
      <x v="44"/>
    </i>
    <i>
      <x v="47"/>
    </i>
    <i>
      <x v="48"/>
    </i>
    <i>
      <x v="49"/>
    </i>
    <i>
      <x v="50"/>
    </i>
    <i>
      <x v="53"/>
    </i>
    <i>
      <x v="54"/>
    </i>
    <i>
      <x v="55"/>
    </i>
    <i>
      <x v="56"/>
    </i>
    <i>
      <x v="58"/>
    </i>
    <i>
      <x v="59"/>
    </i>
    <i>
      <x v="60"/>
    </i>
    <i>
      <x v="61"/>
    </i>
    <i>
      <x v="63"/>
    </i>
    <i>
      <x v="64"/>
    </i>
    <i>
      <x v="65"/>
    </i>
    <i>
      <x v="66"/>
    </i>
    <i>
      <x v="67"/>
    </i>
    <i>
      <x v="69"/>
    </i>
    <i>
      <x v="70"/>
    </i>
    <i>
      <x v="72"/>
    </i>
    <i>
      <x v="76"/>
    </i>
    <i>
      <x v="77"/>
    </i>
    <i>
      <x v="80"/>
    </i>
    <i>
      <x v="82"/>
    </i>
    <i>
      <x v="83"/>
    </i>
    <i>
      <x v="86"/>
    </i>
    <i>
      <x v="87"/>
    </i>
    <i>
      <x v="88"/>
    </i>
    <i>
      <x v="89"/>
    </i>
    <i>
      <x v="90"/>
    </i>
    <i>
      <x v="91"/>
    </i>
  </rowItems>
  <colFields count="1">
    <field x="8"/>
  </colFields>
  <colItems count="3">
    <i>
      <x/>
    </i>
    <i>
      <x v="1"/>
    </i>
    <i>
      <x v="2"/>
    </i>
  </colItems>
  <dataFields count="1">
    <dataField name="Sum of Invoice Amount" fld="6" baseField="2" baseItem="0" numFmtId="43"/>
  </dataFields>
  <formats count="23">
    <format dxfId="250">
      <pivotArea type="all" dataOnly="0" outline="0" fieldPosition="0"/>
    </format>
    <format dxfId="249">
      <pivotArea outline="0" collapsedLevelsAreSubtotals="1" fieldPosition="0"/>
    </format>
    <format dxfId="248">
      <pivotArea type="origin" dataOnly="0" labelOnly="1" outline="0" fieldPosition="0"/>
    </format>
    <format dxfId="247">
      <pivotArea field="8" type="button" dataOnly="0" labelOnly="1" outline="0" axis="axisCol" fieldPosition="0"/>
    </format>
    <format dxfId="246">
      <pivotArea type="topRight" dataOnly="0" labelOnly="1" outline="0" fieldPosition="0"/>
    </format>
    <format dxfId="245">
      <pivotArea field="2" type="button" dataOnly="0" labelOnly="1" outline="0" axis="axisRow" fieldPosition="0"/>
    </format>
    <format dxfId="244">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3">
      <pivotArea dataOnly="0" labelOnly="1" fieldPosition="0">
        <references count="1">
          <reference field="2" count="16">
            <x v="50"/>
            <x v="51"/>
            <x v="52"/>
            <x v="53"/>
            <x v="54"/>
            <x v="55"/>
            <x v="56"/>
            <x v="57"/>
            <x v="58"/>
            <x v="59"/>
            <x v="60"/>
            <x v="61"/>
            <x v="62"/>
            <x v="63"/>
            <x v="64"/>
            <x v="65"/>
          </reference>
        </references>
      </pivotArea>
    </format>
    <format dxfId="242">
      <pivotArea dataOnly="0" labelOnly="1" grandRow="1" outline="0" fieldPosition="0"/>
    </format>
    <format dxfId="241">
      <pivotArea dataOnly="0" labelOnly="1" grandCol="1" outline="0" fieldPosition="0"/>
    </format>
    <format dxfId="240">
      <pivotArea type="all" dataOnly="0" outline="0" fieldPosition="0"/>
    </format>
    <format dxfId="239">
      <pivotArea dataOnly="0" labelOnly="1" grandRow="1" outline="0" fieldPosition="0"/>
    </format>
    <format dxfId="238">
      <pivotArea dataOnly="0" labelOnly="1" grandCol="1" outline="0" fieldPosition="0"/>
    </format>
    <format dxfId="237">
      <pivotArea outline="0" fieldPosition="0">
        <references count="1">
          <reference field="4294967294" count="1">
            <x v="0"/>
          </reference>
        </references>
      </pivotArea>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8" type="button" dataOnly="0" labelOnly="1" outline="0" axis="axisCol" fieldPosition="0"/>
    </format>
    <format dxfId="232">
      <pivotArea type="topRight" dataOnly="0" labelOnly="1" outline="0" fieldPosition="0"/>
    </format>
    <format dxfId="231">
      <pivotArea field="2" type="button" dataOnly="0" labelOnly="1" outline="0" axis="axisRow" fieldPosition="0"/>
    </format>
    <format dxfId="230">
      <pivotArea dataOnly="0" labelOnly="1" fieldPosition="0">
        <references count="1">
          <reference field="2" count="50">
            <x v="0"/>
            <x v="1"/>
            <x v="2"/>
            <x v="3"/>
            <x v="4"/>
            <x v="5"/>
            <x v="6"/>
            <x v="7"/>
            <x v="8"/>
            <x v="9"/>
            <x v="10"/>
            <x v="11"/>
            <x v="13"/>
            <x v="14"/>
            <x v="15"/>
            <x v="16"/>
            <x v="17"/>
            <x v="18"/>
            <x v="19"/>
            <x v="20"/>
            <x v="22"/>
            <x v="23"/>
            <x v="24"/>
            <x v="25"/>
            <x v="27"/>
            <x v="28"/>
            <x v="30"/>
            <x v="31"/>
            <x v="32"/>
            <x v="33"/>
            <x v="34"/>
            <x v="35"/>
            <x v="36"/>
            <x v="37"/>
            <x v="38"/>
            <x v="39"/>
            <x v="44"/>
            <x v="47"/>
            <x v="48"/>
            <x v="49"/>
            <x v="50"/>
            <x v="53"/>
            <x v="55"/>
            <x v="56"/>
            <x v="58"/>
            <x v="59"/>
            <x v="60"/>
            <x v="61"/>
            <x v="63"/>
            <x v="64"/>
          </reference>
        </references>
      </pivotArea>
    </format>
    <format dxfId="229">
      <pivotArea dataOnly="0" labelOnly="1" fieldPosition="0">
        <references count="1">
          <reference field="2" count="15">
            <x v="65"/>
            <x v="66"/>
            <x v="67"/>
            <x v="69"/>
            <x v="70"/>
            <x v="71"/>
            <x v="72"/>
            <x v="75"/>
            <x v="76"/>
            <x v="77"/>
            <x v="82"/>
            <x v="83"/>
            <x v="86"/>
            <x v="87"/>
            <x v="88"/>
          </reference>
        </references>
      </pivotArea>
    </format>
    <format dxfId="228">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A0322D-2933-44D0-BCD5-BB2A053FE549}" name="PivotTable5" cacheId="4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R2:S18" firstHeaderRow="1" firstDataRow="1" firstDataCol="1"/>
  <pivotFields count="11">
    <pivotField showAll="0"/>
    <pivotField numFmtId="17" showAll="0"/>
    <pivotField axis="axisRow" showAll="0">
      <items count="93">
        <item x="0"/>
        <item x="20"/>
        <item x="21"/>
        <item x="43"/>
        <item x="22"/>
        <item x="57"/>
        <item m="1" x="75"/>
        <item x="23"/>
        <item m="1" x="73"/>
        <item x="24"/>
        <item x="44"/>
        <item m="1" x="69"/>
        <item x="67"/>
        <item x="49"/>
        <item x="59"/>
        <item x="26"/>
        <item x="13"/>
        <item x="50"/>
        <item x="27"/>
        <item x="45"/>
        <item x="1"/>
        <item m="1" x="85"/>
        <item x="2"/>
        <item x="28"/>
        <item m="1" x="74"/>
        <item x="60"/>
        <item m="1" x="82"/>
        <item x="51"/>
        <item m="1" x="72"/>
        <item x="15"/>
        <item x="30"/>
        <item x="52"/>
        <item x="31"/>
        <item x="4"/>
        <item x="32"/>
        <item x="33"/>
        <item x="34"/>
        <item x="35"/>
        <item x="5"/>
        <item x="6"/>
        <item x="47"/>
        <item x="53"/>
        <item x="54"/>
        <item x="64"/>
        <item x="7"/>
        <item m="1" x="88"/>
        <item m="1" x="81"/>
        <item x="37"/>
        <item x="38"/>
        <item x="39"/>
        <item x="8"/>
        <item m="1" x="91"/>
        <item m="1" x="84"/>
        <item x="17"/>
        <item x="9"/>
        <item x="58"/>
        <item x="10"/>
        <item m="1" x="87"/>
        <item x="11"/>
        <item x="40"/>
        <item x="62"/>
        <item x="41"/>
        <item m="1" x="89"/>
        <item x="12"/>
        <item x="61"/>
        <item x="68"/>
        <item x="25"/>
        <item x="18"/>
        <item m="1" x="79"/>
        <item x="16"/>
        <item x="63"/>
        <item m="1" x="70"/>
        <item x="29"/>
        <item m="1" x="78"/>
        <item m="1" x="90"/>
        <item m="1" x="71"/>
        <item x="14"/>
        <item x="66"/>
        <item m="1" x="86"/>
        <item m="1" x="83"/>
        <item x="55"/>
        <item m="1" x="77"/>
        <item x="65"/>
        <item x="56"/>
        <item m="1" x="80"/>
        <item m="1" x="76"/>
        <item x="46"/>
        <item x="19"/>
        <item x="42"/>
        <item x="48"/>
        <item x="3"/>
        <item x="36"/>
        <item t="default"/>
      </items>
    </pivotField>
    <pivotField showAll="0"/>
    <pivotField showAll="0"/>
    <pivotField showAll="0"/>
    <pivotField dataField="1" numFmtId="43" showAll="0"/>
    <pivotField showAll="0"/>
    <pivotField showAll="0">
      <items count="5">
        <item x="1"/>
        <item h="1" x="0"/>
        <item h="1" x="2"/>
        <item h="1" m="1" x="3"/>
        <item t="default"/>
      </items>
    </pivotField>
    <pivotField showAll="0"/>
    <pivotField numFmtId="43" showAll="0"/>
  </pivotFields>
  <rowFields count="1">
    <field x="2"/>
  </rowFields>
  <rowItems count="16">
    <i>
      <x v="10"/>
    </i>
    <i>
      <x v="16"/>
    </i>
    <i>
      <x v="18"/>
    </i>
    <i>
      <x v="20"/>
    </i>
    <i>
      <x v="29"/>
    </i>
    <i>
      <x v="33"/>
    </i>
    <i>
      <x v="44"/>
    </i>
    <i>
      <x v="47"/>
    </i>
    <i>
      <x v="50"/>
    </i>
    <i>
      <x v="53"/>
    </i>
    <i>
      <x v="56"/>
    </i>
    <i>
      <x v="60"/>
    </i>
    <i>
      <x v="67"/>
    </i>
    <i>
      <x v="69"/>
    </i>
    <i>
      <x v="76"/>
    </i>
    <i>
      <x v="82"/>
    </i>
  </rowItems>
  <colItems count="1">
    <i/>
  </colItems>
  <dataFields count="1">
    <dataField name="Sum of Invoice Amount" fld="6" baseField="4" baseItem="0" numFmtId="43"/>
  </dataFields>
  <formats count="21">
    <format dxfId="271">
      <pivotArea type="all" dataOnly="0" outline="0" fieldPosition="0"/>
    </format>
    <format dxfId="270">
      <pivotArea outline="0" collapsedLevelsAreSubtotals="1" fieldPosition="0"/>
    </format>
    <format dxfId="269">
      <pivotArea type="origin" dataOnly="0" labelOnly="1" outline="0" fieldPosition="0"/>
    </format>
    <format dxfId="268">
      <pivotArea field="8" type="button" dataOnly="0" labelOnly="1" outline="0"/>
    </format>
    <format dxfId="267">
      <pivotArea type="topRight" dataOnly="0" labelOnly="1" outline="0" fieldPosition="0"/>
    </format>
    <format dxfId="266">
      <pivotArea field="2" type="button" dataOnly="0" labelOnly="1" outline="0" axis="axisRow" fieldPosition="0"/>
    </format>
    <format dxfId="265">
      <pivotArea dataOnly="0" labelOnly="1" grandRow="1" outline="0" fieldPosition="0"/>
    </format>
    <format dxfId="264">
      <pivotArea dataOnly="0" labelOnly="1" grandCol="1" outline="0" fieldPosition="0"/>
    </format>
    <format dxfId="263">
      <pivotArea type="all" dataOnly="0" outline="0" fieldPosition="0"/>
    </format>
    <format dxfId="262">
      <pivotArea type="origin" dataOnly="0" labelOnly="1" outline="0" fieldPosition="0"/>
    </format>
    <format dxfId="261">
      <pivotArea field="8" type="button" dataOnly="0" labelOnly="1" outline="0"/>
    </format>
    <format dxfId="260">
      <pivotArea type="topRight" dataOnly="0" labelOnly="1" outline="0" fieldPosition="0"/>
    </format>
    <format dxfId="259">
      <pivotArea dataOnly="0" labelOnly="1" grandRow="1" outline="0" fieldPosition="0"/>
    </format>
    <format dxfId="258">
      <pivotArea dataOnly="0" labelOnly="1" grandCol="1" outline="0" fieldPosition="0"/>
    </format>
    <format dxfId="257">
      <pivotArea outline="0" fieldPosition="0">
        <references count="1">
          <reference field="4294967294" count="1">
            <x v="0"/>
          </reference>
        </references>
      </pivotArea>
    </format>
    <format dxfId="256">
      <pivotArea type="all" dataOnly="0" outline="0" fieldPosition="0"/>
    </format>
    <format dxfId="255">
      <pivotArea outline="0" collapsedLevelsAreSubtotals="1" fieldPosition="0"/>
    </format>
    <format dxfId="254">
      <pivotArea field="2" type="button" dataOnly="0" labelOnly="1" outline="0" axis="axisRow" fieldPosition="0"/>
    </format>
    <format dxfId="253">
      <pivotArea dataOnly="0" labelOnly="1" fieldPosition="0">
        <references count="1">
          <reference field="2" count="50">
            <x v="0"/>
            <x v="1"/>
            <x v="2"/>
            <x v="3"/>
            <x v="4"/>
            <x v="6"/>
            <x v="7"/>
            <x v="9"/>
            <x v="10"/>
            <x v="11"/>
            <x v="13"/>
            <x v="15"/>
            <x v="16"/>
            <x v="17"/>
            <x v="18"/>
            <x v="19"/>
            <x v="20"/>
            <x v="23"/>
            <x v="25"/>
            <x v="27"/>
            <x v="28"/>
            <x v="31"/>
            <x v="32"/>
            <x v="33"/>
            <x v="34"/>
            <x v="35"/>
            <x v="36"/>
            <x v="37"/>
            <x v="38"/>
            <x v="39"/>
            <x v="47"/>
            <x v="48"/>
            <x v="49"/>
            <x v="53"/>
            <x v="55"/>
            <x v="56"/>
            <x v="58"/>
            <x v="59"/>
            <x v="60"/>
            <x v="61"/>
            <x v="64"/>
            <x v="66"/>
            <x v="69"/>
            <x v="70"/>
            <x v="71"/>
            <x v="72"/>
            <x v="75"/>
            <x v="76"/>
            <x v="77"/>
            <x v="87"/>
          </reference>
        </references>
      </pivotArea>
    </format>
    <format dxfId="252">
      <pivotArea dataOnly="0" labelOnly="1" fieldPosition="0">
        <references count="1">
          <reference field="2" count="1">
            <x v="88"/>
          </reference>
        </references>
      </pivotArea>
    </format>
    <format dxfId="2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062C0E7-280E-4A8A-9B24-E1EED0D3F64B}" sourceName="Type">
  <pivotTables>
    <pivotTable tabId="3" name="PivotTable1"/>
  </pivotTables>
  <data>
    <tabular pivotCacheId="1664093119">
      <items count="4">
        <i x="1" s="1"/>
        <i x="0"/>
        <i x="2"/>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FA938297-3E2E-4236-AC63-F3E01647C3B6}" sourceName="Type">
  <pivotTables>
    <pivotTable tabId="3" name="PivotTable5"/>
  </pivotTables>
  <data>
    <tabular pivotCacheId="1664093119">
      <items count="4">
        <i x="1" s="1"/>
        <i x="0"/>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296D6585-60B7-42FD-B21B-AE4B6E726089}" cache="Slicer_Type" caption="Type" columnCount="3" showCaption="0" style="Slicer Style 2" rowHeight="241300"/>
  <slicer name="Type 1" xr10:uid="{1715D936-589A-4D9D-B6B8-E97951CC65D4}" cache="Slicer_Type1" caption="Type" columnCount="3" showCaption="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15D6B-B22F-438B-AAEB-16767509A9BF}" name="Table1" displayName="Table1" ref="A2:K454" totalsRowShown="0" headerRowDxfId="286" dataDxfId="284" headerRowBorderDxfId="285" tableBorderDxfId="283">
  <autoFilter ref="A2:K454" xr:uid="{F9015D6B-B22F-438B-AAEB-16767509A9BF}"/>
  <tableColumns count="11">
    <tableColumn id="1" xr3:uid="{6A625359-D3A2-4442-B67F-5140DD0AB5DC}" name="ID" dataDxfId="282"/>
    <tableColumn id="2" xr3:uid="{ACBA5974-AAEF-4B4A-B665-2DD6138BD3C3}" name="Month" dataDxfId="281"/>
    <tableColumn id="3" xr3:uid="{00511FDC-F280-4E31-9EA7-EDB2C4506E41}" name="Dept" dataDxfId="280">
      <calculatedColumnFormula>LEFT(Table1[[#This Row],[Project No]],2)</calculatedColumnFormula>
    </tableColumn>
    <tableColumn id="4" xr3:uid="{3B7CC0A3-85BF-4DE2-9E75-9D57A7A4D9BF}" name="Project No" dataDxfId="279"/>
    <tableColumn id="5" xr3:uid="{3D0DA0AD-A14D-46C6-8E79-E21E3598EFC3}" name="Paying" dataDxfId="278"/>
    <tableColumn id="6" xr3:uid="{8244F7DB-7278-40B5-A542-8FCFF377F5E8}" name="Non-Paying" dataDxfId="277"/>
    <tableColumn id="7" xr3:uid="{63F50CE4-5887-4E25-8B56-2CB28E750B2B}" name="Invoice Amount" dataDxfId="276" dataCellStyle="Comma"/>
    <tableColumn id="8" xr3:uid="{1880A97D-47C2-458E-9260-35B1194C3A95}" name="Invoice No" dataDxfId="275"/>
    <tableColumn id="9" xr3:uid="{D41EF062-9A52-4043-9EC9-A175E3A5BD67}" name="Type" dataDxfId="274"/>
    <tableColumn id="10" xr3:uid="{CD09905E-B500-43EE-85B0-6F541D4D5A33}" name="Outstanding" dataDxfId="273" dataCellStyle="Comma">
      <calculatedColumnFormula>SUMIF(OpenInvoices!C:C,Table1[[#This Row],[Invoice No]],OpenInvoices!N:N)</calculatedColumnFormula>
    </tableColumn>
    <tableColumn id="11" xr3:uid="{443D5C24-EC06-4137-AA59-3EFE3990ED2D}" name="Paid" dataDxfId="272">
      <calculatedColumnFormula>IF(Table1[[#This Row],[Outstanding]]=0,Table1[[#This Row],[Invoice Amount]],Table1[[#This Row],[Outstanding]]-Table1[[#This Row],[Invoice Amount]])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rinterSettings" Target="../printerSettings/printerSettings3.bin"/><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646D-F634-4658-AC7F-B4A012BE8276}">
  <sheetPr codeName="Sheet1">
    <tabColor theme="1"/>
  </sheetPr>
  <dimension ref="AA5:AR31"/>
  <sheetViews>
    <sheetView zoomScale="85" zoomScaleNormal="85" workbookViewId="0">
      <selection activeCell="AB8" sqref="AB8"/>
    </sheetView>
  </sheetViews>
  <sheetFormatPr defaultRowHeight="15" x14ac:dyDescent="0.25"/>
  <cols>
    <col min="1" max="30" width="9.140625" style="1"/>
    <col min="31" max="32" width="15.28515625" style="1" bestFit="1" customWidth="1"/>
    <col min="33" max="33" width="10.140625" style="1" bestFit="1" customWidth="1"/>
    <col min="34" max="35" width="9.140625" style="1"/>
    <col min="36" max="36" width="15.28515625" style="1" bestFit="1" customWidth="1"/>
    <col min="37" max="16384" width="9.140625" style="1"/>
  </cols>
  <sheetData>
    <row r="5" spans="27:44" ht="16.5" x14ac:dyDescent="0.35">
      <c r="AA5" s="2"/>
      <c r="AB5" s="15"/>
      <c r="AC5" s="2"/>
      <c r="AF5" s="2"/>
      <c r="AG5" s="2"/>
      <c r="AJ5" s="2"/>
      <c r="AK5" s="32"/>
      <c r="AL5" s="2"/>
    </row>
    <row r="6" spans="27:44" x14ac:dyDescent="0.25">
      <c r="AA6" s="8"/>
      <c r="AB6" s="5"/>
      <c r="AC6" s="2"/>
      <c r="AE6" s="2"/>
      <c r="AF6" s="2"/>
      <c r="AG6" s="2"/>
      <c r="AJ6" s="8"/>
      <c r="AK6" s="5"/>
      <c r="AL6" s="2"/>
      <c r="AN6" s="2"/>
      <c r="AO6" s="9"/>
      <c r="AP6" s="2"/>
      <c r="AQ6" s="2"/>
      <c r="AR6" s="2"/>
    </row>
    <row r="7" spans="27:44" x14ac:dyDescent="0.25">
      <c r="AA7" s="6"/>
      <c r="AB7" s="4"/>
      <c r="AC7" s="2"/>
      <c r="AE7" s="2"/>
      <c r="AF7" s="2"/>
      <c r="AG7" s="2"/>
      <c r="AJ7" s="6"/>
      <c r="AK7" s="4"/>
      <c r="AL7" s="2"/>
      <c r="AN7" s="2"/>
      <c r="AO7" s="9"/>
      <c r="AP7" s="2"/>
      <c r="AQ7" s="2"/>
      <c r="AR7" s="2"/>
    </row>
    <row r="8" spans="27:44" x14ac:dyDescent="0.25">
      <c r="AA8" s="3"/>
      <c r="AB8" s="2"/>
      <c r="AC8" s="2"/>
      <c r="AE8" s="2"/>
      <c r="AF8" s="2"/>
      <c r="AG8" s="2"/>
      <c r="AJ8" s="3"/>
      <c r="AK8" s="2"/>
      <c r="AL8" s="2"/>
      <c r="AN8" s="2"/>
      <c r="AO8" s="9"/>
      <c r="AP8" s="2"/>
      <c r="AQ8" s="2"/>
      <c r="AR8" s="2"/>
    </row>
    <row r="9" spans="27:44" x14ac:dyDescent="0.25">
      <c r="AA9" s="3"/>
      <c r="AB9" s="2"/>
      <c r="AC9" s="2"/>
      <c r="AE9" s="2"/>
      <c r="AF9" s="2"/>
      <c r="AG9" s="2"/>
      <c r="AJ9" s="3"/>
      <c r="AK9" s="2"/>
      <c r="AL9" s="2"/>
      <c r="AN9" s="2"/>
      <c r="AO9" s="9"/>
      <c r="AP9" s="2"/>
      <c r="AQ9" s="2"/>
      <c r="AR9" s="2"/>
    </row>
    <row r="10" spans="27:44" x14ac:dyDescent="0.25">
      <c r="AA10" s="3"/>
      <c r="AB10" s="2"/>
      <c r="AC10" s="2"/>
      <c r="AE10" s="2"/>
      <c r="AF10" s="2"/>
      <c r="AG10" s="2"/>
      <c r="AJ10" s="3"/>
      <c r="AK10" s="2"/>
      <c r="AL10" s="2"/>
      <c r="AN10" s="2"/>
      <c r="AO10" s="9"/>
      <c r="AP10" s="2"/>
      <c r="AQ10" s="2"/>
      <c r="AR10" s="2"/>
    </row>
    <row r="11" spans="27:44" x14ac:dyDescent="0.25">
      <c r="AA11" s="3"/>
      <c r="AB11" s="2"/>
      <c r="AC11" s="2"/>
      <c r="AE11" s="2"/>
      <c r="AF11" s="2"/>
      <c r="AG11" s="2"/>
      <c r="AJ11" s="3"/>
      <c r="AK11" s="2"/>
      <c r="AL11" s="2"/>
      <c r="AN11" s="2"/>
      <c r="AO11" s="9"/>
      <c r="AP11" s="2"/>
      <c r="AQ11" s="2"/>
      <c r="AR11" s="2"/>
    </row>
    <row r="12" spans="27:44" x14ac:dyDescent="0.25">
      <c r="AA12" s="3"/>
      <c r="AB12" s="2"/>
      <c r="AC12" s="2"/>
      <c r="AE12" s="2"/>
      <c r="AF12" s="2"/>
      <c r="AG12" s="2"/>
      <c r="AJ12" s="3"/>
      <c r="AK12" s="2"/>
      <c r="AL12" s="2"/>
      <c r="AN12" s="2"/>
      <c r="AO12" s="9"/>
      <c r="AP12" s="2"/>
      <c r="AQ12" s="2"/>
      <c r="AR12" s="2"/>
    </row>
    <row r="13" spans="27:44" x14ac:dyDescent="0.25">
      <c r="AA13" s="3"/>
      <c r="AB13" s="2"/>
      <c r="AC13" s="2"/>
      <c r="AE13" s="2"/>
      <c r="AF13" s="2"/>
      <c r="AG13" s="2"/>
      <c r="AJ13" s="3"/>
      <c r="AK13" s="2"/>
      <c r="AL13" s="2"/>
      <c r="AN13" s="2"/>
      <c r="AO13" s="9"/>
      <c r="AP13" s="2"/>
      <c r="AQ13" s="2"/>
      <c r="AR13" s="2"/>
    </row>
    <row r="14" spans="27:44" x14ac:dyDescent="0.25">
      <c r="AA14" s="3"/>
      <c r="AB14" s="2"/>
      <c r="AC14" s="2"/>
      <c r="AE14" s="2"/>
      <c r="AF14" s="2"/>
      <c r="AG14" s="2"/>
      <c r="AJ14" s="3"/>
      <c r="AK14" s="2"/>
      <c r="AL14" s="2"/>
      <c r="AN14" s="2"/>
      <c r="AO14" s="9"/>
      <c r="AP14" s="2"/>
      <c r="AQ14" s="2"/>
      <c r="AR14" s="2"/>
    </row>
    <row r="15" spans="27:44" x14ac:dyDescent="0.25">
      <c r="AA15" s="3"/>
      <c r="AB15" s="2"/>
      <c r="AC15" s="2"/>
      <c r="AE15" s="2"/>
      <c r="AF15" s="2"/>
      <c r="AG15" s="2"/>
      <c r="AJ15" s="3"/>
      <c r="AK15" s="2"/>
      <c r="AL15" s="2"/>
      <c r="AN15" s="2"/>
      <c r="AO15" s="9"/>
      <c r="AP15" s="2"/>
      <c r="AQ15" s="2"/>
      <c r="AR15" s="2"/>
    </row>
    <row r="16" spans="27:44" x14ac:dyDescent="0.25">
      <c r="AA16" s="3"/>
      <c r="AB16" s="2"/>
      <c r="AC16" s="2"/>
      <c r="AF16" s="15"/>
      <c r="AG16" s="2"/>
      <c r="AN16" s="2"/>
      <c r="AO16" s="9"/>
      <c r="AP16" s="2"/>
      <c r="AQ16" s="2"/>
      <c r="AR16" s="2"/>
    </row>
    <row r="17" spans="27:44" x14ac:dyDescent="0.25">
      <c r="AA17" s="12"/>
      <c r="AB17" s="11"/>
      <c r="AC17" s="2"/>
      <c r="AE17" s="3"/>
      <c r="AF17" s="2"/>
      <c r="AG17" s="13"/>
      <c r="AH17" s="2"/>
      <c r="AJ17" s="12"/>
      <c r="AK17" s="11"/>
      <c r="AL17" s="2"/>
      <c r="AM17" s="2"/>
      <c r="AN17" s="2"/>
      <c r="AO17" s="9"/>
      <c r="AP17" s="2"/>
      <c r="AQ17" s="2"/>
      <c r="AR17" s="2"/>
    </row>
    <row r="18" spans="27:44" x14ac:dyDescent="0.25">
      <c r="AA18" s="3"/>
      <c r="AB18" s="2"/>
      <c r="AC18" s="2"/>
      <c r="AE18" s="2"/>
      <c r="AF18" s="2"/>
      <c r="AG18" s="13"/>
      <c r="AH18" s="2"/>
      <c r="AJ18" s="3"/>
      <c r="AK18" s="2"/>
      <c r="AL18" s="2"/>
      <c r="AN18" s="2"/>
      <c r="AO18" s="9"/>
      <c r="AP18" s="2"/>
      <c r="AQ18" s="2"/>
      <c r="AR18" s="2"/>
    </row>
    <row r="19" spans="27:44" x14ac:dyDescent="0.25">
      <c r="AA19" s="3"/>
      <c r="AB19" s="2"/>
      <c r="AC19" s="2"/>
      <c r="AE19" s="2"/>
      <c r="AF19" s="2"/>
      <c r="AG19" s="14"/>
      <c r="AH19" s="2"/>
      <c r="AJ19" s="3"/>
      <c r="AK19" s="2"/>
      <c r="AL19" s="2"/>
      <c r="AN19" s="2"/>
      <c r="AO19" s="9"/>
      <c r="AP19" s="2"/>
      <c r="AQ19" s="2"/>
      <c r="AR19" s="2"/>
    </row>
    <row r="20" spans="27:44" x14ac:dyDescent="0.25">
      <c r="AA20" s="3"/>
      <c r="AB20" s="2"/>
      <c r="AC20" s="2"/>
      <c r="AE20" s="2"/>
      <c r="AF20" s="2"/>
      <c r="AG20" s="14"/>
      <c r="AH20" s="2"/>
      <c r="AJ20" s="3"/>
      <c r="AK20" s="2"/>
      <c r="AL20" s="2"/>
      <c r="AN20" s="2"/>
      <c r="AO20" s="9"/>
      <c r="AP20" s="2"/>
      <c r="AQ20" s="2"/>
      <c r="AR20" s="2"/>
    </row>
    <row r="21" spans="27:44" x14ac:dyDescent="0.25">
      <c r="AA21" s="10"/>
      <c r="AB21" s="11"/>
      <c r="AC21" s="2"/>
      <c r="AJ21" s="10"/>
      <c r="AK21" s="11"/>
      <c r="AL21" s="2"/>
      <c r="AN21" s="2"/>
      <c r="AO21" s="9"/>
      <c r="AP21" s="2"/>
      <c r="AQ21" s="2"/>
      <c r="AR21" s="2"/>
    </row>
    <row r="22" spans="27:44" x14ac:dyDescent="0.25">
      <c r="AA22" s="9"/>
      <c r="AB22" s="2"/>
      <c r="AC22" s="2"/>
      <c r="AE22" s="16"/>
      <c r="AF22" s="2"/>
      <c r="AG22" s="14"/>
      <c r="AH22" s="2"/>
      <c r="AJ22" s="9"/>
      <c r="AK22" s="2"/>
      <c r="AL22" s="2"/>
      <c r="AN22" s="2"/>
      <c r="AO22" s="9"/>
      <c r="AP22" s="2"/>
      <c r="AQ22" s="2"/>
      <c r="AR22" s="2"/>
    </row>
    <row r="23" spans="27:44" x14ac:dyDescent="0.25">
      <c r="AA23" s="9"/>
      <c r="AB23" s="2"/>
      <c r="AC23" s="2"/>
      <c r="AE23" s="16"/>
      <c r="AF23" s="2"/>
      <c r="AG23" s="2"/>
      <c r="AH23" s="2"/>
      <c r="AJ23" s="9"/>
      <c r="AK23" s="2"/>
      <c r="AL23" s="2"/>
      <c r="AN23" s="2"/>
      <c r="AO23" s="9"/>
      <c r="AP23" s="2"/>
      <c r="AQ23" s="2"/>
      <c r="AR23" s="2"/>
    </row>
    <row r="24" spans="27:44" x14ac:dyDescent="0.25">
      <c r="AA24" s="3"/>
      <c r="AB24" s="2"/>
      <c r="AC24" s="2"/>
      <c r="AE24" s="2"/>
      <c r="AF24" s="2"/>
      <c r="AG24" s="2"/>
      <c r="AH24" s="2"/>
      <c r="AN24" s="2"/>
      <c r="AO24" s="9"/>
      <c r="AP24" s="2"/>
      <c r="AQ24" s="2"/>
      <c r="AR24" s="2"/>
    </row>
    <row r="25" spans="27:44" x14ac:dyDescent="0.25">
      <c r="AA25" s="3"/>
      <c r="AB25" s="2"/>
      <c r="AC25" s="2"/>
      <c r="AE25" s="2"/>
      <c r="AF25" s="2"/>
      <c r="AG25" s="2"/>
      <c r="AK25" s="15"/>
      <c r="AL25" s="2"/>
      <c r="AN25" s="2"/>
      <c r="AO25" s="2"/>
      <c r="AP25" s="2"/>
      <c r="AQ25" s="2"/>
      <c r="AR25" s="2"/>
    </row>
    <row r="26" spans="27:44" x14ac:dyDescent="0.25">
      <c r="AA26" s="3"/>
      <c r="AB26" s="2"/>
      <c r="AC26" s="2"/>
      <c r="AE26" s="2"/>
      <c r="AF26" s="2"/>
      <c r="AG26" s="2"/>
      <c r="AJ26" s="3"/>
      <c r="AK26" s="2"/>
      <c r="AL26" s="14"/>
      <c r="AM26" s="2"/>
      <c r="AN26" s="2"/>
      <c r="AO26" s="2"/>
      <c r="AP26" s="2"/>
      <c r="AQ26" s="2"/>
      <c r="AR26" s="2"/>
    </row>
    <row r="27" spans="27:44" x14ac:dyDescent="0.25">
      <c r="AA27" s="3"/>
      <c r="AB27" s="2"/>
      <c r="AC27" s="2"/>
      <c r="AJ27" s="2"/>
      <c r="AK27" s="2"/>
      <c r="AL27" s="13"/>
      <c r="AM27" s="2"/>
    </row>
    <row r="28" spans="27:44" x14ac:dyDescent="0.25">
      <c r="AA28" s="7"/>
      <c r="AJ28" s="2"/>
      <c r="AK28" s="2"/>
      <c r="AL28" s="14"/>
      <c r="AM28" s="2"/>
    </row>
    <row r="29" spans="27:44" x14ac:dyDescent="0.25">
      <c r="AA29" s="7"/>
      <c r="AJ29" s="2"/>
      <c r="AK29" s="2"/>
      <c r="AL29" s="14"/>
      <c r="AM29" s="2"/>
      <c r="AN29" s="2"/>
      <c r="AO29" s="2"/>
    </row>
    <row r="30" spans="27:44" x14ac:dyDescent="0.25">
      <c r="AA30" s="7"/>
      <c r="AN30" s="9"/>
      <c r="AO30" s="2"/>
    </row>
    <row r="31" spans="27:44" x14ac:dyDescent="0.25">
      <c r="AA31" s="7"/>
      <c r="AJ31" s="16"/>
      <c r="AK31" s="2"/>
      <c r="AL31" s="14"/>
      <c r="AM31" s="2"/>
    </row>
  </sheetData>
  <conditionalFormatting sqref="AO6:AO24">
    <cfRule type="cellIs" dxfId="185" priority="1" operator="greaterThanOrEqual">
      <formula>0</formula>
    </cfRule>
    <cfRule type="cellIs" dxfId="184" priority="2" operator="less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A2D80-0D9C-4810-AEE0-7CDA8D03E6FB}">
  <sheetPr>
    <pageSetUpPr fitToPage="1"/>
  </sheetPr>
  <dimension ref="B1:Q59"/>
  <sheetViews>
    <sheetView workbookViewId="0">
      <selection activeCell="L39" sqref="L39"/>
    </sheetView>
  </sheetViews>
  <sheetFormatPr defaultRowHeight="12.75" x14ac:dyDescent="0.2"/>
  <cols>
    <col min="1" max="1" width="8" style="45" customWidth="1"/>
    <col min="2" max="2" width="26.140625" style="45" bestFit="1" customWidth="1"/>
    <col min="3" max="8" width="8.5703125" style="45" customWidth="1"/>
    <col min="9" max="10" width="9.140625" style="45"/>
    <col min="11" max="11" width="4.7109375" style="45" customWidth="1"/>
    <col min="12" max="17" width="23.7109375" style="45" customWidth="1"/>
    <col min="18" max="16384" width="9.140625" style="45"/>
  </cols>
  <sheetData>
    <row r="1" spans="2:17" ht="13.5" thickBot="1" x14ac:dyDescent="0.25"/>
    <row r="2" spans="2:17" x14ac:dyDescent="0.2">
      <c r="B2" s="49" t="s">
        <v>716</v>
      </c>
      <c r="C2" s="50">
        <v>1135</v>
      </c>
      <c r="D2" s="50">
        <v>1135</v>
      </c>
      <c r="E2" s="50">
        <v>1126</v>
      </c>
      <c r="F2" s="50">
        <v>1019</v>
      </c>
      <c r="G2" s="50">
        <v>853</v>
      </c>
      <c r="H2" s="50">
        <v>767</v>
      </c>
      <c r="K2" s="67" t="s">
        <v>1351</v>
      </c>
      <c r="L2" s="68"/>
      <c r="M2" s="68"/>
      <c r="N2" s="68"/>
      <c r="O2" s="68"/>
      <c r="P2" s="68"/>
      <c r="Q2" s="69"/>
    </row>
    <row r="3" spans="2:17" x14ac:dyDescent="0.2">
      <c r="B3" s="85" t="s">
        <v>1362</v>
      </c>
      <c r="C3" s="86"/>
      <c r="D3" s="87">
        <f>SUM(D2-C2)/C2</f>
        <v>0</v>
      </c>
      <c r="E3" s="87">
        <f t="shared" ref="E3" si="0">SUM(E2-D2)/D2</f>
        <v>-7.9295154185022032E-3</v>
      </c>
      <c r="F3" s="87">
        <f t="shared" ref="F3" si="1">SUM(F2-E2)/E2</f>
        <v>-9.5026642984014212E-2</v>
      </c>
      <c r="G3" s="87">
        <f t="shared" ref="G3:H3" si="2">SUM(G2-F2)/F2</f>
        <v>-0.16290480863591755</v>
      </c>
      <c r="H3" s="87">
        <f t="shared" si="2"/>
        <v>-0.10082063305978899</v>
      </c>
      <c r="K3" s="51" t="s">
        <v>1349</v>
      </c>
      <c r="Q3" s="52"/>
    </row>
    <row r="4" spans="2:17" x14ac:dyDescent="0.2">
      <c r="B4" s="48" t="s">
        <v>8</v>
      </c>
      <c r="C4" s="47" t="s">
        <v>1245</v>
      </c>
      <c r="D4" s="47" t="s">
        <v>1244</v>
      </c>
      <c r="E4" s="47" t="s">
        <v>1246</v>
      </c>
      <c r="F4" s="47" t="s">
        <v>1247</v>
      </c>
      <c r="G4" s="47" t="s">
        <v>1248</v>
      </c>
      <c r="H4" s="47" t="s">
        <v>2861</v>
      </c>
      <c r="I4" s="82"/>
      <c r="K4" s="53" t="s">
        <v>145</v>
      </c>
      <c r="L4" s="54" t="s">
        <v>1245</v>
      </c>
      <c r="M4" s="54" t="s">
        <v>1244</v>
      </c>
      <c r="N4" s="54" t="s">
        <v>1246</v>
      </c>
      <c r="O4" s="54" t="s">
        <v>1247</v>
      </c>
      <c r="P4" s="54" t="s">
        <v>1248</v>
      </c>
      <c r="Q4" s="54" t="s">
        <v>2861</v>
      </c>
    </row>
    <row r="5" spans="2:17" x14ac:dyDescent="0.2">
      <c r="B5" s="45" t="s">
        <v>20</v>
      </c>
      <c r="C5" s="46">
        <v>652</v>
      </c>
      <c r="D5" s="46">
        <v>557</v>
      </c>
      <c r="E5" s="46">
        <v>652</v>
      </c>
      <c r="F5" s="46">
        <v>664</v>
      </c>
      <c r="G5" s="46">
        <v>575</v>
      </c>
      <c r="H5" s="46">
        <v>533</v>
      </c>
      <c r="K5" s="55">
        <v>1</v>
      </c>
      <c r="L5" s="70" t="s">
        <v>23</v>
      </c>
      <c r="M5" s="70" t="s">
        <v>23</v>
      </c>
      <c r="N5" s="70" t="s">
        <v>23</v>
      </c>
      <c r="O5" s="70" t="s">
        <v>23</v>
      </c>
      <c r="P5" s="70" t="s">
        <v>23</v>
      </c>
      <c r="Q5" s="115" t="s">
        <v>37</v>
      </c>
    </row>
    <row r="6" spans="2:17" x14ac:dyDescent="0.2">
      <c r="B6" s="85" t="s">
        <v>1362</v>
      </c>
      <c r="C6" s="86"/>
      <c r="D6" s="87">
        <f>SUM(D5-C5)/C5</f>
        <v>-0.14570552147239263</v>
      </c>
      <c r="E6" s="87">
        <f>SUM(E5-D5)/D5</f>
        <v>0.17055655296229802</v>
      </c>
      <c r="F6" s="87">
        <f t="shared" ref="F6:H6" si="3">SUM(F5-E5)/E5</f>
        <v>1.8404907975460124E-2</v>
      </c>
      <c r="G6" s="87">
        <f t="shared" si="3"/>
        <v>-0.13403614457831325</v>
      </c>
      <c r="H6" s="87">
        <f t="shared" si="3"/>
        <v>-7.3043478260869571E-2</v>
      </c>
      <c r="I6" s="82"/>
      <c r="K6" s="55">
        <v>2</v>
      </c>
      <c r="L6" s="71" t="s">
        <v>26</v>
      </c>
      <c r="M6" s="72" t="s">
        <v>24</v>
      </c>
      <c r="N6" s="72" t="s">
        <v>24</v>
      </c>
      <c r="O6" s="72" t="s">
        <v>24</v>
      </c>
      <c r="P6" s="113" t="s">
        <v>1070</v>
      </c>
      <c r="Q6" s="112" t="s">
        <v>1070</v>
      </c>
    </row>
    <row r="7" spans="2:17" x14ac:dyDescent="0.2">
      <c r="B7" s="45" t="s">
        <v>13</v>
      </c>
      <c r="C7" s="46">
        <v>377</v>
      </c>
      <c r="D7" s="46">
        <v>404</v>
      </c>
      <c r="E7" s="46">
        <v>377</v>
      </c>
      <c r="F7" s="46">
        <v>285</v>
      </c>
      <c r="G7" s="46">
        <v>210</v>
      </c>
      <c r="H7" s="46">
        <v>179</v>
      </c>
      <c r="I7" s="82"/>
      <c r="K7" s="55">
        <v>3</v>
      </c>
      <c r="L7" s="72" t="s">
        <v>24</v>
      </c>
      <c r="M7" s="71" t="s">
        <v>26</v>
      </c>
      <c r="N7" s="71" t="s">
        <v>26</v>
      </c>
      <c r="O7" s="74" t="s">
        <v>16</v>
      </c>
      <c r="P7" s="72" t="s">
        <v>24</v>
      </c>
      <c r="Q7" s="74" t="s">
        <v>16</v>
      </c>
    </row>
    <row r="8" spans="2:17" x14ac:dyDescent="0.2">
      <c r="B8" s="85" t="s">
        <v>1362</v>
      </c>
      <c r="C8" s="86"/>
      <c r="D8" s="87">
        <f>SUM(D7-C7)/C7</f>
        <v>7.161803713527852E-2</v>
      </c>
      <c r="E8" s="87">
        <f t="shared" ref="E8" si="4">SUM(E7-D7)/D7</f>
        <v>-6.6831683168316836E-2</v>
      </c>
      <c r="F8" s="87">
        <f t="shared" ref="F8" si="5">SUM(F7-E7)/E7</f>
        <v>-0.24403183023872679</v>
      </c>
      <c r="G8" s="87">
        <f t="shared" ref="G8:H8" si="6">SUM(G7-F7)/F7</f>
        <v>-0.26315789473684209</v>
      </c>
      <c r="H8" s="87">
        <f t="shared" si="6"/>
        <v>-0.14761904761904762</v>
      </c>
      <c r="K8" s="55">
        <v>4</v>
      </c>
      <c r="L8" s="45" t="s">
        <v>42</v>
      </c>
      <c r="M8" s="45" t="s">
        <v>41</v>
      </c>
      <c r="N8" s="45" t="s">
        <v>1353</v>
      </c>
      <c r="O8" s="75" t="s">
        <v>724</v>
      </c>
      <c r="P8" s="45" t="s">
        <v>25</v>
      </c>
      <c r="Q8" s="52" t="s">
        <v>69</v>
      </c>
    </row>
    <row r="9" spans="2:17" x14ac:dyDescent="0.2">
      <c r="B9" s="45" t="s">
        <v>18</v>
      </c>
      <c r="C9" s="46">
        <v>106</v>
      </c>
      <c r="D9" s="46">
        <v>174</v>
      </c>
      <c r="E9" s="46">
        <v>97</v>
      </c>
      <c r="F9" s="46">
        <v>70</v>
      </c>
      <c r="G9" s="46">
        <v>68</v>
      </c>
      <c r="H9" s="46">
        <v>55</v>
      </c>
      <c r="K9" s="55">
        <v>5</v>
      </c>
      <c r="L9" s="75" t="s">
        <v>63</v>
      </c>
      <c r="M9" s="115" t="s">
        <v>37</v>
      </c>
      <c r="N9" s="74" t="s">
        <v>16</v>
      </c>
      <c r="O9" s="71" t="s">
        <v>26</v>
      </c>
      <c r="P9" s="74" t="s">
        <v>16</v>
      </c>
      <c r="Q9" s="52" t="s">
        <v>54</v>
      </c>
    </row>
    <row r="10" spans="2:17" x14ac:dyDescent="0.2">
      <c r="B10" s="85" t="s">
        <v>1362</v>
      </c>
      <c r="C10" s="88"/>
      <c r="D10" s="87">
        <f>SUM(D9-C9)/C9</f>
        <v>0.64150943396226412</v>
      </c>
      <c r="E10" s="87">
        <f t="shared" ref="E10" si="7">SUM(E9-D9)/D9</f>
        <v>-0.44252873563218392</v>
      </c>
      <c r="F10" s="87">
        <f t="shared" ref="F10" si="8">SUM(F9-E9)/E9</f>
        <v>-0.27835051546391754</v>
      </c>
      <c r="G10" s="87">
        <f t="shared" ref="G10:H10" si="9">SUM(G9-F9)/F9</f>
        <v>-2.8571428571428571E-2</v>
      </c>
      <c r="H10" s="87">
        <f t="shared" si="9"/>
        <v>-0.19117647058823528</v>
      </c>
      <c r="K10" s="55"/>
      <c r="Q10" s="52"/>
    </row>
    <row r="11" spans="2:17" x14ac:dyDescent="0.2">
      <c r="K11" s="56" t="s">
        <v>1348</v>
      </c>
      <c r="Q11" s="52"/>
    </row>
    <row r="12" spans="2:17" x14ac:dyDescent="0.2">
      <c r="K12" s="57" t="s">
        <v>145</v>
      </c>
      <c r="L12" s="58" t="s">
        <v>1245</v>
      </c>
      <c r="M12" s="58" t="s">
        <v>1244</v>
      </c>
      <c r="N12" s="58" t="s">
        <v>1246</v>
      </c>
      <c r="O12" s="58" t="s">
        <v>1247</v>
      </c>
      <c r="P12" s="58" t="s">
        <v>1248</v>
      </c>
      <c r="Q12" s="59" t="s">
        <v>2861</v>
      </c>
    </row>
    <row r="13" spans="2:17" x14ac:dyDescent="0.2">
      <c r="K13" s="55">
        <v>1</v>
      </c>
      <c r="L13" s="75" t="s">
        <v>1357</v>
      </c>
      <c r="M13" s="70" t="s">
        <v>48</v>
      </c>
      <c r="N13" s="70" t="s">
        <v>48</v>
      </c>
      <c r="O13" s="71" t="s">
        <v>49</v>
      </c>
      <c r="P13" s="70" t="s">
        <v>48</v>
      </c>
      <c r="Q13" s="52" t="s">
        <v>2095</v>
      </c>
    </row>
    <row r="14" spans="2:17" x14ac:dyDescent="0.2">
      <c r="K14" s="55">
        <v>2</v>
      </c>
      <c r="L14" s="70" t="s">
        <v>48</v>
      </c>
      <c r="M14" s="45" t="s">
        <v>16</v>
      </c>
      <c r="N14" s="71" t="s">
        <v>49</v>
      </c>
      <c r="O14" s="78" t="s">
        <v>958</v>
      </c>
      <c r="P14" s="45" t="s">
        <v>1061</v>
      </c>
      <c r="Q14" s="76" t="s">
        <v>48</v>
      </c>
    </row>
    <row r="15" spans="2:17" x14ac:dyDescent="0.2">
      <c r="K15" s="55">
        <v>3</v>
      </c>
      <c r="L15" s="74" t="s">
        <v>1356</v>
      </c>
      <c r="M15" s="45" t="s">
        <v>1355</v>
      </c>
      <c r="N15" s="72" t="s">
        <v>50</v>
      </c>
      <c r="O15" s="70" t="s">
        <v>48</v>
      </c>
      <c r="P15" s="71" t="s">
        <v>49</v>
      </c>
      <c r="Q15" s="52" t="s">
        <v>12</v>
      </c>
    </row>
    <row r="16" spans="2:17" x14ac:dyDescent="0.2">
      <c r="K16" s="55">
        <v>4</v>
      </c>
      <c r="L16" s="45" t="s">
        <v>1360</v>
      </c>
      <c r="M16" s="74" t="s">
        <v>1356</v>
      </c>
      <c r="N16" s="45" t="s">
        <v>595</v>
      </c>
      <c r="O16" s="72" t="s">
        <v>50</v>
      </c>
      <c r="P16" s="72" t="s">
        <v>50</v>
      </c>
      <c r="Q16" s="79" t="s">
        <v>958</v>
      </c>
    </row>
    <row r="17" spans="2:17" x14ac:dyDescent="0.2">
      <c r="K17" s="55">
        <v>5</v>
      </c>
      <c r="L17" s="45" t="s">
        <v>956</v>
      </c>
      <c r="M17" s="75" t="s">
        <v>1357</v>
      </c>
      <c r="N17" s="45" t="s">
        <v>1197</v>
      </c>
      <c r="O17" s="45" t="s">
        <v>12</v>
      </c>
      <c r="P17" s="78" t="s">
        <v>958</v>
      </c>
      <c r="Q17" s="52" t="s">
        <v>2085</v>
      </c>
    </row>
    <row r="18" spans="2:17" x14ac:dyDescent="0.2">
      <c r="K18" s="55"/>
      <c r="Q18" s="52"/>
    </row>
    <row r="19" spans="2:17" x14ac:dyDescent="0.2">
      <c r="K19" s="60" t="s">
        <v>1350</v>
      </c>
      <c r="Q19" s="52"/>
    </row>
    <row r="20" spans="2:17" x14ac:dyDescent="0.2">
      <c r="K20" s="61" t="s">
        <v>145</v>
      </c>
      <c r="L20" s="62" t="s">
        <v>1245</v>
      </c>
      <c r="M20" s="62" t="s">
        <v>1244</v>
      </c>
      <c r="N20" s="62" t="s">
        <v>1246</v>
      </c>
      <c r="O20" s="62" t="s">
        <v>1247</v>
      </c>
      <c r="P20" s="62" t="s">
        <v>1248</v>
      </c>
      <c r="Q20" s="63" t="s">
        <v>2861</v>
      </c>
    </row>
    <row r="21" spans="2:17" x14ac:dyDescent="0.2">
      <c r="K21" s="55">
        <v>1</v>
      </c>
      <c r="L21" s="70" t="s">
        <v>17</v>
      </c>
      <c r="M21" s="70" t="s">
        <v>17</v>
      </c>
      <c r="N21" s="70" t="s">
        <v>17</v>
      </c>
      <c r="O21" s="70" t="s">
        <v>17</v>
      </c>
      <c r="P21" s="45" t="s">
        <v>391</v>
      </c>
      <c r="Q21" s="52"/>
    </row>
    <row r="22" spans="2:17" x14ac:dyDescent="0.2">
      <c r="K22" s="55">
        <v>2</v>
      </c>
      <c r="L22" s="45" t="s">
        <v>959</v>
      </c>
      <c r="M22" s="45" t="s">
        <v>1358</v>
      </c>
      <c r="N22" s="45" t="s">
        <v>1027</v>
      </c>
      <c r="O22" s="71" t="s">
        <v>595</v>
      </c>
      <c r="P22" s="70" t="s">
        <v>17</v>
      </c>
      <c r="Q22" s="52"/>
    </row>
    <row r="23" spans="2:17" x14ac:dyDescent="0.2">
      <c r="K23" s="55">
        <v>3</v>
      </c>
      <c r="L23" s="45" t="s">
        <v>811</v>
      </c>
      <c r="M23" s="45" t="s">
        <v>173</v>
      </c>
      <c r="N23" s="45" t="s">
        <v>1319</v>
      </c>
      <c r="O23" s="45" t="s">
        <v>59</v>
      </c>
      <c r="P23" s="45" t="s">
        <v>928</v>
      </c>
      <c r="Q23" s="52"/>
    </row>
    <row r="24" spans="2:17" x14ac:dyDescent="0.2">
      <c r="K24" s="55">
        <v>4</v>
      </c>
      <c r="L24" s="45" t="s">
        <v>957</v>
      </c>
      <c r="M24" s="45" t="s">
        <v>1359</v>
      </c>
      <c r="N24" s="45" t="s">
        <v>928</v>
      </c>
      <c r="O24" s="45" t="s">
        <v>1354</v>
      </c>
      <c r="P24" s="45" t="s">
        <v>1203</v>
      </c>
      <c r="Q24" s="52"/>
    </row>
    <row r="25" spans="2:17" ht="13.5" thickBot="1" x14ac:dyDescent="0.25">
      <c r="K25" s="64">
        <v>5</v>
      </c>
      <c r="L25" s="65" t="s">
        <v>1164</v>
      </c>
      <c r="M25" s="65" t="s">
        <v>16</v>
      </c>
      <c r="N25" s="80" t="s">
        <v>595</v>
      </c>
      <c r="O25" s="65" t="s">
        <v>1181</v>
      </c>
      <c r="P25" s="65" t="s">
        <v>1068</v>
      </c>
      <c r="Q25" s="66"/>
    </row>
    <row r="26" spans="2:17" ht="13.5" thickBot="1" x14ac:dyDescent="0.25"/>
    <row r="27" spans="2:17" x14ac:dyDescent="0.2">
      <c r="K27" s="67" t="s">
        <v>1352</v>
      </c>
      <c r="L27" s="68"/>
      <c r="M27" s="68"/>
      <c r="N27" s="68"/>
      <c r="O27" s="68"/>
      <c r="P27" s="68"/>
      <c r="Q27" s="69"/>
    </row>
    <row r="28" spans="2:17" x14ac:dyDescent="0.2">
      <c r="K28" s="51" t="s">
        <v>1349</v>
      </c>
      <c r="Q28" s="52"/>
    </row>
    <row r="29" spans="2:17" x14ac:dyDescent="0.2">
      <c r="K29" s="53" t="s">
        <v>145</v>
      </c>
      <c r="L29" s="54" t="s">
        <v>1245</v>
      </c>
      <c r="M29" s="54" t="s">
        <v>1244</v>
      </c>
      <c r="N29" s="54" t="s">
        <v>1246</v>
      </c>
      <c r="O29" s="54" t="s">
        <v>1247</v>
      </c>
      <c r="P29" s="54" t="s">
        <v>1248</v>
      </c>
      <c r="Q29" s="54" t="s">
        <v>2861</v>
      </c>
    </row>
    <row r="30" spans="2:17" x14ac:dyDescent="0.2">
      <c r="K30" s="55">
        <v>1</v>
      </c>
      <c r="L30" s="70" t="s">
        <v>173</v>
      </c>
      <c r="M30" s="70" t="s">
        <v>173</v>
      </c>
      <c r="N30" s="70" t="s">
        <v>173</v>
      </c>
      <c r="O30" s="70" t="s">
        <v>173</v>
      </c>
      <c r="P30" s="70" t="s">
        <v>173</v>
      </c>
      <c r="Q30" s="73" t="s">
        <v>218</v>
      </c>
    </row>
    <row r="31" spans="2:17" x14ac:dyDescent="0.2">
      <c r="K31" s="55">
        <v>2</v>
      </c>
      <c r="L31" s="71" t="s">
        <v>280</v>
      </c>
      <c r="M31" s="71" t="s">
        <v>280</v>
      </c>
      <c r="N31" s="71" t="s">
        <v>280</v>
      </c>
      <c r="O31" s="74" t="s">
        <v>284</v>
      </c>
      <c r="P31" s="74" t="s">
        <v>284</v>
      </c>
      <c r="Q31" s="112" t="s">
        <v>191</v>
      </c>
    </row>
    <row r="32" spans="2:17" x14ac:dyDescent="0.2">
      <c r="B32" s="49" t="s">
        <v>1361</v>
      </c>
      <c r="C32" s="50">
        <v>0</v>
      </c>
      <c r="D32" s="50">
        <v>0</v>
      </c>
      <c r="E32" s="50">
        <v>10574</v>
      </c>
      <c r="F32" s="50">
        <v>13692</v>
      </c>
      <c r="G32" s="50">
        <v>11636</v>
      </c>
      <c r="H32" s="50">
        <v>11159</v>
      </c>
      <c r="K32" s="55">
        <v>3</v>
      </c>
      <c r="L32" s="72" t="s">
        <v>218</v>
      </c>
      <c r="M32" s="78" t="s">
        <v>283</v>
      </c>
      <c r="N32" s="72" t="s">
        <v>218</v>
      </c>
      <c r="O32" s="71" t="s">
        <v>280</v>
      </c>
      <c r="P32" s="78" t="s">
        <v>283</v>
      </c>
      <c r="Q32" s="52" t="s">
        <v>165</v>
      </c>
    </row>
    <row r="33" spans="2:17" x14ac:dyDescent="0.2">
      <c r="B33" s="48" t="s">
        <v>717</v>
      </c>
      <c r="C33" s="47" t="s">
        <v>1245</v>
      </c>
      <c r="D33" s="47" t="s">
        <v>1244</v>
      </c>
      <c r="E33" s="47" t="s">
        <v>1246</v>
      </c>
      <c r="F33" s="47" t="s">
        <v>1247</v>
      </c>
      <c r="G33" s="47" t="s">
        <v>1248</v>
      </c>
      <c r="H33" s="47" t="s">
        <v>2861</v>
      </c>
      <c r="K33" s="55">
        <v>4</v>
      </c>
      <c r="L33" s="81" t="s">
        <v>221</v>
      </c>
      <c r="M33" s="72" t="s">
        <v>218</v>
      </c>
      <c r="N33" s="75" t="s">
        <v>271</v>
      </c>
      <c r="O33" s="78" t="s">
        <v>283</v>
      </c>
      <c r="P33" s="45" t="s">
        <v>178</v>
      </c>
      <c r="Q33" s="114" t="s">
        <v>284</v>
      </c>
    </row>
    <row r="34" spans="2:17" x14ac:dyDescent="0.2">
      <c r="B34" s="45" t="s">
        <v>715</v>
      </c>
      <c r="C34" s="46">
        <v>0</v>
      </c>
      <c r="D34" s="46">
        <v>0</v>
      </c>
      <c r="E34" s="46">
        <v>1216</v>
      </c>
      <c r="F34" s="46">
        <v>1846</v>
      </c>
      <c r="G34" s="46">
        <v>2070</v>
      </c>
      <c r="H34" s="46">
        <v>1730</v>
      </c>
      <c r="K34" s="55">
        <v>5</v>
      </c>
      <c r="L34" s="113" t="s">
        <v>191</v>
      </c>
      <c r="M34" s="75" t="s">
        <v>271</v>
      </c>
      <c r="N34" s="78" t="s">
        <v>283</v>
      </c>
      <c r="O34" s="81" t="s">
        <v>221</v>
      </c>
      <c r="P34" s="45" t="s">
        <v>226</v>
      </c>
      <c r="Q34" s="79" t="s">
        <v>283</v>
      </c>
    </row>
    <row r="35" spans="2:17" x14ac:dyDescent="0.2">
      <c r="B35" s="45" t="s">
        <v>713</v>
      </c>
      <c r="C35" s="46">
        <v>0</v>
      </c>
      <c r="D35" s="46">
        <v>0</v>
      </c>
      <c r="E35" s="46">
        <v>341</v>
      </c>
      <c r="F35" s="46">
        <v>593</v>
      </c>
      <c r="G35" s="46">
        <v>102</v>
      </c>
      <c r="H35" s="46">
        <v>488</v>
      </c>
      <c r="K35" s="55"/>
      <c r="Q35" s="52"/>
    </row>
    <row r="36" spans="2:17" x14ac:dyDescent="0.2">
      <c r="B36" s="45" t="s">
        <v>335</v>
      </c>
      <c r="C36" s="46">
        <v>0</v>
      </c>
      <c r="D36" s="46">
        <v>0</v>
      </c>
      <c r="E36" s="46">
        <v>275</v>
      </c>
      <c r="F36" s="46">
        <v>207</v>
      </c>
      <c r="G36" s="46">
        <v>144</v>
      </c>
      <c r="H36" s="46">
        <v>186</v>
      </c>
      <c r="K36" s="56" t="s">
        <v>1348</v>
      </c>
      <c r="Q36" s="52"/>
    </row>
    <row r="37" spans="2:17" x14ac:dyDescent="0.2">
      <c r="B37" s="45" t="s">
        <v>442</v>
      </c>
      <c r="C37" s="46">
        <v>0</v>
      </c>
      <c r="D37" s="46">
        <v>0</v>
      </c>
      <c r="E37" s="46">
        <v>216</v>
      </c>
      <c r="F37" s="46">
        <v>316</v>
      </c>
      <c r="G37" s="46">
        <v>166</v>
      </c>
      <c r="H37" s="46">
        <v>244</v>
      </c>
      <c r="K37" s="57" t="s">
        <v>145</v>
      </c>
      <c r="L37" s="58" t="s">
        <v>1245</v>
      </c>
      <c r="M37" s="58" t="s">
        <v>1244</v>
      </c>
      <c r="N37" s="58" t="s">
        <v>1246</v>
      </c>
      <c r="O37" s="58" t="s">
        <v>1247</v>
      </c>
      <c r="P37" s="58" t="s">
        <v>1248</v>
      </c>
      <c r="Q37" s="59" t="s">
        <v>2861</v>
      </c>
    </row>
    <row r="38" spans="2:17" x14ac:dyDescent="0.2">
      <c r="B38" s="45" t="s">
        <v>712</v>
      </c>
      <c r="C38" s="46">
        <v>0</v>
      </c>
      <c r="D38" s="46">
        <v>0</v>
      </c>
      <c r="E38" s="46">
        <v>141</v>
      </c>
      <c r="F38" s="46">
        <v>243</v>
      </c>
      <c r="G38" s="46">
        <v>297</v>
      </c>
      <c r="H38" s="46">
        <v>204</v>
      </c>
      <c r="K38" s="55">
        <v>1</v>
      </c>
      <c r="L38" s="72" t="s">
        <v>283</v>
      </c>
      <c r="M38" s="45" t="s">
        <v>191</v>
      </c>
      <c r="N38" s="70" t="s">
        <v>273</v>
      </c>
      <c r="O38" s="70" t="s">
        <v>273</v>
      </c>
      <c r="P38" s="70" t="s">
        <v>273</v>
      </c>
      <c r="Q38" s="52" t="s">
        <v>216</v>
      </c>
    </row>
    <row r="39" spans="2:17" x14ac:dyDescent="0.2">
      <c r="B39" s="45" t="s">
        <v>714</v>
      </c>
      <c r="C39" s="46">
        <v>0</v>
      </c>
      <c r="D39" s="46">
        <v>0</v>
      </c>
      <c r="E39" s="46">
        <v>48</v>
      </c>
      <c r="F39" s="46">
        <v>154</v>
      </c>
      <c r="G39" s="46">
        <v>130</v>
      </c>
      <c r="H39" s="46">
        <v>165</v>
      </c>
      <c r="K39" s="55">
        <v>2</v>
      </c>
      <c r="L39" s="75" t="s">
        <v>167</v>
      </c>
      <c r="M39" s="71" t="s">
        <v>218</v>
      </c>
      <c r="N39" s="74" t="s">
        <v>284</v>
      </c>
      <c r="O39" s="71" t="s">
        <v>218</v>
      </c>
      <c r="P39" s="78" t="s">
        <v>198</v>
      </c>
      <c r="Q39" s="77" t="s">
        <v>218</v>
      </c>
    </row>
    <row r="40" spans="2:17" x14ac:dyDescent="0.2">
      <c r="B40" s="45" t="s">
        <v>66</v>
      </c>
      <c r="C40" s="46">
        <v>0</v>
      </c>
      <c r="D40" s="46">
        <v>0</v>
      </c>
      <c r="E40" s="46">
        <v>23</v>
      </c>
      <c r="F40" s="46">
        <v>65</v>
      </c>
      <c r="G40" s="46">
        <v>24</v>
      </c>
      <c r="H40" s="46">
        <v>84</v>
      </c>
      <c r="K40" s="55">
        <v>3</v>
      </c>
      <c r="L40" s="71" t="s">
        <v>218</v>
      </c>
      <c r="M40" s="74" t="s">
        <v>284</v>
      </c>
      <c r="N40" s="72" t="s">
        <v>283</v>
      </c>
      <c r="O40" s="74" t="s">
        <v>284</v>
      </c>
      <c r="P40" s="71" t="s">
        <v>218</v>
      </c>
      <c r="Q40" s="76" t="s">
        <v>273</v>
      </c>
    </row>
    <row r="41" spans="2:17" x14ac:dyDescent="0.2">
      <c r="B41" s="83" t="s">
        <v>711</v>
      </c>
      <c r="C41" s="84">
        <v>0</v>
      </c>
      <c r="D41" s="84">
        <v>0</v>
      </c>
      <c r="E41" s="84">
        <v>3</v>
      </c>
      <c r="F41" s="84">
        <v>15</v>
      </c>
      <c r="G41" s="84">
        <v>0</v>
      </c>
      <c r="H41" s="84">
        <v>18</v>
      </c>
      <c r="K41" s="55">
        <v>4</v>
      </c>
      <c r="L41" s="70" t="s">
        <v>273</v>
      </c>
      <c r="M41" s="72" t="s">
        <v>283</v>
      </c>
      <c r="N41" s="75" t="s">
        <v>167</v>
      </c>
      <c r="O41" s="72" t="s">
        <v>283</v>
      </c>
      <c r="P41" s="72" t="s">
        <v>283</v>
      </c>
      <c r="Q41" s="79" t="s">
        <v>198</v>
      </c>
    </row>
    <row r="42" spans="2:17" x14ac:dyDescent="0.2">
      <c r="B42" s="45" t="s">
        <v>716</v>
      </c>
      <c r="C42" s="46">
        <f t="shared" ref="C42:H42" si="10">C2</f>
        <v>1135</v>
      </c>
      <c r="D42" s="46">
        <f t="shared" si="10"/>
        <v>1135</v>
      </c>
      <c r="E42" s="46">
        <f t="shared" si="10"/>
        <v>1126</v>
      </c>
      <c r="F42" s="46">
        <f t="shared" si="10"/>
        <v>1019</v>
      </c>
      <c r="G42" s="46">
        <f t="shared" si="10"/>
        <v>853</v>
      </c>
      <c r="H42" s="46">
        <f t="shared" si="10"/>
        <v>767</v>
      </c>
      <c r="K42" s="55">
        <v>5</v>
      </c>
      <c r="L42" s="45" t="s">
        <v>287</v>
      </c>
      <c r="M42" s="45" t="s">
        <v>277</v>
      </c>
      <c r="N42" s="71" t="s">
        <v>218</v>
      </c>
      <c r="O42" s="45" t="s">
        <v>164</v>
      </c>
      <c r="P42" s="74" t="s">
        <v>284</v>
      </c>
      <c r="Q42" s="73" t="s">
        <v>283</v>
      </c>
    </row>
    <row r="43" spans="2:17" x14ac:dyDescent="0.2">
      <c r="B43" s="89" t="s">
        <v>1363</v>
      </c>
      <c r="C43" s="90"/>
      <c r="D43" s="90"/>
      <c r="E43" s="90">
        <f>E42/SUM(E42+E44)</f>
        <v>0.13548309469377934</v>
      </c>
      <c r="F43" s="90">
        <f t="shared" ref="F43:H43" si="11">F42/SUM(F42+F44)</f>
        <v>9.9385545693943242E-2</v>
      </c>
      <c r="G43" s="90">
        <f t="shared" si="11"/>
        <v>9.8012179708146616E-2</v>
      </c>
      <c r="H43" s="90">
        <f t="shared" si="11"/>
        <v>9.5398009950248761E-2</v>
      </c>
      <c r="K43" s="55"/>
      <c r="Q43" s="52"/>
    </row>
    <row r="44" spans="2:17" x14ac:dyDescent="0.2">
      <c r="B44" s="45" t="s">
        <v>1364</v>
      </c>
      <c r="C44" s="46"/>
      <c r="D44" s="46"/>
      <c r="E44" s="46">
        <f>E32-SUM(E34:E42)</f>
        <v>7185</v>
      </c>
      <c r="F44" s="46">
        <f>F32-SUM(F34:F42)</f>
        <v>9234</v>
      </c>
      <c r="G44" s="46">
        <f>G32-SUM(G34:G42)</f>
        <v>7850</v>
      </c>
      <c r="H44" s="46">
        <f>H32-SUM(H34:H42)</f>
        <v>7273</v>
      </c>
      <c r="K44" s="60" t="s">
        <v>1350</v>
      </c>
      <c r="Q44" s="52"/>
    </row>
    <row r="45" spans="2:17" x14ac:dyDescent="0.2">
      <c r="K45" s="61" t="s">
        <v>145</v>
      </c>
      <c r="L45" s="62" t="s">
        <v>1245</v>
      </c>
      <c r="M45" s="62" t="s">
        <v>1244</v>
      </c>
      <c r="N45" s="62" t="s">
        <v>1246</v>
      </c>
      <c r="O45" s="62" t="s">
        <v>1247</v>
      </c>
      <c r="P45" s="62" t="s">
        <v>1248</v>
      </c>
      <c r="Q45" s="63" t="s">
        <v>2861</v>
      </c>
    </row>
    <row r="46" spans="2:17" x14ac:dyDescent="0.2">
      <c r="B46" s="45" t="s">
        <v>1365</v>
      </c>
      <c r="F46" s="45">
        <f>60+67+65+49+42+66+49+53+59+50+43+46</f>
        <v>649</v>
      </c>
      <c r="G46" s="45">
        <f>35+39+57+51+39+58+44+12+51+45+41+32</f>
        <v>504</v>
      </c>
      <c r="H46" s="45">
        <f>44+40+52+41+44+26+39+31+37+3+30+32</f>
        <v>419</v>
      </c>
      <c r="K46" s="55">
        <v>1</v>
      </c>
      <c r="L46" s="45" t="s">
        <v>959</v>
      </c>
      <c r="M46" s="71" t="s">
        <v>283</v>
      </c>
      <c r="N46" s="75" t="s">
        <v>167</v>
      </c>
      <c r="O46" s="72" t="s">
        <v>173</v>
      </c>
      <c r="P46" s="70" t="s">
        <v>218</v>
      </c>
      <c r="Q46" s="52"/>
    </row>
    <row r="47" spans="2:17" x14ac:dyDescent="0.2">
      <c r="B47" s="89" t="s">
        <v>1366</v>
      </c>
      <c r="C47" s="90"/>
      <c r="D47" s="90"/>
      <c r="E47" s="90"/>
      <c r="F47" s="90">
        <f>F9/F46</f>
        <v>0.10785824345146379</v>
      </c>
      <c r="G47" s="90">
        <f>G9/G46</f>
        <v>0.13492063492063491</v>
      </c>
      <c r="H47" s="90">
        <f>H9/H46</f>
        <v>0.13126491646778043</v>
      </c>
      <c r="K47" s="55">
        <v>2</v>
      </c>
      <c r="L47" s="45" t="s">
        <v>277</v>
      </c>
      <c r="M47" s="75" t="s">
        <v>167</v>
      </c>
      <c r="N47" s="72" t="s">
        <v>173</v>
      </c>
      <c r="O47" s="70" t="s">
        <v>218</v>
      </c>
      <c r="P47" s="71" t="s">
        <v>283</v>
      </c>
      <c r="Q47" s="52"/>
    </row>
    <row r="48" spans="2:17" x14ac:dyDescent="0.2">
      <c r="K48" s="55">
        <v>3</v>
      </c>
      <c r="L48" s="45" t="s">
        <v>178</v>
      </c>
      <c r="M48" s="70" t="s">
        <v>218</v>
      </c>
      <c r="N48" s="70" t="s">
        <v>218</v>
      </c>
      <c r="O48" s="71" t="s">
        <v>283</v>
      </c>
      <c r="P48" s="45" t="s">
        <v>189</v>
      </c>
      <c r="Q48" s="52"/>
    </row>
    <row r="49" spans="2:17" x14ac:dyDescent="0.2">
      <c r="B49" s="110" t="s">
        <v>2870</v>
      </c>
      <c r="C49" s="46"/>
      <c r="D49" s="46"/>
      <c r="E49" s="46"/>
      <c r="F49" s="46"/>
      <c r="G49" s="46"/>
      <c r="H49" s="46"/>
      <c r="K49" s="55">
        <v>4</v>
      </c>
      <c r="L49" s="72" t="s">
        <v>173</v>
      </c>
      <c r="M49" s="72" t="s">
        <v>173</v>
      </c>
      <c r="N49" s="74" t="s">
        <v>284</v>
      </c>
      <c r="O49" s="45" t="s">
        <v>271</v>
      </c>
      <c r="P49" s="74" t="s">
        <v>284</v>
      </c>
      <c r="Q49" s="52"/>
    </row>
    <row r="50" spans="2:17" ht="13.5" thickBot="1" x14ac:dyDescent="0.25">
      <c r="B50" s="111" t="s">
        <v>2867</v>
      </c>
      <c r="C50" s="46"/>
      <c r="D50" s="46"/>
      <c r="E50" s="46"/>
      <c r="F50" s="46"/>
      <c r="G50" s="46"/>
      <c r="H50" s="46"/>
      <c r="K50" s="64">
        <v>5</v>
      </c>
      <c r="L50" s="65" t="s">
        <v>280</v>
      </c>
      <c r="M50" s="65" t="s">
        <v>277</v>
      </c>
      <c r="N50" s="65" t="s">
        <v>165</v>
      </c>
      <c r="O50" s="65" t="s">
        <v>163</v>
      </c>
      <c r="P50" s="65" t="s">
        <v>198</v>
      </c>
      <c r="Q50" s="66"/>
    </row>
    <row r="51" spans="2:17" x14ac:dyDescent="0.2">
      <c r="B51" s="111" t="s">
        <v>2869</v>
      </c>
      <c r="C51" s="46"/>
      <c r="D51" s="46"/>
      <c r="E51" s="46"/>
      <c r="F51" s="46"/>
      <c r="G51" s="46"/>
      <c r="H51" s="46"/>
    </row>
    <row r="52" spans="2:17" x14ac:dyDescent="0.2">
      <c r="B52" s="111" t="s">
        <v>2868</v>
      </c>
      <c r="C52" s="46"/>
      <c r="D52" s="46"/>
      <c r="E52" s="46"/>
      <c r="F52" s="46"/>
      <c r="G52" s="46"/>
      <c r="H52" s="46"/>
    </row>
    <row r="53" spans="2:17" x14ac:dyDescent="0.2">
      <c r="B53" s="111" t="s">
        <v>2970</v>
      </c>
      <c r="C53" s="46"/>
      <c r="D53" s="46"/>
      <c r="E53" s="46"/>
      <c r="F53" s="46"/>
      <c r="G53" s="46"/>
      <c r="H53" s="46"/>
    </row>
    <row r="54" spans="2:17" x14ac:dyDescent="0.2">
      <c r="B54" s="111" t="s">
        <v>3749</v>
      </c>
      <c r="C54" s="46"/>
      <c r="D54" s="46"/>
      <c r="E54" s="46"/>
      <c r="F54" s="46"/>
      <c r="G54" s="46"/>
      <c r="H54" s="46"/>
    </row>
    <row r="55" spans="2:17" x14ac:dyDescent="0.2">
      <c r="C55" s="46"/>
      <c r="D55" s="46"/>
      <c r="E55" s="46"/>
      <c r="F55" s="46"/>
      <c r="G55" s="46"/>
      <c r="H55" s="46"/>
    </row>
    <row r="56" spans="2:17" x14ac:dyDescent="0.2">
      <c r="B56" s="116" t="s">
        <v>2971</v>
      </c>
      <c r="C56" s="46"/>
      <c r="D56" s="46"/>
      <c r="E56" s="46"/>
      <c r="F56" s="46"/>
      <c r="G56" s="46"/>
      <c r="H56" s="46"/>
    </row>
    <row r="57" spans="2:17" x14ac:dyDescent="0.2">
      <c r="B57" s="117" t="s">
        <v>2972</v>
      </c>
    </row>
    <row r="58" spans="2:17" x14ac:dyDescent="0.2">
      <c r="B58" s="117" t="s">
        <v>3750</v>
      </c>
    </row>
    <row r="59" spans="2:17" x14ac:dyDescent="0.2">
      <c r="B59" s="117" t="s">
        <v>3751</v>
      </c>
    </row>
  </sheetData>
  <conditionalFormatting sqref="C5:G6 H6">
    <cfRule type="iconSet" priority="6">
      <iconSet iconSet="3Arrows">
        <cfvo type="percent" val="0"/>
        <cfvo type="percent" val="33"/>
        <cfvo type="num" val="&quot;C4&quot;" gte="0"/>
      </iconSet>
    </cfRule>
  </conditionalFormatting>
  <conditionalFormatting sqref="C3:H3">
    <cfRule type="iconSet" priority="2">
      <iconSet iconSet="3Arrows">
        <cfvo type="percent" val="0"/>
        <cfvo type="percent" val="33"/>
        <cfvo type="num" val="&quot;C4&quot;" gte="0"/>
      </iconSet>
    </cfRule>
  </conditionalFormatting>
  <conditionalFormatting sqref="D8:H8">
    <cfRule type="iconSet" priority="4">
      <iconSet iconSet="3Arrows">
        <cfvo type="percent" val="0"/>
        <cfvo type="percent" val="33"/>
        <cfvo type="num" val="&quot;C4&quot;" gte="0"/>
      </iconSet>
    </cfRule>
  </conditionalFormatting>
  <conditionalFormatting sqref="D10:H10">
    <cfRule type="iconSet" priority="3">
      <iconSet iconSet="3Arrows">
        <cfvo type="percent" val="0"/>
        <cfvo type="percent" val="33"/>
        <cfvo type="num" val="&quot;C4&quot;" gte="0"/>
      </iconSet>
    </cfRule>
  </conditionalFormatting>
  <conditionalFormatting sqref="H1:H29 B3:G29 A1:G2 I1:P4 Q1:AZ10000 A3:A10000 J5:P7 I6:I7 I8:P10000 B32:H42 B49:H54 C55:H57 B56:B57 B58:H10003">
    <cfRule type="cellIs" dxfId="183" priority="5" stopIfTrue="1" operator="lessThan">
      <formula>0</formula>
    </cfRule>
  </conditionalFormatting>
  <conditionalFormatting sqref="H5:H6">
    <cfRule type="iconSet" priority="1">
      <iconSet iconSet="3Arrows">
        <cfvo type="percent" val="0"/>
        <cfvo type="percent" val="33"/>
        <cfvo type="num" val="&quot;C4&quot;" gte="0"/>
      </iconSet>
    </cfRule>
  </conditionalFormatting>
  <pageMargins left="0.7" right="0.7" top="0.75" bottom="0.75" header="0.3" footer="0.3"/>
  <pageSetup paperSize="9" scale="4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DF00-2276-484F-B015-8A18CE76B5DA}">
  <sheetPr codeName="Sheet2"/>
  <dimension ref="A1:AB1666"/>
  <sheetViews>
    <sheetView tabSelected="1" workbookViewId="0">
      <selection activeCell="N10" sqref="N10"/>
    </sheetView>
  </sheetViews>
  <sheetFormatPr defaultRowHeight="12" x14ac:dyDescent="0.2"/>
  <cols>
    <col min="1" max="1" width="5.140625" style="18" customWidth="1"/>
    <col min="2" max="3" width="9.28515625" style="18" bestFit="1" customWidth="1"/>
    <col min="4" max="4" width="10.42578125" style="18" customWidth="1"/>
    <col min="5" max="5" width="9.28515625" style="18" bestFit="1" customWidth="1"/>
    <col min="6" max="6" width="11.28515625" style="18" customWidth="1"/>
    <col min="7" max="7" width="14.5703125" style="19" customWidth="1"/>
    <col min="8" max="8" width="10.7109375" style="18" customWidth="1"/>
    <col min="9" max="9" width="10.5703125" style="18" bestFit="1" customWidth="1"/>
    <col min="10" max="11" width="13" style="19" customWidth="1"/>
    <col min="12" max="12" width="9.140625" style="18"/>
    <col min="13" max="13" width="12.28515625" style="18" bestFit="1" customWidth="1"/>
    <col min="14" max="14" width="15.28515625" style="18" bestFit="1" customWidth="1"/>
    <col min="15" max="15" width="9.42578125" style="18" bestFit="1" customWidth="1"/>
    <col min="16" max="16" width="6.28515625" style="18" bestFit="1" customWidth="1"/>
    <col min="17" max="17" width="6.5703125" style="18" bestFit="1" customWidth="1"/>
    <col min="18" max="18" width="3" style="18" bestFit="1" customWidth="1"/>
    <col min="19" max="19" width="5.42578125" style="18" customWidth="1"/>
    <col min="20" max="20" width="9.140625" style="18"/>
    <col min="21" max="21" width="5.42578125" style="18" customWidth="1"/>
    <col min="22" max="22" width="9.140625" style="18"/>
    <col min="23" max="23" width="5.42578125" style="18" customWidth="1"/>
    <col min="24" max="25" width="9.140625" style="18"/>
    <col min="26" max="26" width="12.7109375" style="18" customWidth="1"/>
    <col min="27" max="28" width="17.140625" style="18" customWidth="1"/>
    <col min="29" max="16384" width="9.140625" style="18"/>
  </cols>
  <sheetData>
    <row r="1" spans="1:28" ht="12" customHeight="1" x14ac:dyDescent="0.2">
      <c r="A1" s="28" t="s">
        <v>140</v>
      </c>
      <c r="B1" s="28"/>
      <c r="C1" s="28"/>
      <c r="D1" s="28"/>
      <c r="E1" s="28"/>
      <c r="F1" s="28"/>
      <c r="G1" s="29"/>
      <c r="H1" s="28"/>
      <c r="I1" s="28"/>
      <c r="J1" s="29"/>
      <c r="K1" s="29"/>
      <c r="M1" s="28" t="s">
        <v>142</v>
      </c>
      <c r="N1" s="28"/>
      <c r="O1" s="28"/>
      <c r="P1" s="28"/>
      <c r="R1" s="28" t="s">
        <v>142</v>
      </c>
      <c r="S1" s="28"/>
      <c r="T1" s="28"/>
      <c r="U1" s="28"/>
      <c r="V1" s="28"/>
      <c r="W1" s="28"/>
      <c r="X1" s="28"/>
      <c r="Z1" s="28" t="s">
        <v>146</v>
      </c>
      <c r="AA1" s="28"/>
      <c r="AB1" s="28"/>
    </row>
    <row r="2" spans="1:28" ht="12" customHeight="1" x14ac:dyDescent="0.25">
      <c r="A2" s="30" t="s">
        <v>0</v>
      </c>
      <c r="B2" s="31" t="s">
        <v>1</v>
      </c>
      <c r="C2" s="31" t="s">
        <v>2</v>
      </c>
      <c r="D2" s="31" t="s">
        <v>3</v>
      </c>
      <c r="E2" s="31" t="s">
        <v>4</v>
      </c>
      <c r="F2" s="31" t="s">
        <v>5</v>
      </c>
      <c r="G2" s="31" t="s">
        <v>6</v>
      </c>
      <c r="H2" s="31" t="s">
        <v>7</v>
      </c>
      <c r="I2" s="31" t="s">
        <v>8</v>
      </c>
      <c r="J2" s="31" t="s">
        <v>9</v>
      </c>
      <c r="K2" s="31" t="s">
        <v>588</v>
      </c>
      <c r="M2" s="28" t="s">
        <v>139</v>
      </c>
      <c r="N2" s="28" t="s">
        <v>141</v>
      </c>
      <c r="O2" s="28"/>
      <c r="P2" s="28"/>
      <c r="Q2"/>
      <c r="R2" s="28"/>
      <c r="S2" s="28"/>
      <c r="T2" s="28"/>
      <c r="U2" s="28"/>
      <c r="V2" s="28"/>
      <c r="W2" s="28"/>
      <c r="X2" s="28"/>
      <c r="Z2" s="28"/>
      <c r="AA2" s="28"/>
      <c r="AB2" s="28"/>
    </row>
    <row r="3" spans="1:28" ht="12" customHeight="1" x14ac:dyDescent="0.25">
      <c r="A3" s="18">
        <v>1</v>
      </c>
      <c r="B3" s="20">
        <v>45870</v>
      </c>
      <c r="C3" s="18" t="str">
        <f>LEFT(Table1[[#This Row],[Project No]],2)</f>
        <v>AC</v>
      </c>
      <c r="D3" s="17" t="s">
        <v>3754</v>
      </c>
      <c r="E3" s="18" t="s">
        <v>1488</v>
      </c>
      <c r="F3" s="18" t="s">
        <v>1488</v>
      </c>
      <c r="G3" s="19">
        <v>99999.79</v>
      </c>
      <c r="H3" s="18">
        <v>210165056</v>
      </c>
      <c r="I3" s="18" t="s">
        <v>153</v>
      </c>
      <c r="J3" s="19">
        <f>SUMIF(OpenInvoices!C:C,Table1[[#This Row],[Invoice No]],OpenInvoices!N:N)</f>
        <v>0</v>
      </c>
      <c r="K3" s="19">
        <f>IF(Table1[[#This Row],[Outstanding]]=0,Table1[[#This Row],[Invoice Amount]],Table1[[#This Row],[Outstanding]]-Table1[[#This Row],[Invoice Amount]])</f>
        <v>99999.79</v>
      </c>
      <c r="M3" s="28" t="s">
        <v>72</v>
      </c>
      <c r="N3" s="28" t="s">
        <v>154</v>
      </c>
      <c r="O3" s="28" t="s">
        <v>153</v>
      </c>
      <c r="P3" s="28" t="s">
        <v>155</v>
      </c>
      <c r="Q3"/>
      <c r="R3" s="28" t="s">
        <v>145</v>
      </c>
      <c r="S3" s="21" t="s">
        <v>2</v>
      </c>
      <c r="T3" s="21" t="s">
        <v>18</v>
      </c>
      <c r="U3" s="22" t="s">
        <v>2</v>
      </c>
      <c r="V3" s="22" t="s">
        <v>13</v>
      </c>
      <c r="W3" s="23" t="s">
        <v>2</v>
      </c>
      <c r="X3" s="23" t="s">
        <v>20</v>
      </c>
      <c r="Z3" s="24" t="s">
        <v>143</v>
      </c>
      <c r="AA3" s="18">
        <f>COUNT(Table1[ID])</f>
        <v>452</v>
      </c>
    </row>
    <row r="4" spans="1:28" ht="12" customHeight="1" x14ac:dyDescent="0.25">
      <c r="A4" s="18">
        <v>1</v>
      </c>
      <c r="B4" s="20">
        <v>45870</v>
      </c>
      <c r="C4" s="118" t="str">
        <f>LEFT(Table1[[#This Row],[Project No]],2)</f>
        <v>BZ</v>
      </c>
      <c r="D4" s="17" t="s">
        <v>2093</v>
      </c>
      <c r="E4" s="18" t="s">
        <v>2082</v>
      </c>
      <c r="F4" s="18" t="s">
        <v>2082</v>
      </c>
      <c r="G4" s="19">
        <v>139750</v>
      </c>
      <c r="H4" s="18">
        <v>210165057</v>
      </c>
      <c r="I4" s="18" t="s">
        <v>153</v>
      </c>
      <c r="J4" s="119">
        <f>SUMIF(OpenInvoices!C:C,Table1[[#This Row],[Invoice No]],OpenInvoices!N:N)</f>
        <v>0</v>
      </c>
      <c r="K4" s="119">
        <f>IF(Table1[[#This Row],[Outstanding]]=0,Table1[[#This Row],[Invoice Amount]],Table1[[#This Row],[Outstanding]]-Table1[[#This Row],[Invoice Amount]])</f>
        <v>139750</v>
      </c>
      <c r="M4" s="17" t="s">
        <v>93</v>
      </c>
      <c r="N4" s="118">
        <v>1</v>
      </c>
      <c r="O4" s="118">
        <v>13</v>
      </c>
      <c r="P4" s="118">
        <v>39</v>
      </c>
      <c r="Q4"/>
      <c r="R4" s="18">
        <v>1</v>
      </c>
      <c r="S4" s="18" t="str">
        <f>_xlfn.XLOOKUP(T4,N:N,M:M)</f>
        <v>DF</v>
      </c>
      <c r="T4" s="18">
        <f>LARGE(N:N,ROW(T4)-ROW(T$3))</f>
        <v>6</v>
      </c>
      <c r="U4" s="18" t="str">
        <f>_xlfn.XLOOKUP(V4,O:O,M:M)</f>
        <v>DF</v>
      </c>
      <c r="V4" s="18">
        <f>LARGE(O:O,ROW(V4)-ROW(V$3))</f>
        <v>19</v>
      </c>
      <c r="W4" s="18" t="str">
        <f>_xlfn.XLOOKUP(X4,P:P,M:M)</f>
        <v>BZ</v>
      </c>
      <c r="X4" s="18">
        <f>LARGE(P:P,ROW(W4)-ROW(W$3))</f>
        <v>39</v>
      </c>
      <c r="Z4" s="24" t="s">
        <v>144</v>
      </c>
      <c r="AA4" s="25">
        <f>SUM(Table1[Invoice Amount])</f>
        <v>27086115.179999977</v>
      </c>
    </row>
    <row r="5" spans="1:28" ht="12" customHeight="1" x14ac:dyDescent="0.25">
      <c r="A5" s="18">
        <v>1</v>
      </c>
      <c r="B5" s="20">
        <v>45870</v>
      </c>
      <c r="C5" s="118" t="str">
        <f>LEFT(Table1[[#This Row],[Project No]],2)</f>
        <v>CD</v>
      </c>
      <c r="D5" s="17" t="s">
        <v>1514</v>
      </c>
      <c r="E5" s="18" t="s">
        <v>1934</v>
      </c>
      <c r="F5" s="18" t="s">
        <v>1934</v>
      </c>
      <c r="G5" s="19">
        <v>178436.41</v>
      </c>
      <c r="H5" s="18">
        <v>210165058</v>
      </c>
      <c r="I5" s="18" t="s">
        <v>153</v>
      </c>
      <c r="J5" s="119">
        <f>SUMIF(OpenInvoices!C:C,Table1[[#This Row],[Invoice No]],OpenInvoices!N:N)</f>
        <v>0</v>
      </c>
      <c r="K5" s="119">
        <f>IF(Table1[[#This Row],[Outstanding]]=0,Table1[[#This Row],[Invoice Amount]],Table1[[#This Row],[Outstanding]]-Table1[[#This Row],[Invoice Amount]])</f>
        <v>178436.41</v>
      </c>
      <c r="M5" s="17" t="s">
        <v>106</v>
      </c>
      <c r="N5" s="118">
        <v>6</v>
      </c>
      <c r="O5" s="118">
        <v>19</v>
      </c>
      <c r="P5" s="118">
        <v>24</v>
      </c>
      <c r="Q5"/>
      <c r="R5" s="18">
        <v>2</v>
      </c>
      <c r="S5" s="18" t="str">
        <f>_xlfn.SINGLE(_xlfn.XLOOKUP(T5,N:N,M:M))</f>
        <v>CB</v>
      </c>
      <c r="T5" s="18">
        <f>LARGE(N:N,ROW(T5)-ROW(T$3))</f>
        <v>2</v>
      </c>
      <c r="U5" s="18" t="str">
        <f>_xlfn.SINGLE(_xlfn.XLOOKUP(V5,O:O,M:M))</f>
        <v>HF</v>
      </c>
      <c r="V5" s="18">
        <f>LARGE(O:O,ROW(V5)-ROW(V$3))</f>
        <v>14</v>
      </c>
      <c r="W5" s="18" t="str">
        <f>_xlfn.SINGLE(_xlfn.XLOOKUP(X5,P:P,M:M))</f>
        <v>HM</v>
      </c>
      <c r="X5" s="18">
        <f>LARGE(P:P,ROW(W5)-ROW(W$3))</f>
        <v>26</v>
      </c>
    </row>
    <row r="6" spans="1:28" ht="12" customHeight="1" x14ac:dyDescent="0.25">
      <c r="A6" s="18">
        <v>1</v>
      </c>
      <c r="B6" s="20">
        <v>45870</v>
      </c>
      <c r="C6" s="118" t="str">
        <f>LEFT(Table1[[#This Row],[Project No]],2)</f>
        <v>CW</v>
      </c>
      <c r="D6" s="17" t="s">
        <v>3369</v>
      </c>
      <c r="E6" s="18" t="s">
        <v>632</v>
      </c>
      <c r="F6" s="18" t="s">
        <v>632</v>
      </c>
      <c r="G6" s="19">
        <v>84000</v>
      </c>
      <c r="H6" s="18">
        <v>210165059</v>
      </c>
      <c r="I6" s="18" t="s">
        <v>153</v>
      </c>
      <c r="J6" s="119">
        <f>SUMIF(OpenInvoices!C:C,Table1[[#This Row],[Invoice No]],OpenInvoices!N:N)</f>
        <v>0</v>
      </c>
      <c r="K6" s="119">
        <f>IF(Table1[[#This Row],[Outstanding]]=0,Table1[[#This Row],[Invoice Amount]],Table1[[#This Row],[Outstanding]]-Table1[[#This Row],[Invoice Amount]])</f>
        <v>84000</v>
      </c>
      <c r="M6" s="17" t="s">
        <v>132</v>
      </c>
      <c r="N6" s="118"/>
      <c r="O6" s="118">
        <v>4</v>
      </c>
      <c r="P6" s="118">
        <v>26</v>
      </c>
      <c r="Q6"/>
      <c r="R6" s="18">
        <v>3</v>
      </c>
      <c r="S6" s="18" t="str">
        <f>_xlfn.SINGLE(_xlfn.XLOOKUP(T6,N:N,M:M))</f>
        <v>CB</v>
      </c>
      <c r="T6" s="18">
        <f>LARGE(N:N,ROW(T6)-ROW(T$3))</f>
        <v>2</v>
      </c>
      <c r="U6" s="18" t="str">
        <f>_xlfn.SINGLE(_xlfn.XLOOKUP(V6,O:O,M:M))</f>
        <v>BZ</v>
      </c>
      <c r="V6" s="18">
        <f>LARGE(O:O,ROW(V6)-ROW(V$3))</f>
        <v>13</v>
      </c>
      <c r="W6" s="18" t="str">
        <f>_xlfn.SINGLE(_xlfn.XLOOKUP(X6,P:P,M:M))</f>
        <v>DF</v>
      </c>
      <c r="X6" s="18">
        <f>LARGE(P:P,ROW(W6)-ROW(W$3))</f>
        <v>24</v>
      </c>
      <c r="Z6" s="24" t="s">
        <v>18</v>
      </c>
      <c r="AA6" s="18">
        <f>COUNTIF(Table1[Type],Z6)</f>
        <v>23</v>
      </c>
      <c r="AB6" s="25">
        <f>SUMIF(Table1[Type],Z6,Table1[Invoice Amount])</f>
        <v>2958243.6799999997</v>
      </c>
    </row>
    <row r="7" spans="1:28" ht="12" customHeight="1" x14ac:dyDescent="0.25">
      <c r="A7" s="18">
        <v>1</v>
      </c>
      <c r="B7" s="20">
        <v>45870</v>
      </c>
      <c r="C7" s="118" t="str">
        <f>LEFT(Table1[[#This Row],[Project No]],2)</f>
        <v>DF</v>
      </c>
      <c r="D7" s="17" t="s">
        <v>1517</v>
      </c>
      <c r="E7" s="18" t="s">
        <v>2094</v>
      </c>
      <c r="F7" s="18" t="s">
        <v>10</v>
      </c>
      <c r="G7" s="19">
        <v>5972.34</v>
      </c>
      <c r="H7" s="18">
        <v>210165060</v>
      </c>
      <c r="I7" s="18" t="s">
        <v>153</v>
      </c>
      <c r="J7" s="119">
        <f>SUMIF(OpenInvoices!C:C,Table1[[#This Row],[Invoice No]],OpenInvoices!N:N)</f>
        <v>0</v>
      </c>
      <c r="K7" s="119">
        <f>IF(Table1[[#This Row],[Outstanding]]=0,Table1[[#This Row],[Invoice Amount]],Table1[[#This Row],[Outstanding]]-Table1[[#This Row],[Invoice Amount]])</f>
        <v>5972.34</v>
      </c>
      <c r="M7" s="17" t="s">
        <v>129</v>
      </c>
      <c r="N7" s="118">
        <v>1</v>
      </c>
      <c r="O7" s="118">
        <v>14</v>
      </c>
      <c r="P7" s="118">
        <v>14</v>
      </c>
      <c r="Q7"/>
      <c r="R7" s="18">
        <v>4</v>
      </c>
      <c r="S7" s="18" t="str">
        <f>_xlfn.XLOOKUP(T7,N:N,M:M)</f>
        <v>BZ</v>
      </c>
      <c r="T7" s="18">
        <f>LARGE(N:N,ROW(T7)-ROW(T$3))</f>
        <v>1</v>
      </c>
      <c r="U7" s="18" t="str">
        <f>_xlfn.SINGLE(_xlfn.XLOOKUP(V7,O:O,M:M))</f>
        <v>H7</v>
      </c>
      <c r="V7" s="18">
        <f>LARGE(O:O,ROW(V7)-ROW(V$3))</f>
        <v>10</v>
      </c>
      <c r="W7" s="18" t="str">
        <f>_xlfn.SINGLE(_xlfn.XLOOKUP(X7,P:P,M:M))</f>
        <v>HF</v>
      </c>
      <c r="X7" s="18">
        <f>LARGE(P:P,ROW(W7)-ROW(W$3))</f>
        <v>14</v>
      </c>
      <c r="Z7" s="24" t="s">
        <v>13</v>
      </c>
      <c r="AA7" s="18">
        <f>COUNTIF(Table1[Type],Z7)</f>
        <v>125</v>
      </c>
      <c r="AB7" s="25">
        <f>SUMIF(Table1[Type],Z7,Table1[Invoice Amount])</f>
        <v>16340215.199999999</v>
      </c>
    </row>
    <row r="8" spans="1:28" ht="12" customHeight="1" x14ac:dyDescent="0.25">
      <c r="A8" s="18">
        <v>1</v>
      </c>
      <c r="B8" s="20">
        <v>45870</v>
      </c>
      <c r="C8" s="118" t="str">
        <f>LEFT(Table1[[#This Row],[Project No]],2)</f>
        <v>DF</v>
      </c>
      <c r="D8" s="17" t="s">
        <v>3376</v>
      </c>
      <c r="E8" s="18" t="s">
        <v>1871</v>
      </c>
      <c r="F8" s="18" t="s">
        <v>1871</v>
      </c>
      <c r="G8" s="19">
        <v>22445.47</v>
      </c>
      <c r="H8" s="18">
        <v>210165061</v>
      </c>
      <c r="I8" s="18" t="s">
        <v>153</v>
      </c>
      <c r="J8" s="119">
        <f>SUMIF(OpenInvoices!C:C,Table1[[#This Row],[Invoice No]],OpenInvoices!N:N)</f>
        <v>0</v>
      </c>
      <c r="K8" s="119">
        <f>IF(Table1[[#This Row],[Outstanding]]=0,Table1[[#This Row],[Invoice Amount]],Table1[[#This Row],[Outstanding]]-Table1[[#This Row],[Invoice Amount]])</f>
        <v>22445.47</v>
      </c>
      <c r="M8" s="17" t="s">
        <v>131</v>
      </c>
      <c r="N8" s="118"/>
      <c r="O8" s="118">
        <v>5</v>
      </c>
      <c r="P8" s="118">
        <v>7</v>
      </c>
      <c r="Q8"/>
      <c r="R8" s="18">
        <v>5</v>
      </c>
      <c r="S8" s="18" t="str">
        <f>_xlfn.SINGLE(_xlfn.XLOOKUP(T8,N:N,M:M))</f>
        <v>BZ</v>
      </c>
      <c r="T8" s="18">
        <f>LARGE(N:N,ROW(T8)-ROW(T$3))</f>
        <v>1</v>
      </c>
      <c r="U8" s="18" t="str">
        <f>_xlfn.SINGLE(_xlfn.XLOOKUP(V8,O:O,M:M))</f>
        <v>HJ</v>
      </c>
      <c r="V8" s="18">
        <f>LARGE(O:O,ROW(V8)-ROW(V$3))</f>
        <v>5</v>
      </c>
      <c r="W8" s="18" t="str">
        <f>_xlfn.SINGLE(_xlfn.XLOOKUP(X8,P:P,M:M))</f>
        <v>HQ</v>
      </c>
      <c r="X8" s="18">
        <f>LARGE(P:P,ROW(W8)-ROW(W$3))</f>
        <v>12</v>
      </c>
      <c r="Z8" s="24" t="s">
        <v>20</v>
      </c>
      <c r="AA8" s="18">
        <f>COUNTIF(Table1[Type],Z8)</f>
        <v>304</v>
      </c>
      <c r="AB8" s="25">
        <f>SUMIF(Table1[Type],Z8,Table1[Invoice Amount])</f>
        <v>7787656.299999997</v>
      </c>
    </row>
    <row r="9" spans="1:28" ht="12" customHeight="1" x14ac:dyDescent="0.25">
      <c r="A9" s="18">
        <v>1</v>
      </c>
      <c r="B9" s="20">
        <v>45870</v>
      </c>
      <c r="C9" s="118" t="str">
        <f>LEFT(Table1[[#This Row],[Project No]],2)</f>
        <v>DM</v>
      </c>
      <c r="D9" s="17" t="s">
        <v>1519</v>
      </c>
      <c r="E9" s="18" t="s">
        <v>2085</v>
      </c>
      <c r="F9" s="18" t="s">
        <v>2085</v>
      </c>
      <c r="G9" s="19">
        <v>305000</v>
      </c>
      <c r="H9" s="18">
        <v>210165062</v>
      </c>
      <c r="I9" s="18" t="s">
        <v>153</v>
      </c>
      <c r="J9" s="119">
        <f>SUMIF(OpenInvoices!C:C,Table1[[#This Row],[Invoice No]],OpenInvoices!N:N)</f>
        <v>0</v>
      </c>
      <c r="K9" s="119">
        <f>IF(Table1[[#This Row],[Outstanding]]=0,Table1[[#This Row],[Invoice Amount]],Table1[[#This Row],[Outstanding]]-Table1[[#This Row],[Invoice Amount]])</f>
        <v>305000</v>
      </c>
      <c r="M9" s="17" t="s">
        <v>134</v>
      </c>
      <c r="N9" s="118"/>
      <c r="O9" s="118"/>
      <c r="P9" s="118">
        <v>12</v>
      </c>
      <c r="Q9"/>
    </row>
    <row r="10" spans="1:28" ht="12" customHeight="1" x14ac:dyDescent="0.25">
      <c r="A10" s="18">
        <v>1</v>
      </c>
      <c r="B10" s="20">
        <v>45870</v>
      </c>
      <c r="C10" s="118" t="str">
        <f>LEFT(Table1[[#This Row],[Project No]],2)</f>
        <v>DN</v>
      </c>
      <c r="D10" s="17" t="s">
        <v>1521</v>
      </c>
      <c r="E10" s="18" t="s">
        <v>2912</v>
      </c>
      <c r="F10" s="18" t="s">
        <v>2912</v>
      </c>
      <c r="G10" s="19">
        <v>10000</v>
      </c>
      <c r="H10" s="18">
        <v>210165063</v>
      </c>
      <c r="I10" s="18" t="s">
        <v>153</v>
      </c>
      <c r="J10" s="119">
        <f>SUMIF(OpenInvoices!C:C,Table1[[#This Row],[Invoice No]],OpenInvoices!N:N)</f>
        <v>0</v>
      </c>
      <c r="K10" s="119">
        <f>IF(Table1[[#This Row],[Outstanding]]=0,Table1[[#This Row],[Invoice Amount]],Table1[[#This Row],[Outstanding]]-Table1[[#This Row],[Invoice Amount]])</f>
        <v>10000</v>
      </c>
      <c r="M10" s="17" t="s">
        <v>82</v>
      </c>
      <c r="N10" s="118"/>
      <c r="O10" s="118"/>
      <c r="P10" s="118">
        <v>12</v>
      </c>
      <c r="Q10"/>
    </row>
    <row r="11" spans="1:28" ht="12" customHeight="1" x14ac:dyDescent="0.25">
      <c r="A11" s="18">
        <v>1</v>
      </c>
      <c r="B11" s="20">
        <v>45870</v>
      </c>
      <c r="C11" s="118" t="str">
        <f>LEFT(Table1[[#This Row],[Project No]],2)</f>
        <v>EP</v>
      </c>
      <c r="D11" s="17" t="s">
        <v>3755</v>
      </c>
      <c r="E11" s="18" t="s">
        <v>2912</v>
      </c>
      <c r="F11" s="18" t="s">
        <v>2912</v>
      </c>
      <c r="G11" s="19">
        <v>9950</v>
      </c>
      <c r="H11" s="18">
        <v>210165064</v>
      </c>
      <c r="I11" s="18" t="s">
        <v>153</v>
      </c>
      <c r="J11" s="119">
        <f>SUMIF(OpenInvoices!C:C,Table1[[#This Row],[Invoice No]],OpenInvoices!N:N)</f>
        <v>0</v>
      </c>
      <c r="K11" s="119">
        <f>IF(Table1[[#This Row],[Outstanding]]=0,Table1[[#This Row],[Invoice Amount]],Table1[[#This Row],[Outstanding]]-Table1[[#This Row],[Invoice Amount]])</f>
        <v>9950</v>
      </c>
      <c r="M11" s="17" t="s">
        <v>726</v>
      </c>
      <c r="N11" s="118">
        <v>2</v>
      </c>
      <c r="O11" s="118">
        <v>1</v>
      </c>
      <c r="P11" s="118">
        <v>8</v>
      </c>
      <c r="Q11"/>
    </row>
    <row r="12" spans="1:28" ht="12" customHeight="1" x14ac:dyDescent="0.25">
      <c r="A12" s="18">
        <v>1</v>
      </c>
      <c r="B12" s="20">
        <v>45870</v>
      </c>
      <c r="C12" s="118" t="str">
        <f>LEFT(Table1[[#This Row],[Project No]],2)</f>
        <v>H7</v>
      </c>
      <c r="D12" s="17" t="s">
        <v>1506</v>
      </c>
      <c r="E12" s="18" t="s">
        <v>949</v>
      </c>
      <c r="F12" s="18" t="s">
        <v>949</v>
      </c>
      <c r="G12" s="19">
        <v>49255.11</v>
      </c>
      <c r="H12" s="18">
        <v>210165065</v>
      </c>
      <c r="I12" s="18" t="s">
        <v>153</v>
      </c>
      <c r="J12" s="119">
        <f>SUMIF(OpenInvoices!C:C,Table1[[#This Row],[Invoice No]],OpenInvoices!N:N)</f>
        <v>0</v>
      </c>
      <c r="K12" s="119">
        <f>IF(Table1[[#This Row],[Outstanding]]=0,Table1[[#This Row],[Invoice Amount]],Table1[[#This Row],[Outstanding]]-Table1[[#This Row],[Invoice Amount]])</f>
        <v>49255.11</v>
      </c>
      <c r="M12" s="17" t="s">
        <v>123</v>
      </c>
      <c r="N12" s="118">
        <v>1</v>
      </c>
      <c r="O12" s="118">
        <v>10</v>
      </c>
      <c r="P12" s="118"/>
      <c r="Q12"/>
    </row>
    <row r="13" spans="1:28" ht="12" customHeight="1" x14ac:dyDescent="0.25">
      <c r="A13" s="18">
        <v>1</v>
      </c>
      <c r="B13" s="20">
        <v>45870</v>
      </c>
      <c r="C13" s="118" t="str">
        <f>LEFT(Table1[[#This Row],[Project No]],2)</f>
        <v>H7</v>
      </c>
      <c r="D13" s="17" t="s">
        <v>1524</v>
      </c>
      <c r="E13" s="18" t="s">
        <v>3753</v>
      </c>
      <c r="F13" s="18" t="s">
        <v>3753</v>
      </c>
      <c r="G13" s="19">
        <v>1080000</v>
      </c>
      <c r="H13" s="18">
        <v>210154155</v>
      </c>
      <c r="I13" s="18" t="s">
        <v>154</v>
      </c>
      <c r="J13" s="119">
        <f>SUMIF(OpenInvoices!C:C,Table1[[#This Row],[Invoice No]],OpenInvoices!N:N)</f>
        <v>0</v>
      </c>
      <c r="K13" s="119">
        <f>IF(Table1[[#This Row],[Outstanding]]=0,Table1[[#This Row],[Invoice Amount]],Table1[[#This Row],[Outstanding]]-Table1[[#This Row],[Invoice Amount]])</f>
        <v>1080000</v>
      </c>
      <c r="M13" s="17" t="s">
        <v>109</v>
      </c>
      <c r="N13" s="118"/>
      <c r="O13" s="118"/>
      <c r="P13" s="118">
        <v>11</v>
      </c>
      <c r="Q13"/>
    </row>
    <row r="14" spans="1:28" ht="12" customHeight="1" x14ac:dyDescent="0.25">
      <c r="A14" s="18">
        <v>1</v>
      </c>
      <c r="B14" s="20">
        <v>45901</v>
      </c>
      <c r="C14" s="118" t="str">
        <f>LEFT(Table1[[#This Row],[Project No]],2)</f>
        <v>AC</v>
      </c>
      <c r="D14" s="17" t="s">
        <v>3754</v>
      </c>
      <c r="E14" s="18" t="s">
        <v>3757</v>
      </c>
      <c r="F14" s="18" t="s">
        <v>3757</v>
      </c>
      <c r="G14" s="19">
        <v>76907.539999999994</v>
      </c>
      <c r="H14" s="18">
        <v>210165718</v>
      </c>
      <c r="I14" s="18" t="s">
        <v>153</v>
      </c>
      <c r="J14" s="119">
        <f>SUMIF(OpenInvoices!C:C,Table1[[#This Row],[Invoice No]],OpenInvoices!N:N)</f>
        <v>0</v>
      </c>
      <c r="K14" s="119">
        <f>IF(Table1[[#This Row],[Outstanding]]=0,Table1[[#This Row],[Invoice Amount]],Table1[[#This Row],[Outstanding]]-Table1[[#This Row],[Invoice Amount]])</f>
        <v>76907.539999999994</v>
      </c>
      <c r="M14" s="17" t="s">
        <v>120</v>
      </c>
      <c r="N14" s="118">
        <v>1</v>
      </c>
      <c r="O14" s="118">
        <v>2</v>
      </c>
      <c r="P14" s="118">
        <v>7</v>
      </c>
      <c r="Q14"/>
    </row>
    <row r="15" spans="1:28" ht="12" customHeight="1" x14ac:dyDescent="0.25">
      <c r="A15" s="18">
        <v>1</v>
      </c>
      <c r="B15" s="20">
        <v>45901</v>
      </c>
      <c r="C15" s="118" t="str">
        <f>LEFT(Table1[[#This Row],[Project No]],2)</f>
        <v>BZ</v>
      </c>
      <c r="D15" s="17" t="s">
        <v>2093</v>
      </c>
      <c r="E15" s="18" t="s">
        <v>2094</v>
      </c>
      <c r="F15" s="18" t="s">
        <v>10</v>
      </c>
      <c r="G15" s="19">
        <v>2066.1799999999998</v>
      </c>
      <c r="H15" s="18">
        <v>210165719</v>
      </c>
      <c r="I15" s="18" t="s">
        <v>153</v>
      </c>
      <c r="J15" s="119">
        <f>SUMIF(OpenInvoices!C:C,Table1[[#This Row],[Invoice No]],OpenInvoices!N:N)</f>
        <v>0</v>
      </c>
      <c r="K15" s="119">
        <f>IF(Table1[[#This Row],[Outstanding]]=0,Table1[[#This Row],[Invoice Amount]],Table1[[#This Row],[Outstanding]]-Table1[[#This Row],[Invoice Amount]])</f>
        <v>2066.1799999999998</v>
      </c>
      <c r="M15" s="17" t="s">
        <v>83</v>
      </c>
      <c r="N15" s="118">
        <v>1</v>
      </c>
      <c r="O15" s="118">
        <v>4</v>
      </c>
      <c r="P15" s="118">
        <v>5</v>
      </c>
      <c r="Q15"/>
    </row>
    <row r="16" spans="1:28" ht="12" customHeight="1" x14ac:dyDescent="0.25">
      <c r="A16" s="18">
        <v>1</v>
      </c>
      <c r="B16" s="20">
        <v>45901</v>
      </c>
      <c r="C16" s="118" t="str">
        <f>LEFT(Table1[[#This Row],[Project No]],2)</f>
        <v>CD</v>
      </c>
      <c r="D16" s="17" t="s">
        <v>1514</v>
      </c>
      <c r="E16" s="18" t="s">
        <v>1515</v>
      </c>
      <c r="F16" s="18" t="s">
        <v>1516</v>
      </c>
      <c r="G16" s="19">
        <v>60000</v>
      </c>
      <c r="H16" s="18">
        <v>210165720</v>
      </c>
      <c r="I16" s="18" t="s">
        <v>153</v>
      </c>
      <c r="J16" s="119">
        <f>SUMIF(OpenInvoices!C:C,Table1[[#This Row],[Invoice No]],OpenInvoices!N:N)</f>
        <v>0</v>
      </c>
      <c r="K16" s="119">
        <f>IF(Table1[[#This Row],[Outstanding]]=0,Table1[[#This Row],[Invoice Amount]],Table1[[#This Row],[Outstanding]]-Table1[[#This Row],[Invoice Amount]])</f>
        <v>60000</v>
      </c>
      <c r="M16" s="17" t="s">
        <v>126</v>
      </c>
      <c r="N16" s="118">
        <v>2</v>
      </c>
      <c r="O16" s="118"/>
      <c r="P16" s="118">
        <v>8</v>
      </c>
      <c r="Q16"/>
    </row>
    <row r="17" spans="1:17" ht="12" customHeight="1" x14ac:dyDescent="0.25">
      <c r="A17" s="18">
        <v>1</v>
      </c>
      <c r="B17" s="20">
        <v>45901</v>
      </c>
      <c r="C17" s="118" t="str">
        <f>LEFT(Table1[[#This Row],[Project No]],2)</f>
        <v>CW</v>
      </c>
      <c r="D17" s="17" t="s">
        <v>3369</v>
      </c>
      <c r="E17" s="18" t="s">
        <v>3367</v>
      </c>
      <c r="F17" s="18" t="s">
        <v>3367</v>
      </c>
      <c r="G17" s="19">
        <v>8457</v>
      </c>
      <c r="H17" s="18">
        <v>210165721</v>
      </c>
      <c r="I17" s="18" t="s">
        <v>153</v>
      </c>
      <c r="J17" s="119">
        <f>SUMIF(OpenInvoices!C:C,Table1[[#This Row],[Invoice No]],OpenInvoices!N:N)</f>
        <v>0</v>
      </c>
      <c r="K17" s="119">
        <f>IF(Table1[[#This Row],[Outstanding]]=0,Table1[[#This Row],[Invoice Amount]],Table1[[#This Row],[Outstanding]]-Table1[[#This Row],[Invoice Amount]])</f>
        <v>8457</v>
      </c>
      <c r="M17" s="17" t="s">
        <v>89</v>
      </c>
      <c r="N17" s="118">
        <v>1</v>
      </c>
      <c r="O17" s="118">
        <v>1</v>
      </c>
      <c r="P17" s="118">
        <v>8</v>
      </c>
      <c r="Q17"/>
    </row>
    <row r="18" spans="1:17" ht="12" customHeight="1" x14ac:dyDescent="0.25">
      <c r="A18" s="18">
        <v>1</v>
      </c>
      <c r="B18" s="20">
        <v>45901</v>
      </c>
      <c r="C18" s="118" t="str">
        <f>LEFT(Table1[[#This Row],[Project No]],2)</f>
        <v>DF</v>
      </c>
      <c r="D18" s="17" t="s">
        <v>1517</v>
      </c>
      <c r="E18" s="18" t="s">
        <v>1518</v>
      </c>
      <c r="F18" s="18" t="s">
        <v>1518</v>
      </c>
      <c r="G18" s="19">
        <v>3750.13</v>
      </c>
      <c r="H18" s="18">
        <v>210165722</v>
      </c>
      <c r="I18" s="18" t="s">
        <v>153</v>
      </c>
      <c r="J18" s="119">
        <f>SUMIF(OpenInvoices!C:C,Table1[[#This Row],[Invoice No]],OpenInvoices!N:N)</f>
        <v>0</v>
      </c>
      <c r="K18" s="119">
        <f>IF(Table1[[#This Row],[Outstanding]]=0,Table1[[#This Row],[Invoice Amount]],Table1[[#This Row],[Outstanding]]-Table1[[#This Row],[Invoice Amount]])</f>
        <v>3750.13</v>
      </c>
      <c r="M18" s="17" t="s">
        <v>86</v>
      </c>
      <c r="N18" s="118"/>
      <c r="O18" s="118">
        <v>1</v>
      </c>
      <c r="P18" s="118">
        <v>7</v>
      </c>
      <c r="Q18"/>
    </row>
    <row r="19" spans="1:17" ht="12" customHeight="1" x14ac:dyDescent="0.25">
      <c r="A19" s="18">
        <v>1</v>
      </c>
      <c r="B19" s="20">
        <v>45901</v>
      </c>
      <c r="C19" s="118" t="str">
        <f>LEFT(Table1[[#This Row],[Project No]],2)</f>
        <v>DF</v>
      </c>
      <c r="D19" s="17" t="s">
        <v>3376</v>
      </c>
      <c r="E19" s="18" t="s">
        <v>1596</v>
      </c>
      <c r="F19" s="18" t="s">
        <v>1596</v>
      </c>
      <c r="G19" s="19">
        <v>82500</v>
      </c>
      <c r="H19" s="18">
        <v>210165723</v>
      </c>
      <c r="I19" s="18" t="s">
        <v>153</v>
      </c>
      <c r="J19" s="119">
        <f>SUMIF(OpenInvoices!C:C,Table1[[#This Row],[Invoice No]],OpenInvoices!N:N)</f>
        <v>0</v>
      </c>
      <c r="K19" s="119">
        <f>IF(Table1[[#This Row],[Outstanding]]=0,Table1[[#This Row],[Invoice Amount]],Table1[[#This Row],[Outstanding]]-Table1[[#This Row],[Invoice Amount]])</f>
        <v>82500</v>
      </c>
      <c r="M19" s="17" t="s">
        <v>105</v>
      </c>
      <c r="N19" s="118"/>
      <c r="O19" s="118">
        <v>4</v>
      </c>
      <c r="P19" s="118">
        <v>4</v>
      </c>
      <c r="Q19"/>
    </row>
    <row r="20" spans="1:17" ht="12" customHeight="1" x14ac:dyDescent="0.25">
      <c r="A20" s="18">
        <v>1</v>
      </c>
      <c r="B20" s="20">
        <v>45901</v>
      </c>
      <c r="C20" s="118" t="str">
        <f>LEFT(Table1[[#This Row],[Project No]],2)</f>
        <v>DM</v>
      </c>
      <c r="D20" s="17" t="s">
        <v>1519</v>
      </c>
      <c r="E20" s="18" t="s">
        <v>1520</v>
      </c>
      <c r="F20" s="18" t="s">
        <v>1520</v>
      </c>
      <c r="G20" s="19">
        <v>261704</v>
      </c>
      <c r="H20" s="18">
        <v>210165724</v>
      </c>
      <c r="I20" s="18" t="s">
        <v>153</v>
      </c>
      <c r="J20" s="119">
        <f>SUMIF(OpenInvoices!C:C,Table1[[#This Row],[Invoice No]],OpenInvoices!N:N)</f>
        <v>0</v>
      </c>
      <c r="K20" s="119">
        <f>IF(Table1[[#This Row],[Outstanding]]=0,Table1[[#This Row],[Invoice Amount]],Table1[[#This Row],[Outstanding]]-Table1[[#This Row],[Invoice Amount]])</f>
        <v>261704</v>
      </c>
      <c r="M20" s="17" t="s">
        <v>77</v>
      </c>
      <c r="N20" s="118"/>
      <c r="O20" s="118"/>
      <c r="P20" s="118">
        <v>7</v>
      </c>
      <c r="Q20"/>
    </row>
    <row r="21" spans="1:17" ht="12" customHeight="1" x14ac:dyDescent="0.25">
      <c r="A21" s="18">
        <v>1</v>
      </c>
      <c r="B21" s="20">
        <v>45901</v>
      </c>
      <c r="C21" s="118" t="str">
        <f>LEFT(Table1[[#This Row],[Project No]],2)</f>
        <v>DN</v>
      </c>
      <c r="D21" s="17" t="s">
        <v>1521</v>
      </c>
      <c r="E21" s="18" t="s">
        <v>1522</v>
      </c>
      <c r="F21" s="18" t="s">
        <v>1522</v>
      </c>
      <c r="G21" s="19">
        <v>42264.42</v>
      </c>
      <c r="H21" s="18">
        <v>210165725</v>
      </c>
      <c r="I21" s="18" t="s">
        <v>153</v>
      </c>
      <c r="J21" s="119">
        <f>SUMIF(OpenInvoices!C:C,Table1[[#This Row],[Invoice No]],OpenInvoices!N:N)</f>
        <v>0</v>
      </c>
      <c r="K21" s="119">
        <f>IF(Table1[[#This Row],[Outstanding]]=0,Table1[[#This Row],[Invoice Amount]],Table1[[#This Row],[Outstanding]]-Table1[[#This Row],[Invoice Amount]])</f>
        <v>42264.42</v>
      </c>
      <c r="M21" s="17" t="s">
        <v>104</v>
      </c>
      <c r="N21" s="118"/>
      <c r="O21" s="118"/>
      <c r="P21" s="118">
        <v>7</v>
      </c>
      <c r="Q21"/>
    </row>
    <row r="22" spans="1:17" ht="12" customHeight="1" x14ac:dyDescent="0.25">
      <c r="A22" s="18">
        <v>1</v>
      </c>
      <c r="B22" s="20">
        <v>45901</v>
      </c>
      <c r="C22" s="118" t="str">
        <f>LEFT(Table1[[#This Row],[Project No]],2)</f>
        <v>EP</v>
      </c>
      <c r="D22" s="17" t="s">
        <v>3755</v>
      </c>
      <c r="E22" s="18" t="s">
        <v>3758</v>
      </c>
      <c r="F22" s="18" t="s">
        <v>1540</v>
      </c>
      <c r="G22" s="19">
        <v>5750.67</v>
      </c>
      <c r="H22" s="18">
        <v>210165726</v>
      </c>
      <c r="I22" s="18" t="s">
        <v>153</v>
      </c>
      <c r="J22" s="119">
        <f>SUMIF(OpenInvoices!C:C,Table1[[#This Row],[Invoice No]],OpenInvoices!N:N)</f>
        <v>0</v>
      </c>
      <c r="K22" s="119">
        <f>IF(Table1[[#This Row],[Outstanding]]=0,Table1[[#This Row],[Invoice Amount]],Table1[[#This Row],[Outstanding]]-Table1[[#This Row],[Invoice Amount]])</f>
        <v>5750.67</v>
      </c>
      <c r="M22" s="17" t="s">
        <v>111</v>
      </c>
      <c r="N22" s="118"/>
      <c r="O22" s="118">
        <v>2</v>
      </c>
      <c r="P22" s="118">
        <v>5</v>
      </c>
      <c r="Q22"/>
    </row>
    <row r="23" spans="1:17" ht="12" customHeight="1" x14ac:dyDescent="0.25">
      <c r="A23" s="18">
        <v>1</v>
      </c>
      <c r="B23" s="20">
        <v>45901</v>
      </c>
      <c r="C23" s="118" t="str">
        <f>LEFT(Table1[[#This Row],[Project No]],2)</f>
        <v>H7</v>
      </c>
      <c r="D23" s="17" t="s">
        <v>1506</v>
      </c>
      <c r="E23" s="18" t="s">
        <v>949</v>
      </c>
      <c r="F23" s="18" t="s">
        <v>949</v>
      </c>
      <c r="G23" s="19">
        <v>20750.990000000002</v>
      </c>
      <c r="H23" s="18">
        <v>210165727</v>
      </c>
      <c r="I23" s="18" t="s">
        <v>153</v>
      </c>
      <c r="J23" s="119">
        <f>SUMIF(OpenInvoices!C:C,Table1[[#This Row],[Invoice No]],OpenInvoices!N:N)</f>
        <v>0</v>
      </c>
      <c r="K23" s="119">
        <f>IF(Table1[[#This Row],[Outstanding]]=0,Table1[[#This Row],[Invoice Amount]],Table1[[#This Row],[Outstanding]]-Table1[[#This Row],[Invoice Amount]])</f>
        <v>20750.990000000002</v>
      </c>
      <c r="M23" s="17" t="s">
        <v>107</v>
      </c>
      <c r="N23" s="118"/>
      <c r="O23" s="118">
        <v>1</v>
      </c>
      <c r="P23" s="118">
        <v>5</v>
      </c>
      <c r="Q23"/>
    </row>
    <row r="24" spans="1:17" ht="12" customHeight="1" x14ac:dyDescent="0.25">
      <c r="A24" s="18">
        <v>1</v>
      </c>
      <c r="B24" s="20">
        <v>45901</v>
      </c>
      <c r="C24" s="118" t="str">
        <f>LEFT(Table1[[#This Row],[Project No]],2)</f>
        <v>H7</v>
      </c>
      <c r="D24" s="17" t="s">
        <v>1524</v>
      </c>
      <c r="E24" s="18" t="s">
        <v>949</v>
      </c>
      <c r="F24" s="18" t="s">
        <v>949</v>
      </c>
      <c r="G24" s="19">
        <v>120455.34</v>
      </c>
      <c r="H24" s="18">
        <v>210165728</v>
      </c>
      <c r="I24" s="18" t="s">
        <v>153</v>
      </c>
      <c r="J24" s="119">
        <f>SUMIF(OpenInvoices!C:C,Table1[[#This Row],[Invoice No]],OpenInvoices!N:N)</f>
        <v>0</v>
      </c>
      <c r="K24" s="119">
        <f>IF(Table1[[#This Row],[Outstanding]]=0,Table1[[#This Row],[Invoice Amount]],Table1[[#This Row],[Outstanding]]-Table1[[#This Row],[Invoice Amount]])</f>
        <v>120455.34</v>
      </c>
      <c r="M24" s="17" t="s">
        <v>112</v>
      </c>
      <c r="N24" s="118"/>
      <c r="O24" s="118">
        <v>2</v>
      </c>
      <c r="P24" s="118">
        <v>4</v>
      </c>
      <c r="Q24"/>
    </row>
    <row r="25" spans="1:17" ht="12" customHeight="1" x14ac:dyDescent="0.25">
      <c r="A25" s="18">
        <v>1</v>
      </c>
      <c r="B25" s="20">
        <v>45901</v>
      </c>
      <c r="C25" s="118" t="str">
        <f>LEFT(Table1[[#This Row],[Project No]],2)</f>
        <v>HC</v>
      </c>
      <c r="D25" s="17" t="s">
        <v>3372</v>
      </c>
      <c r="E25" s="18" t="s">
        <v>37</v>
      </c>
      <c r="F25" s="18" t="s">
        <v>31</v>
      </c>
      <c r="G25" s="19">
        <v>56005.66</v>
      </c>
      <c r="H25" s="18">
        <v>210165729</v>
      </c>
      <c r="I25" s="18" t="s">
        <v>153</v>
      </c>
      <c r="J25" s="119">
        <f>SUMIF(OpenInvoices!C:C,Table1[[#This Row],[Invoice No]],OpenInvoices!N:N)</f>
        <v>0</v>
      </c>
      <c r="K25" s="119">
        <f>IF(Table1[[#This Row],[Outstanding]]=0,Table1[[#This Row],[Invoice Amount]],Table1[[#This Row],[Outstanding]]-Table1[[#This Row],[Invoice Amount]])</f>
        <v>56005.66</v>
      </c>
      <c r="M25" s="17" t="s">
        <v>108</v>
      </c>
      <c r="N25" s="118"/>
      <c r="O25" s="118">
        <v>2</v>
      </c>
      <c r="P25" s="118">
        <v>4</v>
      </c>
      <c r="Q25"/>
    </row>
    <row r="26" spans="1:17" ht="12" customHeight="1" x14ac:dyDescent="0.25">
      <c r="A26" s="18">
        <v>1</v>
      </c>
      <c r="B26" s="20">
        <v>45901</v>
      </c>
      <c r="C26" s="118" t="str">
        <f>LEFT(Table1[[#This Row],[Project No]],2)</f>
        <v>HF</v>
      </c>
      <c r="D26" s="17" t="s">
        <v>1408</v>
      </c>
      <c r="E26" s="18" t="s">
        <v>1406</v>
      </c>
      <c r="F26" s="18" t="s">
        <v>10</v>
      </c>
      <c r="G26" s="19">
        <v>940.94</v>
      </c>
      <c r="H26" s="18">
        <v>210165730</v>
      </c>
      <c r="I26" s="18" t="s">
        <v>153</v>
      </c>
      <c r="J26" s="119">
        <f>SUMIF(OpenInvoices!C:C,Table1[[#This Row],[Invoice No]],OpenInvoices!N:N)</f>
        <v>0</v>
      </c>
      <c r="K26" s="119">
        <f>IF(Table1[[#This Row],[Outstanding]]=0,Table1[[#This Row],[Invoice Amount]],Table1[[#This Row],[Outstanding]]-Table1[[#This Row],[Invoice Amount]])</f>
        <v>940.94</v>
      </c>
      <c r="M26" s="17" t="s">
        <v>96</v>
      </c>
      <c r="N26" s="118"/>
      <c r="O26" s="118">
        <v>1</v>
      </c>
      <c r="P26" s="118">
        <v>4</v>
      </c>
      <c r="Q26"/>
    </row>
    <row r="27" spans="1:17" ht="12" customHeight="1" x14ac:dyDescent="0.25">
      <c r="A27" s="18">
        <v>1</v>
      </c>
      <c r="B27" s="20">
        <v>45901</v>
      </c>
      <c r="C27" s="118" t="str">
        <f>LEFT(Table1[[#This Row],[Project No]],2)</f>
        <v>HF</v>
      </c>
      <c r="D27" s="17" t="s">
        <v>2054</v>
      </c>
      <c r="E27" s="18" t="s">
        <v>10</v>
      </c>
      <c r="F27" s="18" t="s">
        <v>10</v>
      </c>
      <c r="G27" s="19">
        <v>6794</v>
      </c>
      <c r="H27" s="18">
        <v>210165731</v>
      </c>
      <c r="I27" s="18" t="s">
        <v>153</v>
      </c>
      <c r="J27" s="119">
        <f>SUMIF(OpenInvoices!C:C,Table1[[#This Row],[Invoice No]],OpenInvoices!N:N)</f>
        <v>0</v>
      </c>
      <c r="K27" s="119">
        <f>IF(Table1[[#This Row],[Outstanding]]=0,Table1[[#This Row],[Invoice Amount]],Table1[[#This Row],[Outstanding]]-Table1[[#This Row],[Invoice Amount]])</f>
        <v>6794</v>
      </c>
      <c r="M27" s="17" t="s">
        <v>115</v>
      </c>
      <c r="N27" s="118"/>
      <c r="O27" s="118">
        <v>3</v>
      </c>
      <c r="P27" s="118">
        <v>2</v>
      </c>
      <c r="Q27"/>
    </row>
    <row r="28" spans="1:17" ht="12" customHeight="1" x14ac:dyDescent="0.25">
      <c r="A28" s="18">
        <v>1</v>
      </c>
      <c r="B28" s="20">
        <v>45901</v>
      </c>
      <c r="C28" s="118" t="str">
        <f>LEFT(Table1[[#This Row],[Project No]],2)</f>
        <v>HF</v>
      </c>
      <c r="D28" s="17" t="s">
        <v>2096</v>
      </c>
      <c r="E28" s="18" t="s">
        <v>10</v>
      </c>
      <c r="F28" s="18" t="s">
        <v>10</v>
      </c>
      <c r="G28" s="19">
        <v>69253</v>
      </c>
      <c r="H28" s="18">
        <v>210165732</v>
      </c>
      <c r="I28" s="18" t="s">
        <v>153</v>
      </c>
      <c r="J28" s="119">
        <f>SUMIF(OpenInvoices!C:C,Table1[[#This Row],[Invoice No]],OpenInvoices!N:N)</f>
        <v>0</v>
      </c>
      <c r="K28" s="119">
        <f>IF(Table1[[#This Row],[Outstanding]]=0,Table1[[#This Row],[Invoice Amount]],Table1[[#This Row],[Outstanding]]-Table1[[#This Row],[Invoice Amount]])</f>
        <v>69253</v>
      </c>
      <c r="M28" s="17" t="s">
        <v>122</v>
      </c>
      <c r="N28" s="118"/>
      <c r="O28" s="118">
        <v>2</v>
      </c>
      <c r="P28" s="118">
        <v>3</v>
      </c>
      <c r="Q28"/>
    </row>
    <row r="29" spans="1:17" ht="12" customHeight="1" x14ac:dyDescent="0.25">
      <c r="A29" s="18">
        <v>1</v>
      </c>
      <c r="B29" s="20">
        <v>45901</v>
      </c>
      <c r="C29" s="118" t="str">
        <f>LEFT(Table1[[#This Row],[Project No]],2)</f>
        <v>HJ</v>
      </c>
      <c r="D29" s="17" t="s">
        <v>3365</v>
      </c>
      <c r="E29" s="18" t="s">
        <v>2912</v>
      </c>
      <c r="F29" s="18" t="s">
        <v>2912</v>
      </c>
      <c r="G29" s="19">
        <v>10000</v>
      </c>
      <c r="H29" s="18">
        <v>210165733</v>
      </c>
      <c r="I29" s="18" t="s">
        <v>153</v>
      </c>
      <c r="J29" s="119">
        <f>SUMIF(OpenInvoices!C:C,Table1[[#This Row],[Invoice No]],OpenInvoices!N:N)</f>
        <v>0</v>
      </c>
      <c r="K29" s="119">
        <f>IF(Table1[[#This Row],[Outstanding]]=0,Table1[[#This Row],[Invoice Amount]],Table1[[#This Row],[Outstanding]]-Table1[[#This Row],[Invoice Amount]])</f>
        <v>10000</v>
      </c>
      <c r="M29" s="17" t="s">
        <v>213</v>
      </c>
      <c r="N29" s="118"/>
      <c r="O29" s="118"/>
      <c r="P29" s="118">
        <v>5</v>
      </c>
      <c r="Q29"/>
    </row>
    <row r="30" spans="1:17" ht="12" customHeight="1" x14ac:dyDescent="0.25">
      <c r="A30" s="18">
        <v>1</v>
      </c>
      <c r="B30" s="20">
        <v>45901</v>
      </c>
      <c r="C30" s="118" t="str">
        <f>LEFT(Table1[[#This Row],[Project No]],2)</f>
        <v>HJ</v>
      </c>
      <c r="D30" s="17" t="s">
        <v>3756</v>
      </c>
      <c r="E30" s="18" t="s">
        <v>2912</v>
      </c>
      <c r="F30" s="18" t="s">
        <v>2912</v>
      </c>
      <c r="G30" s="19">
        <v>9621</v>
      </c>
      <c r="H30" s="18">
        <v>210165734</v>
      </c>
      <c r="I30" s="18" t="s">
        <v>153</v>
      </c>
      <c r="J30" s="119">
        <f>SUMIF(OpenInvoices!C:C,Table1[[#This Row],[Invoice No]],OpenInvoices!N:N)</f>
        <v>0</v>
      </c>
      <c r="K30" s="119">
        <f>IF(Table1[[#This Row],[Outstanding]]=0,Table1[[#This Row],[Invoice Amount]],Table1[[#This Row],[Outstanding]]-Table1[[#This Row],[Invoice Amount]])</f>
        <v>9621</v>
      </c>
      <c r="M30" s="17" t="s">
        <v>2860</v>
      </c>
      <c r="N30" s="118"/>
      <c r="O30" s="118"/>
      <c r="P30" s="118">
        <v>5</v>
      </c>
      <c r="Q30"/>
    </row>
    <row r="31" spans="1:17" ht="12" customHeight="1" x14ac:dyDescent="0.25">
      <c r="A31" s="18">
        <v>1</v>
      </c>
      <c r="B31" s="20">
        <v>45901</v>
      </c>
      <c r="C31" s="118" t="str">
        <f>LEFT(Table1[[#This Row],[Project No]],2)</f>
        <v>LC</v>
      </c>
      <c r="D31" s="17" t="s">
        <v>1526</v>
      </c>
      <c r="E31" s="18" t="s">
        <v>952</v>
      </c>
      <c r="F31" s="18" t="s">
        <v>952</v>
      </c>
      <c r="G31" s="19">
        <v>194959</v>
      </c>
      <c r="H31" s="18">
        <v>210165735</v>
      </c>
      <c r="I31" s="18" t="s">
        <v>153</v>
      </c>
      <c r="J31" s="119">
        <f>SUMIF(OpenInvoices!C:C,Table1[[#This Row],[Invoice No]],OpenInvoices!N:N)</f>
        <v>0</v>
      </c>
      <c r="K31" s="119">
        <f>IF(Table1[[#This Row],[Outstanding]]=0,Table1[[#This Row],[Invoice Amount]],Table1[[#This Row],[Outstanding]]-Table1[[#This Row],[Invoice Amount]])</f>
        <v>194959</v>
      </c>
      <c r="M31" s="17" t="s">
        <v>117</v>
      </c>
      <c r="N31" s="118">
        <v>1</v>
      </c>
      <c r="O31" s="118">
        <v>2</v>
      </c>
      <c r="P31" s="118">
        <v>2</v>
      </c>
      <c r="Q31"/>
    </row>
    <row r="32" spans="1:17" ht="12" customHeight="1" x14ac:dyDescent="0.2">
      <c r="A32" s="18">
        <v>1</v>
      </c>
      <c r="B32" s="20">
        <v>45901</v>
      </c>
      <c r="C32" s="118" t="str">
        <f>LEFT(Table1[[#This Row],[Project No]],2)</f>
        <v>BL</v>
      </c>
      <c r="D32" s="17" t="s">
        <v>2055</v>
      </c>
      <c r="E32" s="18" t="s">
        <v>17</v>
      </c>
      <c r="F32" s="18" t="s">
        <v>17</v>
      </c>
      <c r="G32" s="19">
        <v>68412.34</v>
      </c>
      <c r="H32" s="18">
        <v>210166040</v>
      </c>
      <c r="I32" s="18" t="s">
        <v>154</v>
      </c>
      <c r="J32" s="119">
        <f>SUMIF(OpenInvoices!C:C,Table1[[#This Row],[Invoice No]],OpenInvoices!N:N)</f>
        <v>68412.34</v>
      </c>
      <c r="K32" s="119">
        <f>IF(Table1[[#This Row],[Outstanding]]=0,Table1[[#This Row],[Invoice Amount]],Table1[[#This Row],[Outstanding]]-Table1[[#This Row],[Invoice Amount]])</f>
        <v>0</v>
      </c>
      <c r="M32" s="17" t="s">
        <v>133</v>
      </c>
      <c r="N32" s="118">
        <v>1</v>
      </c>
      <c r="O32" s="118"/>
      <c r="P32" s="118">
        <v>3</v>
      </c>
    </row>
    <row r="33" spans="1:16" ht="12" customHeight="1" x14ac:dyDescent="0.2">
      <c r="A33" s="18">
        <v>1</v>
      </c>
      <c r="B33" s="20">
        <v>45901</v>
      </c>
      <c r="C33" s="118" t="str">
        <f>LEFT(Table1[[#This Row],[Project No]],2)</f>
        <v>BZ</v>
      </c>
      <c r="D33" s="17" t="s">
        <v>3496</v>
      </c>
      <c r="E33" s="18" t="s">
        <v>3493</v>
      </c>
      <c r="F33" s="18" t="s">
        <v>3493</v>
      </c>
      <c r="G33" s="19">
        <v>590097.62</v>
      </c>
      <c r="H33" s="18">
        <v>210166041</v>
      </c>
      <c r="I33" s="18" t="s">
        <v>154</v>
      </c>
      <c r="J33" s="119">
        <f>SUMIF(OpenInvoices!C:C,Table1[[#This Row],[Invoice No]],OpenInvoices!N:N)</f>
        <v>590097.62</v>
      </c>
      <c r="K33" s="119">
        <f>IF(Table1[[#This Row],[Outstanding]]=0,Table1[[#This Row],[Invoice Amount]],Table1[[#This Row],[Outstanding]]-Table1[[#This Row],[Invoice Amount]])</f>
        <v>0</v>
      </c>
      <c r="M33" s="17" t="s">
        <v>110</v>
      </c>
      <c r="N33" s="118"/>
      <c r="O33" s="118">
        <v>1</v>
      </c>
      <c r="P33" s="118">
        <v>3</v>
      </c>
    </row>
    <row r="34" spans="1:16" ht="12" customHeight="1" x14ac:dyDescent="0.2">
      <c r="A34" s="18">
        <v>1</v>
      </c>
      <c r="B34" s="20">
        <v>45901</v>
      </c>
      <c r="C34" s="118" t="str">
        <f>LEFT(Table1[[#This Row],[Project No]],2)</f>
        <v>CB</v>
      </c>
      <c r="D34" s="17" t="s">
        <v>2056</v>
      </c>
      <c r="E34" s="18" t="s">
        <v>368</v>
      </c>
      <c r="F34" s="18" t="s">
        <v>27</v>
      </c>
      <c r="G34" s="19">
        <v>30600</v>
      </c>
      <c r="H34" s="18">
        <v>210166042</v>
      </c>
      <c r="I34" s="18" t="s">
        <v>154</v>
      </c>
      <c r="J34" s="119">
        <f>SUMIF(OpenInvoices!C:C,Table1[[#This Row],[Invoice No]],OpenInvoices!N:N)</f>
        <v>30600</v>
      </c>
      <c r="K34" s="119">
        <f>IF(Table1[[#This Row],[Outstanding]]=0,Table1[[#This Row],[Invoice Amount]],Table1[[#This Row],[Outstanding]]-Table1[[#This Row],[Invoice Amount]])</f>
        <v>0</v>
      </c>
      <c r="M34" s="17" t="s">
        <v>288</v>
      </c>
      <c r="N34" s="118">
        <v>1</v>
      </c>
      <c r="O34" s="118">
        <v>3</v>
      </c>
      <c r="P34" s="118"/>
    </row>
    <row r="35" spans="1:16" ht="12" customHeight="1" x14ac:dyDescent="0.2">
      <c r="A35" s="18">
        <v>1</v>
      </c>
      <c r="B35" s="20">
        <v>45901</v>
      </c>
      <c r="C35" s="118" t="str">
        <f>LEFT(Table1[[#This Row],[Project No]],2)</f>
        <v>CV</v>
      </c>
      <c r="D35" s="17" t="s">
        <v>3483</v>
      </c>
      <c r="E35" s="18" t="s">
        <v>3482</v>
      </c>
      <c r="F35" s="18" t="s">
        <v>3482</v>
      </c>
      <c r="G35" s="19">
        <v>29739.4</v>
      </c>
      <c r="H35" s="18">
        <v>210166043</v>
      </c>
      <c r="I35" s="18" t="s">
        <v>154</v>
      </c>
      <c r="J35" s="119">
        <f>SUMIF(OpenInvoices!C:C,Table1[[#This Row],[Invoice No]],OpenInvoices!N:N)</f>
        <v>0</v>
      </c>
      <c r="K35" s="119">
        <f>IF(Table1[[#This Row],[Outstanding]]=0,Table1[[#This Row],[Invoice Amount]],Table1[[#This Row],[Outstanding]]-Table1[[#This Row],[Invoice Amount]])</f>
        <v>29739.4</v>
      </c>
      <c r="M35" s="17" t="s">
        <v>728</v>
      </c>
      <c r="N35" s="118"/>
      <c r="O35" s="118">
        <v>4</v>
      </c>
      <c r="P35" s="118"/>
    </row>
    <row r="36" spans="1:16" ht="12" customHeight="1" x14ac:dyDescent="0.2">
      <c r="A36" s="18">
        <v>1</v>
      </c>
      <c r="B36" s="20">
        <v>45901</v>
      </c>
      <c r="C36" s="118" t="str">
        <f>LEFT(Table1[[#This Row],[Project No]],2)</f>
        <v>DF</v>
      </c>
      <c r="D36" s="17" t="s">
        <v>1238</v>
      </c>
      <c r="E36" s="18" t="s">
        <v>3484</v>
      </c>
      <c r="F36" s="18" t="s">
        <v>3484</v>
      </c>
      <c r="G36" s="19">
        <v>36280</v>
      </c>
      <c r="H36" s="18">
        <v>210166044</v>
      </c>
      <c r="I36" s="18" t="s">
        <v>154</v>
      </c>
      <c r="J36" s="119">
        <f>SUMIF(OpenInvoices!C:C,Table1[[#This Row],[Invoice No]],OpenInvoices!N:N)</f>
        <v>0</v>
      </c>
      <c r="K36" s="119">
        <f>IF(Table1[[#This Row],[Outstanding]]=0,Table1[[#This Row],[Invoice Amount]],Table1[[#This Row],[Outstanding]]-Table1[[#This Row],[Invoice Amount]])</f>
        <v>36280</v>
      </c>
      <c r="M36" s="17" t="s">
        <v>731</v>
      </c>
      <c r="N36" s="118"/>
      <c r="O36" s="118"/>
      <c r="P36" s="118">
        <v>4</v>
      </c>
    </row>
    <row r="37" spans="1:16" ht="12" customHeight="1" x14ac:dyDescent="0.2">
      <c r="A37" s="18">
        <v>1</v>
      </c>
      <c r="B37" s="20">
        <v>45901</v>
      </c>
      <c r="C37" s="118" t="str">
        <f>LEFT(Table1[[#This Row],[Project No]],2)</f>
        <v>DF</v>
      </c>
      <c r="D37" s="17" t="s">
        <v>3759</v>
      </c>
      <c r="E37" s="18" t="s">
        <v>957</v>
      </c>
      <c r="F37" s="18" t="s">
        <v>957</v>
      </c>
      <c r="G37" s="19">
        <v>25207.52</v>
      </c>
      <c r="H37" s="18">
        <v>210166045</v>
      </c>
      <c r="I37" s="18" t="s">
        <v>154</v>
      </c>
      <c r="J37" s="119">
        <f>SUMIF(OpenInvoices!C:C,Table1[[#This Row],[Invoice No]],OpenInvoices!N:N)</f>
        <v>0</v>
      </c>
      <c r="K37" s="119">
        <f>IF(Table1[[#This Row],[Outstanding]]=0,Table1[[#This Row],[Invoice Amount]],Table1[[#This Row],[Outstanding]]-Table1[[#This Row],[Invoice Amount]])</f>
        <v>25207.52</v>
      </c>
      <c r="M37" s="17" t="s">
        <v>103</v>
      </c>
      <c r="N37" s="118"/>
      <c r="O37" s="118">
        <v>1</v>
      </c>
      <c r="P37" s="118">
        <v>3</v>
      </c>
    </row>
    <row r="38" spans="1:16" ht="12" customHeight="1" x14ac:dyDescent="0.2">
      <c r="A38" s="18">
        <v>1</v>
      </c>
      <c r="B38" s="20">
        <v>45901</v>
      </c>
      <c r="C38" s="118" t="str">
        <f>LEFT(Table1[[#This Row],[Project No]],2)</f>
        <v>DF</v>
      </c>
      <c r="D38" s="17" t="s">
        <v>2542</v>
      </c>
      <c r="E38" s="18" t="s">
        <v>2541</v>
      </c>
      <c r="F38" s="18" t="s">
        <v>2541</v>
      </c>
      <c r="G38" s="19">
        <v>138418</v>
      </c>
      <c r="H38" s="18">
        <v>210166046</v>
      </c>
      <c r="I38" s="18" t="s">
        <v>154</v>
      </c>
      <c r="J38" s="119">
        <f>SUMIF(OpenInvoices!C:C,Table1[[#This Row],[Invoice No]],OpenInvoices!N:N)</f>
        <v>0</v>
      </c>
      <c r="K38" s="119">
        <f>IF(Table1[[#This Row],[Outstanding]]=0,Table1[[#This Row],[Invoice Amount]],Table1[[#This Row],[Outstanding]]-Table1[[#This Row],[Invoice Amount]])</f>
        <v>138418</v>
      </c>
      <c r="M38" s="17" t="s">
        <v>302</v>
      </c>
      <c r="N38" s="118"/>
      <c r="O38" s="118"/>
      <c r="P38" s="118">
        <v>4</v>
      </c>
    </row>
    <row r="39" spans="1:16" ht="12" customHeight="1" x14ac:dyDescent="0.2">
      <c r="A39" s="18">
        <v>1</v>
      </c>
      <c r="B39" s="20">
        <v>45901</v>
      </c>
      <c r="C39" s="118" t="str">
        <f>LEFT(Table1[[#This Row],[Project No]],2)</f>
        <v>DL</v>
      </c>
      <c r="D39" s="17" t="s">
        <v>1423</v>
      </c>
      <c r="E39" s="18" t="s">
        <v>718</v>
      </c>
      <c r="F39" s="18" t="s">
        <v>718</v>
      </c>
      <c r="G39" s="19">
        <v>35240.239999999998</v>
      </c>
      <c r="H39" s="18">
        <v>210166047</v>
      </c>
      <c r="I39" s="18" t="s">
        <v>154</v>
      </c>
      <c r="J39" s="119">
        <f>SUMIF(OpenInvoices!C:C,Table1[[#This Row],[Invoice No]],OpenInvoices!N:N)</f>
        <v>0</v>
      </c>
      <c r="K39" s="119">
        <f>IF(Table1[[#This Row],[Outstanding]]=0,Table1[[#This Row],[Invoice Amount]],Table1[[#This Row],[Outstanding]]-Table1[[#This Row],[Invoice Amount]])</f>
        <v>35240.239999999998</v>
      </c>
      <c r="M39" s="17" t="s">
        <v>100</v>
      </c>
      <c r="N39" s="118"/>
      <c r="O39" s="118"/>
      <c r="P39" s="118">
        <v>3</v>
      </c>
    </row>
    <row r="40" spans="1:16" ht="12" customHeight="1" x14ac:dyDescent="0.2">
      <c r="A40" s="18">
        <v>1</v>
      </c>
      <c r="B40" s="20">
        <v>45901</v>
      </c>
      <c r="C40" s="118" t="str">
        <f>LEFT(Table1[[#This Row],[Project No]],2)</f>
        <v>EP</v>
      </c>
      <c r="D40" s="17" t="s">
        <v>1610</v>
      </c>
      <c r="E40" s="18" t="s">
        <v>1611</v>
      </c>
      <c r="F40" s="18" t="s">
        <v>1611</v>
      </c>
      <c r="G40" s="19">
        <v>16930.77</v>
      </c>
      <c r="H40" s="18">
        <v>210166048</v>
      </c>
      <c r="I40" s="18" t="s">
        <v>154</v>
      </c>
      <c r="J40" s="119">
        <f>SUMIF(OpenInvoices!C:C,Table1[[#This Row],[Invoice No]],OpenInvoices!N:N)</f>
        <v>0</v>
      </c>
      <c r="K40" s="119">
        <f>IF(Table1[[#This Row],[Outstanding]]=0,Table1[[#This Row],[Invoice Amount]],Table1[[#This Row],[Outstanding]]-Table1[[#This Row],[Invoice Amount]])</f>
        <v>16930.77</v>
      </c>
      <c r="M40" s="17" t="s">
        <v>75</v>
      </c>
      <c r="N40" s="118"/>
      <c r="O40" s="118"/>
      <c r="P40" s="118">
        <v>3</v>
      </c>
    </row>
    <row r="41" spans="1:16" ht="12" customHeight="1" x14ac:dyDescent="0.2">
      <c r="A41" s="18">
        <v>1</v>
      </c>
      <c r="B41" s="20">
        <v>45901</v>
      </c>
      <c r="C41" s="118" t="str">
        <f>LEFT(Table1[[#This Row],[Project No]],2)</f>
        <v>HB</v>
      </c>
      <c r="D41" s="17" t="s">
        <v>2058</v>
      </c>
      <c r="E41" s="18" t="s">
        <v>2059</v>
      </c>
      <c r="F41" s="18" t="s">
        <v>2059</v>
      </c>
      <c r="G41" s="19">
        <v>7500</v>
      </c>
      <c r="H41" s="18">
        <v>210166049</v>
      </c>
      <c r="I41" s="18" t="s">
        <v>154</v>
      </c>
      <c r="J41" s="119">
        <f>SUMIF(OpenInvoices!C:C,Table1[[#This Row],[Invoice No]],OpenInvoices!N:N)</f>
        <v>7500</v>
      </c>
      <c r="K41" s="119">
        <f>IF(Table1[[#This Row],[Outstanding]]=0,Table1[[#This Row],[Invoice Amount]],Table1[[#This Row],[Outstanding]]-Table1[[#This Row],[Invoice Amount]])</f>
        <v>0</v>
      </c>
      <c r="M41" s="17" t="s">
        <v>76</v>
      </c>
      <c r="N41" s="118"/>
      <c r="O41" s="118">
        <v>3</v>
      </c>
      <c r="P41" s="118"/>
    </row>
    <row r="42" spans="1:16" ht="12" customHeight="1" x14ac:dyDescent="0.2">
      <c r="A42" s="18">
        <v>1</v>
      </c>
      <c r="B42" s="20">
        <v>45901</v>
      </c>
      <c r="C42" s="118" t="str">
        <f>LEFT(Table1[[#This Row],[Project No]],2)</f>
        <v>HS</v>
      </c>
      <c r="D42" s="17" t="s">
        <v>3502</v>
      </c>
      <c r="E42" s="18" t="s">
        <v>17</v>
      </c>
      <c r="F42" s="18" t="s">
        <v>17</v>
      </c>
      <c r="G42" s="19">
        <v>55377</v>
      </c>
      <c r="H42" s="18">
        <v>210166050</v>
      </c>
      <c r="I42" s="18" t="s">
        <v>154</v>
      </c>
      <c r="J42" s="119">
        <f>SUMIF(OpenInvoices!C:C,Table1[[#This Row],[Invoice No]],OpenInvoices!N:N)</f>
        <v>55377</v>
      </c>
      <c r="K42" s="119">
        <f>IF(Table1[[#This Row],[Outstanding]]=0,Table1[[#This Row],[Invoice Amount]],Table1[[#This Row],[Outstanding]]-Table1[[#This Row],[Invoice Amount]])</f>
        <v>0</v>
      </c>
      <c r="M42" s="17" t="s">
        <v>91</v>
      </c>
      <c r="N42" s="118">
        <v>1</v>
      </c>
      <c r="O42" s="118"/>
      <c r="P42" s="118">
        <v>2</v>
      </c>
    </row>
    <row r="43" spans="1:16" ht="12" customHeight="1" x14ac:dyDescent="0.2">
      <c r="A43" s="18">
        <v>1</v>
      </c>
      <c r="B43" s="20">
        <v>45901</v>
      </c>
      <c r="C43" s="118" t="str">
        <f>LEFT(Table1[[#This Row],[Project No]],2)</f>
        <v>A4</v>
      </c>
      <c r="D43" s="17" t="s">
        <v>1453</v>
      </c>
      <c r="E43" s="18" t="s">
        <v>55</v>
      </c>
      <c r="F43" s="18" t="s">
        <v>53</v>
      </c>
      <c r="G43" s="19">
        <v>1807.18</v>
      </c>
      <c r="H43" s="18">
        <v>210166234</v>
      </c>
      <c r="I43" s="18" t="s">
        <v>155</v>
      </c>
      <c r="J43" s="119">
        <f>SUMIF(OpenInvoices!C:C,Table1[[#This Row],[Invoice No]],OpenInvoices!N:N)</f>
        <v>0</v>
      </c>
      <c r="K43" s="119">
        <f>IF(Table1[[#This Row],[Outstanding]]=0,Table1[[#This Row],[Invoice Amount]],Table1[[#This Row],[Outstanding]]-Table1[[#This Row],[Invoice Amount]])</f>
        <v>1807.18</v>
      </c>
      <c r="M43" s="17" t="s">
        <v>88</v>
      </c>
      <c r="N43" s="118"/>
      <c r="O43" s="118"/>
      <c r="P43" s="118">
        <v>3</v>
      </c>
    </row>
    <row r="44" spans="1:16" ht="12" customHeight="1" x14ac:dyDescent="0.2">
      <c r="A44" s="18">
        <v>1</v>
      </c>
      <c r="B44" s="20">
        <v>45901</v>
      </c>
      <c r="C44" s="118" t="str">
        <f>LEFT(Table1[[#This Row],[Project No]],2)</f>
        <v>AE</v>
      </c>
      <c r="D44" s="17" t="s">
        <v>960</v>
      </c>
      <c r="E44" s="18" t="s">
        <v>37</v>
      </c>
      <c r="F44" s="18" t="s">
        <v>36</v>
      </c>
      <c r="G44" s="19">
        <v>10580.53</v>
      </c>
      <c r="H44" s="18">
        <v>210166235</v>
      </c>
      <c r="I44" s="18" t="s">
        <v>155</v>
      </c>
      <c r="J44" s="119">
        <f>SUMIF(OpenInvoices!C:C,Table1[[#This Row],[Invoice No]],OpenInvoices!N:N)</f>
        <v>0</v>
      </c>
      <c r="K44" s="119">
        <f>IF(Table1[[#This Row],[Outstanding]]=0,Table1[[#This Row],[Invoice Amount]],Table1[[#This Row],[Outstanding]]-Table1[[#This Row],[Invoice Amount]])</f>
        <v>10580.53</v>
      </c>
      <c r="M44" s="17" t="s">
        <v>1243</v>
      </c>
      <c r="N44" s="118"/>
      <c r="O44" s="118">
        <v>2</v>
      </c>
      <c r="P44" s="118">
        <v>1</v>
      </c>
    </row>
    <row r="45" spans="1:16" ht="12" customHeight="1" x14ac:dyDescent="0.2">
      <c r="A45" s="18">
        <v>1</v>
      </c>
      <c r="B45" s="20">
        <v>45901</v>
      </c>
      <c r="C45" s="118" t="str">
        <f>LEFT(Table1[[#This Row],[Project No]],2)</f>
        <v>AF</v>
      </c>
      <c r="D45" s="17" t="s">
        <v>725</v>
      </c>
      <c r="E45" s="18" t="s">
        <v>41</v>
      </c>
      <c r="F45" s="18" t="s">
        <v>31</v>
      </c>
      <c r="G45" s="19">
        <v>47428</v>
      </c>
      <c r="H45" s="18">
        <v>210166236</v>
      </c>
      <c r="I45" s="18" t="s">
        <v>155</v>
      </c>
      <c r="J45" s="119">
        <f>SUMIF(OpenInvoices!C:C,Table1[[#This Row],[Invoice No]],OpenInvoices!N:N)</f>
        <v>0</v>
      </c>
      <c r="K45" s="119">
        <f>IF(Table1[[#This Row],[Outstanding]]=0,Table1[[#This Row],[Invoice Amount]],Table1[[#This Row],[Outstanding]]-Table1[[#This Row],[Invoice Amount]])</f>
        <v>47428</v>
      </c>
      <c r="M45" s="17" t="s">
        <v>179</v>
      </c>
      <c r="N45" s="118"/>
      <c r="O45" s="118"/>
      <c r="P45" s="118">
        <v>3</v>
      </c>
    </row>
    <row r="46" spans="1:16" ht="12" customHeight="1" x14ac:dyDescent="0.2">
      <c r="A46" s="18">
        <v>1</v>
      </c>
      <c r="B46" s="20">
        <v>45901</v>
      </c>
      <c r="C46" s="118" t="str">
        <f>LEFT(Table1[[#This Row],[Project No]],2)</f>
        <v>AL</v>
      </c>
      <c r="D46" s="17" t="s">
        <v>841</v>
      </c>
      <c r="E46" s="18" t="s">
        <v>69</v>
      </c>
      <c r="F46" s="18" t="s">
        <v>48</v>
      </c>
      <c r="G46" s="19">
        <v>63469.1</v>
      </c>
      <c r="H46" s="18">
        <v>210166237</v>
      </c>
      <c r="I46" s="18" t="s">
        <v>155</v>
      </c>
      <c r="J46" s="119">
        <f>SUMIF(OpenInvoices!C:C,Table1[[#This Row],[Invoice No]],OpenInvoices!N:N)</f>
        <v>0</v>
      </c>
      <c r="K46" s="119">
        <f>IF(Table1[[#This Row],[Outstanding]]=0,Table1[[#This Row],[Invoice Amount]],Table1[[#This Row],[Outstanding]]-Table1[[#This Row],[Invoice Amount]])</f>
        <v>63469.1</v>
      </c>
      <c r="M46" s="17" t="s">
        <v>92</v>
      </c>
      <c r="N46" s="118"/>
      <c r="O46" s="118">
        <v>2</v>
      </c>
      <c r="P46" s="118">
        <v>1</v>
      </c>
    </row>
    <row r="47" spans="1:16" ht="12" customHeight="1" x14ac:dyDescent="0.2">
      <c r="A47" s="18">
        <v>1</v>
      </c>
      <c r="B47" s="20">
        <v>45901</v>
      </c>
      <c r="C47" s="118" t="str">
        <f>LEFT(Table1[[#This Row],[Project No]],2)</f>
        <v>AL</v>
      </c>
      <c r="D47" s="17" t="s">
        <v>1597</v>
      </c>
      <c r="E47" s="18" t="s">
        <v>48</v>
      </c>
      <c r="F47" s="18" t="s">
        <v>48</v>
      </c>
      <c r="G47" s="19">
        <v>128506.65</v>
      </c>
      <c r="H47" s="18">
        <v>210166238</v>
      </c>
      <c r="I47" s="18" t="s">
        <v>155</v>
      </c>
      <c r="J47" s="119">
        <f>SUMIF(OpenInvoices!C:C,Table1[[#This Row],[Invoice No]],OpenInvoices!N:N)</f>
        <v>0</v>
      </c>
      <c r="K47" s="119">
        <f>IF(Table1[[#This Row],[Outstanding]]=0,Table1[[#This Row],[Invoice Amount]],Table1[[#This Row],[Outstanding]]-Table1[[#This Row],[Invoice Amount]])</f>
        <v>128506.65</v>
      </c>
      <c r="M47" s="17" t="s">
        <v>102</v>
      </c>
      <c r="N47" s="118">
        <v>1</v>
      </c>
      <c r="O47" s="118"/>
      <c r="P47" s="118">
        <v>2</v>
      </c>
    </row>
    <row r="48" spans="1:16" ht="12" customHeight="1" x14ac:dyDescent="0.2">
      <c r="A48" s="18">
        <v>1</v>
      </c>
      <c r="B48" s="20">
        <v>45901</v>
      </c>
      <c r="C48" s="118" t="str">
        <f>LEFT(Table1[[#This Row],[Project No]],2)</f>
        <v>AP</v>
      </c>
      <c r="D48" s="17" t="s">
        <v>946</v>
      </c>
      <c r="E48" s="18" t="s">
        <v>52</v>
      </c>
      <c r="F48" s="18" t="s">
        <v>53</v>
      </c>
      <c r="G48" s="19">
        <v>1549.06</v>
      </c>
      <c r="H48" s="18">
        <v>210166239</v>
      </c>
      <c r="I48" s="18" t="s">
        <v>155</v>
      </c>
      <c r="J48" s="119">
        <f>SUMIF(OpenInvoices!C:C,Table1[[#This Row],[Invoice No]],OpenInvoices!N:N)</f>
        <v>0</v>
      </c>
      <c r="K48" s="119">
        <f>IF(Table1[[#This Row],[Outstanding]]=0,Table1[[#This Row],[Invoice Amount]],Table1[[#This Row],[Outstanding]]-Table1[[#This Row],[Invoice Amount]])</f>
        <v>1549.06</v>
      </c>
      <c r="M48" s="17" t="s">
        <v>128</v>
      </c>
      <c r="N48" s="118"/>
      <c r="O48" s="118"/>
      <c r="P48" s="118">
        <v>3</v>
      </c>
    </row>
    <row r="49" spans="1:16" ht="12" customHeight="1" x14ac:dyDescent="0.2">
      <c r="A49" s="18">
        <v>1</v>
      </c>
      <c r="B49" s="20">
        <v>45901</v>
      </c>
      <c r="C49" s="118" t="str">
        <f>LEFT(Table1[[#This Row],[Project No]],2)</f>
        <v>AV</v>
      </c>
      <c r="D49" s="17" t="s">
        <v>1449</v>
      </c>
      <c r="E49" s="18" t="s">
        <v>65</v>
      </c>
      <c r="F49" s="18" t="s">
        <v>65</v>
      </c>
      <c r="G49" s="19">
        <v>13768.66</v>
      </c>
      <c r="H49" s="18">
        <v>210166240</v>
      </c>
      <c r="I49" s="18" t="s">
        <v>155</v>
      </c>
      <c r="J49" s="119">
        <f>SUMIF(OpenInvoices!C:C,Table1[[#This Row],[Invoice No]],OpenInvoices!N:N)</f>
        <v>0</v>
      </c>
      <c r="K49" s="119">
        <f>IF(Table1[[#This Row],[Outstanding]]=0,Table1[[#This Row],[Invoice Amount]],Table1[[#This Row],[Outstanding]]-Table1[[#This Row],[Invoice Amount]])</f>
        <v>13768.66</v>
      </c>
      <c r="M49" s="17" t="s">
        <v>121</v>
      </c>
      <c r="N49" s="118"/>
      <c r="O49" s="118"/>
      <c r="P49" s="118">
        <v>3</v>
      </c>
    </row>
    <row r="50" spans="1:16" ht="12" customHeight="1" x14ac:dyDescent="0.2">
      <c r="A50" s="18">
        <v>1</v>
      </c>
      <c r="B50" s="20">
        <v>45901</v>
      </c>
      <c r="C50" s="118" t="str">
        <f>LEFT(Table1[[#This Row],[Project No]],2)</f>
        <v>AV</v>
      </c>
      <c r="D50" s="17" t="s">
        <v>1183</v>
      </c>
      <c r="E50" s="18" t="s">
        <v>829</v>
      </c>
      <c r="F50" s="18" t="s">
        <v>48</v>
      </c>
      <c r="G50" s="19">
        <v>2887.97</v>
      </c>
      <c r="H50" s="18">
        <v>210166241</v>
      </c>
      <c r="I50" s="18" t="s">
        <v>155</v>
      </c>
      <c r="J50" s="119">
        <f>SUMIF(OpenInvoices!C:C,Table1[[#This Row],[Invoice No]],OpenInvoices!N:N)</f>
        <v>0</v>
      </c>
      <c r="K50" s="119">
        <f>IF(Table1[[#This Row],[Outstanding]]=0,Table1[[#This Row],[Invoice Amount]],Table1[[#This Row],[Outstanding]]-Table1[[#This Row],[Invoice Amount]])</f>
        <v>2887.97</v>
      </c>
      <c r="M50" s="17" t="s">
        <v>98</v>
      </c>
      <c r="N50" s="118"/>
      <c r="O50" s="118"/>
      <c r="P50" s="118">
        <v>3</v>
      </c>
    </row>
    <row r="51" spans="1:16" ht="12" customHeight="1" x14ac:dyDescent="0.2">
      <c r="A51" s="18">
        <v>1</v>
      </c>
      <c r="B51" s="20">
        <v>45901</v>
      </c>
      <c r="C51" s="118" t="str">
        <f>LEFT(Table1[[#This Row],[Project No]],2)</f>
        <v>BA</v>
      </c>
      <c r="D51" s="17" t="s">
        <v>817</v>
      </c>
      <c r="E51" s="18" t="s">
        <v>42</v>
      </c>
      <c r="F51" s="18" t="s">
        <v>36</v>
      </c>
      <c r="G51" s="19">
        <v>1897.39</v>
      </c>
      <c r="H51" s="18">
        <v>210166242</v>
      </c>
      <c r="I51" s="18" t="s">
        <v>155</v>
      </c>
      <c r="J51" s="119">
        <f>SUMIF(OpenInvoices!C:C,Table1[[#This Row],[Invoice No]],OpenInvoices!N:N)</f>
        <v>0</v>
      </c>
      <c r="K51" s="119">
        <f>IF(Table1[[#This Row],[Outstanding]]=0,Table1[[#This Row],[Invoice Amount]],Table1[[#This Row],[Outstanding]]-Table1[[#This Row],[Invoice Amount]])</f>
        <v>1897.39</v>
      </c>
      <c r="M51" s="17" t="s">
        <v>95</v>
      </c>
      <c r="N51" s="118"/>
      <c r="O51" s="118">
        <v>3</v>
      </c>
      <c r="P51" s="118"/>
    </row>
    <row r="52" spans="1:16" ht="12" customHeight="1" x14ac:dyDescent="0.2">
      <c r="A52" s="18">
        <v>1</v>
      </c>
      <c r="B52" s="20">
        <v>45901</v>
      </c>
      <c r="C52" s="118" t="str">
        <f>LEFT(Table1[[#This Row],[Project No]],2)</f>
        <v>BK</v>
      </c>
      <c r="D52" s="17" t="s">
        <v>1464</v>
      </c>
      <c r="E52" s="18" t="s">
        <v>1463</v>
      </c>
      <c r="F52" s="18" t="s">
        <v>1539</v>
      </c>
      <c r="G52" s="19">
        <v>26999.39</v>
      </c>
      <c r="H52" s="18">
        <v>210166243</v>
      </c>
      <c r="I52" s="18" t="s">
        <v>155</v>
      </c>
      <c r="J52" s="119">
        <f>SUMIF(OpenInvoices!C:C,Table1[[#This Row],[Invoice No]],OpenInvoices!N:N)</f>
        <v>0</v>
      </c>
      <c r="K52" s="119">
        <f>IF(Table1[[#This Row],[Outstanding]]=0,Table1[[#This Row],[Invoice Amount]],Table1[[#This Row],[Outstanding]]-Table1[[#This Row],[Invoice Amount]])</f>
        <v>26999.39</v>
      </c>
      <c r="M52" s="17" t="s">
        <v>73</v>
      </c>
      <c r="N52" s="118"/>
      <c r="O52" s="118">
        <v>3</v>
      </c>
      <c r="P52" s="118"/>
    </row>
    <row r="53" spans="1:16" ht="12" customHeight="1" x14ac:dyDescent="0.2">
      <c r="A53" s="18">
        <v>1</v>
      </c>
      <c r="B53" s="20">
        <v>45901</v>
      </c>
      <c r="C53" s="118" t="str">
        <f>LEFT(Table1[[#This Row],[Project No]],2)</f>
        <v>BL</v>
      </c>
      <c r="D53" s="17" t="s">
        <v>1059</v>
      </c>
      <c r="E53" s="18" t="s">
        <v>469</v>
      </c>
      <c r="F53" s="18" t="s">
        <v>48</v>
      </c>
      <c r="G53" s="19">
        <v>24052.35</v>
      </c>
      <c r="H53" s="18">
        <v>210166245</v>
      </c>
      <c r="I53" s="18" t="s">
        <v>155</v>
      </c>
      <c r="J53" s="119">
        <f>SUMIF(OpenInvoices!C:C,Table1[[#This Row],[Invoice No]],OpenInvoices!N:N)</f>
        <v>0</v>
      </c>
      <c r="K53" s="119">
        <f>IF(Table1[[#This Row],[Outstanding]]=0,Table1[[#This Row],[Invoice Amount]],Table1[[#This Row],[Outstanding]]-Table1[[#This Row],[Invoice Amount]])</f>
        <v>24052.35</v>
      </c>
      <c r="M53" s="17" t="s">
        <v>2033</v>
      </c>
      <c r="N53" s="118"/>
      <c r="O53" s="118">
        <v>2</v>
      </c>
      <c r="P53" s="118"/>
    </row>
    <row r="54" spans="1:16" ht="12" customHeight="1" x14ac:dyDescent="0.2">
      <c r="A54" s="18">
        <v>1</v>
      </c>
      <c r="B54" s="20">
        <v>45901</v>
      </c>
      <c r="C54" s="118" t="str">
        <f>LEFT(Table1[[#This Row],[Project No]],2)</f>
        <v>BL</v>
      </c>
      <c r="D54" s="17" t="s">
        <v>1527</v>
      </c>
      <c r="E54" s="18" t="s">
        <v>41</v>
      </c>
      <c r="F54" s="18" t="s">
        <v>30</v>
      </c>
      <c r="G54" s="19">
        <v>3687.55</v>
      </c>
      <c r="H54" s="18">
        <v>210166246</v>
      </c>
      <c r="I54" s="18" t="s">
        <v>155</v>
      </c>
      <c r="J54" s="119">
        <f>SUMIF(OpenInvoices!C:C,Table1[[#This Row],[Invoice No]],OpenInvoices!N:N)</f>
        <v>0</v>
      </c>
      <c r="K54" s="119">
        <f>IF(Table1[[#This Row],[Outstanding]]=0,Table1[[#This Row],[Invoice Amount]],Table1[[#This Row],[Outstanding]]-Table1[[#This Row],[Invoice Amount]])</f>
        <v>3687.55</v>
      </c>
      <c r="M54" s="17" t="s">
        <v>74</v>
      </c>
      <c r="N54" s="118"/>
      <c r="O54" s="118"/>
      <c r="P54" s="118">
        <v>2</v>
      </c>
    </row>
    <row r="55" spans="1:16" ht="12" customHeight="1" x14ac:dyDescent="0.2">
      <c r="A55" s="18">
        <v>1</v>
      </c>
      <c r="B55" s="20">
        <v>45901</v>
      </c>
      <c r="C55" s="118" t="str">
        <f>LEFT(Table1[[#This Row],[Project No]],2)</f>
        <v>BL</v>
      </c>
      <c r="D55" s="17" t="s">
        <v>1620</v>
      </c>
      <c r="E55" s="18" t="s">
        <v>40</v>
      </c>
      <c r="F55" s="18" t="s">
        <v>31</v>
      </c>
      <c r="G55" s="19">
        <v>101530.75</v>
      </c>
      <c r="H55" s="18">
        <v>210166247</v>
      </c>
      <c r="I55" s="18" t="s">
        <v>155</v>
      </c>
      <c r="J55" s="119">
        <f>SUMIF(OpenInvoices!C:C,Table1[[#This Row],[Invoice No]],OpenInvoices!N:N)</f>
        <v>0</v>
      </c>
      <c r="K55" s="119">
        <f>IF(Table1[[#This Row],[Outstanding]]=0,Table1[[#This Row],[Invoice Amount]],Table1[[#This Row],[Outstanding]]-Table1[[#This Row],[Invoice Amount]])</f>
        <v>101530.75</v>
      </c>
      <c r="M55" s="17" t="s">
        <v>727</v>
      </c>
      <c r="N55" s="118"/>
      <c r="O55" s="118"/>
      <c r="P55" s="118">
        <v>2</v>
      </c>
    </row>
    <row r="56" spans="1:16" ht="12" customHeight="1" x14ac:dyDescent="0.2">
      <c r="A56" s="18">
        <v>1</v>
      </c>
      <c r="B56" s="20">
        <v>45901</v>
      </c>
      <c r="C56" s="118" t="str">
        <f>LEFT(Table1[[#This Row],[Project No]],2)</f>
        <v>BW</v>
      </c>
      <c r="D56" s="17" t="s">
        <v>1060</v>
      </c>
      <c r="E56" s="18" t="s">
        <v>34</v>
      </c>
      <c r="F56" s="18" t="s">
        <v>337</v>
      </c>
      <c r="G56" s="19">
        <v>14205.69</v>
      </c>
      <c r="H56" s="18">
        <v>210166248</v>
      </c>
      <c r="I56" s="18" t="s">
        <v>155</v>
      </c>
      <c r="J56" s="119">
        <f>SUMIF(OpenInvoices!C:C,Table1[[#This Row],[Invoice No]],OpenInvoices!N:N)</f>
        <v>0</v>
      </c>
      <c r="K56" s="119">
        <f>IF(Table1[[#This Row],[Outstanding]]=0,Table1[[#This Row],[Invoice Amount]],Table1[[#This Row],[Outstanding]]-Table1[[#This Row],[Invoice Amount]])</f>
        <v>14205.69</v>
      </c>
      <c r="M56" s="17" t="s">
        <v>90</v>
      </c>
      <c r="N56" s="118"/>
      <c r="O56" s="118"/>
      <c r="P56" s="118">
        <v>2</v>
      </c>
    </row>
    <row r="57" spans="1:16" ht="12" customHeight="1" x14ac:dyDescent="0.2">
      <c r="A57" s="18">
        <v>1</v>
      </c>
      <c r="B57" s="20">
        <v>45901</v>
      </c>
      <c r="C57" s="118" t="str">
        <f>LEFT(Table1[[#This Row],[Project No]],2)</f>
        <v>BZ</v>
      </c>
      <c r="D57" s="17" t="s">
        <v>1528</v>
      </c>
      <c r="E57" s="18" t="s">
        <v>33</v>
      </c>
      <c r="F57" s="18" t="s">
        <v>1540</v>
      </c>
      <c r="G57" s="19">
        <v>5748.54</v>
      </c>
      <c r="H57" s="18">
        <v>210166249</v>
      </c>
      <c r="I57" s="18" t="s">
        <v>155</v>
      </c>
      <c r="J57" s="119">
        <f>SUMIF(OpenInvoices!C:C,Table1[[#This Row],[Invoice No]],OpenInvoices!N:N)</f>
        <v>0</v>
      </c>
      <c r="K57" s="119">
        <f>IF(Table1[[#This Row],[Outstanding]]=0,Table1[[#This Row],[Invoice Amount]],Table1[[#This Row],[Outstanding]]-Table1[[#This Row],[Invoice Amount]])</f>
        <v>5748.54</v>
      </c>
      <c r="M57" s="17" t="s">
        <v>87</v>
      </c>
      <c r="N57" s="118"/>
      <c r="O57" s="118">
        <v>1</v>
      </c>
      <c r="P57" s="118">
        <v>1</v>
      </c>
    </row>
    <row r="58" spans="1:16" ht="12" customHeight="1" x14ac:dyDescent="0.2">
      <c r="A58" s="18">
        <v>1</v>
      </c>
      <c r="B58" s="20">
        <v>45901</v>
      </c>
      <c r="C58" s="118" t="str">
        <f>LEFT(Table1[[#This Row],[Project No]],2)</f>
        <v>BZ</v>
      </c>
      <c r="D58" s="17" t="s">
        <v>1493</v>
      </c>
      <c r="E58" s="18" t="s">
        <v>1492</v>
      </c>
      <c r="F58" s="18" t="s">
        <v>10</v>
      </c>
      <c r="G58" s="19">
        <v>455.44</v>
      </c>
      <c r="H58" s="18">
        <v>210166250</v>
      </c>
      <c r="I58" s="18" t="s">
        <v>155</v>
      </c>
      <c r="J58" s="119">
        <f>SUMIF(OpenInvoices!C:C,Table1[[#This Row],[Invoice No]],OpenInvoices!N:N)</f>
        <v>0</v>
      </c>
      <c r="K58" s="119">
        <f>IF(Table1[[#This Row],[Outstanding]]=0,Table1[[#This Row],[Invoice Amount]],Table1[[#This Row],[Outstanding]]-Table1[[#This Row],[Invoice Amount]])</f>
        <v>455.44</v>
      </c>
      <c r="M58" s="17" t="s">
        <v>78</v>
      </c>
      <c r="N58" s="118"/>
      <c r="O58" s="118">
        <v>2</v>
      </c>
      <c r="P58" s="118"/>
    </row>
    <row r="59" spans="1:16" ht="12" customHeight="1" x14ac:dyDescent="0.2">
      <c r="A59" s="18">
        <v>1</v>
      </c>
      <c r="B59" s="20">
        <v>45901</v>
      </c>
      <c r="C59" s="118" t="str">
        <f>LEFT(Table1[[#This Row],[Project No]],2)</f>
        <v>BZ</v>
      </c>
      <c r="D59" s="17" t="s">
        <v>2839</v>
      </c>
      <c r="E59" s="18" t="s">
        <v>1070</v>
      </c>
      <c r="F59" s="18" t="s">
        <v>10</v>
      </c>
      <c r="G59" s="19">
        <v>26811.41</v>
      </c>
      <c r="H59" s="18">
        <v>210166251</v>
      </c>
      <c r="I59" s="18" t="s">
        <v>155</v>
      </c>
      <c r="J59" s="119">
        <f>SUMIF(OpenInvoices!C:C,Table1[[#This Row],[Invoice No]],OpenInvoices!N:N)</f>
        <v>0</v>
      </c>
      <c r="K59" s="119">
        <f>IF(Table1[[#This Row],[Outstanding]]=0,Table1[[#This Row],[Invoice Amount]],Table1[[#This Row],[Outstanding]]-Table1[[#This Row],[Invoice Amount]])</f>
        <v>26811.41</v>
      </c>
      <c r="M59" s="17" t="s">
        <v>8168</v>
      </c>
      <c r="N59" s="118"/>
      <c r="O59" s="118"/>
      <c r="P59" s="118">
        <v>2</v>
      </c>
    </row>
    <row r="60" spans="1:16" ht="12" customHeight="1" x14ac:dyDescent="0.2">
      <c r="A60" s="18">
        <v>1</v>
      </c>
      <c r="B60" s="20">
        <v>45901</v>
      </c>
      <c r="C60" s="118" t="str">
        <f>LEFT(Table1[[#This Row],[Project No]],2)</f>
        <v>BZ</v>
      </c>
      <c r="D60" s="17" t="s">
        <v>3585</v>
      </c>
      <c r="E60" s="18" t="s">
        <v>3584</v>
      </c>
      <c r="F60" s="18" t="s">
        <v>10</v>
      </c>
      <c r="G60" s="19">
        <v>3494.7</v>
      </c>
      <c r="H60" s="18">
        <v>210166252</v>
      </c>
      <c r="I60" s="18" t="s">
        <v>155</v>
      </c>
      <c r="J60" s="119">
        <f>SUMIF(OpenInvoices!C:C,Table1[[#This Row],[Invoice No]],OpenInvoices!N:N)</f>
        <v>0</v>
      </c>
      <c r="K60" s="119">
        <f>IF(Table1[[#This Row],[Outstanding]]=0,Table1[[#This Row],[Invoice Amount]],Table1[[#This Row],[Outstanding]]-Table1[[#This Row],[Invoice Amount]])</f>
        <v>3494.7</v>
      </c>
      <c r="M60" s="17" t="s">
        <v>138</v>
      </c>
      <c r="N60" s="118"/>
      <c r="O60" s="118">
        <v>1</v>
      </c>
      <c r="P60" s="118"/>
    </row>
    <row r="61" spans="1:16" ht="12" customHeight="1" x14ac:dyDescent="0.2">
      <c r="A61" s="18">
        <v>1</v>
      </c>
      <c r="B61" s="20">
        <v>45901</v>
      </c>
      <c r="C61" s="118" t="str">
        <f>LEFT(Table1[[#This Row],[Project No]],2)</f>
        <v>BZ</v>
      </c>
      <c r="D61" s="17" t="s">
        <v>2862</v>
      </c>
      <c r="E61" s="18" t="s">
        <v>807</v>
      </c>
      <c r="F61" s="18" t="s">
        <v>10</v>
      </c>
      <c r="G61" s="19">
        <v>2173.62</v>
      </c>
      <c r="H61" s="18">
        <v>210166253</v>
      </c>
      <c r="I61" s="18" t="s">
        <v>155</v>
      </c>
      <c r="J61" s="119">
        <f>SUMIF(OpenInvoices!C:C,Table1[[#This Row],[Invoice No]],OpenInvoices!N:N)</f>
        <v>0</v>
      </c>
      <c r="K61" s="119">
        <f>IF(Table1[[#This Row],[Outstanding]]=0,Table1[[#This Row],[Invoice Amount]],Table1[[#This Row],[Outstanding]]-Table1[[#This Row],[Invoice Amount]])</f>
        <v>2173.62</v>
      </c>
      <c r="M61" s="17" t="s">
        <v>175</v>
      </c>
      <c r="N61" s="118"/>
      <c r="O61" s="118"/>
      <c r="P61" s="118">
        <v>1</v>
      </c>
    </row>
    <row r="62" spans="1:16" ht="12" customHeight="1" x14ac:dyDescent="0.2">
      <c r="A62" s="18">
        <v>1</v>
      </c>
      <c r="B62" s="20">
        <v>45901</v>
      </c>
      <c r="C62" s="118" t="str">
        <f>LEFT(Table1[[#This Row],[Project No]],2)</f>
        <v>BZ</v>
      </c>
      <c r="D62" s="17" t="s">
        <v>3606</v>
      </c>
      <c r="E62" s="18" t="s">
        <v>42</v>
      </c>
      <c r="F62" s="18" t="s">
        <v>10</v>
      </c>
      <c r="G62" s="19">
        <v>1550.54</v>
      </c>
      <c r="H62" s="18">
        <v>210166254</v>
      </c>
      <c r="I62" s="18" t="s">
        <v>155</v>
      </c>
      <c r="J62" s="119">
        <f>SUMIF(OpenInvoices!C:C,Table1[[#This Row],[Invoice No]],OpenInvoices!N:N)</f>
        <v>0</v>
      </c>
      <c r="K62" s="119">
        <f>IF(Table1[[#This Row],[Outstanding]]=0,Table1[[#This Row],[Invoice Amount]],Table1[[#This Row],[Outstanding]]-Table1[[#This Row],[Invoice Amount]])</f>
        <v>1550.54</v>
      </c>
      <c r="M62" s="17" t="s">
        <v>127</v>
      </c>
      <c r="N62" s="118"/>
      <c r="O62" s="118">
        <v>1</v>
      </c>
      <c r="P62" s="118"/>
    </row>
    <row r="63" spans="1:16" ht="12" customHeight="1" x14ac:dyDescent="0.2">
      <c r="A63" s="18">
        <v>1</v>
      </c>
      <c r="B63" s="20">
        <v>45901</v>
      </c>
      <c r="C63" s="118" t="str">
        <f>LEFT(Table1[[#This Row],[Project No]],2)</f>
        <v>BZ</v>
      </c>
      <c r="D63" s="17" t="s">
        <v>3588</v>
      </c>
      <c r="E63" s="18" t="s">
        <v>3586</v>
      </c>
      <c r="F63" s="18" t="s">
        <v>906</v>
      </c>
      <c r="G63" s="19">
        <v>5271.58</v>
      </c>
      <c r="H63" s="18">
        <v>210166255</v>
      </c>
      <c r="I63" s="18" t="s">
        <v>155</v>
      </c>
      <c r="J63" s="119">
        <f>SUMIF(OpenInvoices!C:C,Table1[[#This Row],[Invoice No]],OpenInvoices!N:N)</f>
        <v>0</v>
      </c>
      <c r="K63" s="119">
        <f>IF(Table1[[#This Row],[Outstanding]]=0,Table1[[#This Row],[Invoice Amount]],Table1[[#This Row],[Outstanding]]-Table1[[#This Row],[Invoice Amount]])</f>
        <v>5271.58</v>
      </c>
      <c r="M63" s="17" t="s">
        <v>80</v>
      </c>
      <c r="N63" s="118"/>
      <c r="O63" s="118"/>
      <c r="P63" s="118">
        <v>1</v>
      </c>
    </row>
    <row r="64" spans="1:16" ht="12" customHeight="1" x14ac:dyDescent="0.2">
      <c r="A64" s="18">
        <v>1</v>
      </c>
      <c r="B64" s="20">
        <v>45901</v>
      </c>
      <c r="C64" s="118" t="str">
        <f>LEFT(Table1[[#This Row],[Project No]],2)</f>
        <v>BZ</v>
      </c>
      <c r="D64" s="17" t="s">
        <v>3605</v>
      </c>
      <c r="E64" s="18" t="s">
        <v>3604</v>
      </c>
      <c r="F64" s="18" t="s">
        <v>10</v>
      </c>
      <c r="G64" s="19">
        <v>344196.32</v>
      </c>
      <c r="H64" s="18">
        <v>210166256</v>
      </c>
      <c r="I64" s="18" t="s">
        <v>155</v>
      </c>
      <c r="J64" s="119">
        <f>SUMIF(OpenInvoices!C:C,Table1[[#This Row],[Invoice No]],OpenInvoices!N:N)</f>
        <v>0</v>
      </c>
      <c r="K64" s="119">
        <f>IF(Table1[[#This Row],[Outstanding]]=0,Table1[[#This Row],[Invoice Amount]],Table1[[#This Row],[Outstanding]]-Table1[[#This Row],[Invoice Amount]])</f>
        <v>344196.32</v>
      </c>
      <c r="M64" s="17" t="s">
        <v>137</v>
      </c>
      <c r="N64" s="118"/>
      <c r="O64" s="118"/>
      <c r="P64" s="118">
        <v>1</v>
      </c>
    </row>
    <row r="65" spans="1:16" ht="12" customHeight="1" x14ac:dyDescent="0.2">
      <c r="A65" s="18">
        <v>1</v>
      </c>
      <c r="B65" s="20">
        <v>45901</v>
      </c>
      <c r="C65" s="118" t="str">
        <f>LEFT(Table1[[#This Row],[Project No]],2)</f>
        <v>CB</v>
      </c>
      <c r="D65" s="17" t="s">
        <v>961</v>
      </c>
      <c r="E65" s="18" t="s">
        <v>54</v>
      </c>
      <c r="F65" s="18" t="s">
        <v>53</v>
      </c>
      <c r="G65" s="19">
        <v>26443.55</v>
      </c>
      <c r="H65" s="18">
        <v>210166257</v>
      </c>
      <c r="I65" s="18" t="s">
        <v>155</v>
      </c>
      <c r="J65" s="119">
        <f>SUMIF(OpenInvoices!C:C,Table1[[#This Row],[Invoice No]],OpenInvoices!N:N)</f>
        <v>26443.55</v>
      </c>
      <c r="K65" s="119">
        <f>IF(Table1[[#This Row],[Outstanding]]=0,Table1[[#This Row],[Invoice Amount]],Table1[[#This Row],[Outstanding]]-Table1[[#This Row],[Invoice Amount]])</f>
        <v>0</v>
      </c>
      <c r="M65" s="17" t="s">
        <v>85</v>
      </c>
      <c r="N65" s="118"/>
      <c r="O65" s="118">
        <v>1</v>
      </c>
      <c r="P65" s="118"/>
    </row>
    <row r="66" spans="1:16" ht="12" customHeight="1" x14ac:dyDescent="0.2">
      <c r="A66" s="18">
        <v>1</v>
      </c>
      <c r="B66" s="20">
        <v>45901</v>
      </c>
      <c r="C66" s="118" t="str">
        <f>LEFT(Table1[[#This Row],[Project No]],2)</f>
        <v>CB</v>
      </c>
      <c r="D66" s="17" t="s">
        <v>1228</v>
      </c>
      <c r="E66" s="18" t="s">
        <v>47</v>
      </c>
      <c r="F66" s="18" t="s">
        <v>53</v>
      </c>
      <c r="G66" s="19">
        <v>14307.66</v>
      </c>
      <c r="H66" s="18">
        <v>210166258</v>
      </c>
      <c r="I66" s="18" t="s">
        <v>155</v>
      </c>
      <c r="J66" s="119">
        <f>SUMIF(OpenInvoices!C:C,Table1[[#This Row],[Invoice No]],OpenInvoices!N:N)</f>
        <v>0</v>
      </c>
      <c r="K66" s="119">
        <f>IF(Table1[[#This Row],[Outstanding]]=0,Table1[[#This Row],[Invoice Amount]],Table1[[#This Row],[Outstanding]]-Table1[[#This Row],[Invoice Amount]])</f>
        <v>14307.66</v>
      </c>
      <c r="M66" s="17" t="s">
        <v>116</v>
      </c>
      <c r="N66" s="118"/>
      <c r="O66" s="118"/>
      <c r="P66" s="118">
        <v>1</v>
      </c>
    </row>
    <row r="67" spans="1:16" ht="12" customHeight="1" x14ac:dyDescent="0.2">
      <c r="A67" s="18">
        <v>1</v>
      </c>
      <c r="B67" s="20">
        <v>45901</v>
      </c>
      <c r="C67" s="118" t="str">
        <f>LEFT(Table1[[#This Row],[Project No]],2)</f>
        <v>CB</v>
      </c>
      <c r="D67" s="17" t="s">
        <v>1529</v>
      </c>
      <c r="E67" s="18" t="s">
        <v>829</v>
      </c>
      <c r="F67" s="18" t="s">
        <v>53</v>
      </c>
      <c r="G67" s="19">
        <v>936.71</v>
      </c>
      <c r="H67" s="18">
        <v>210166259</v>
      </c>
      <c r="I67" s="18" t="s">
        <v>155</v>
      </c>
      <c r="J67" s="119">
        <f>SUMIF(OpenInvoices!C:C,Table1[[#This Row],[Invoice No]],OpenInvoices!N:N)</f>
        <v>0</v>
      </c>
      <c r="K67" s="119">
        <f>IF(Table1[[#This Row],[Outstanding]]=0,Table1[[#This Row],[Invoice Amount]],Table1[[#This Row],[Outstanding]]-Table1[[#This Row],[Invoice Amount]])</f>
        <v>936.71</v>
      </c>
      <c r="M67" s="17" t="s">
        <v>159</v>
      </c>
      <c r="N67" s="118"/>
      <c r="O67" s="118"/>
      <c r="P67" s="118">
        <v>1</v>
      </c>
    </row>
    <row r="68" spans="1:16" ht="12" customHeight="1" x14ac:dyDescent="0.2">
      <c r="A68" s="18">
        <v>1</v>
      </c>
      <c r="B68" s="20">
        <v>45901</v>
      </c>
      <c r="C68" s="118" t="str">
        <f>LEFT(Table1[[#This Row],[Project No]],2)</f>
        <v>CF</v>
      </c>
      <c r="D68" s="17" t="s">
        <v>1494</v>
      </c>
      <c r="E68" s="18" t="s">
        <v>1486</v>
      </c>
      <c r="F68" s="18" t="s">
        <v>1486</v>
      </c>
      <c r="G68" s="19">
        <v>20028.52</v>
      </c>
      <c r="H68" s="18">
        <v>210166260</v>
      </c>
      <c r="I68" s="18" t="s">
        <v>155</v>
      </c>
      <c r="J68" s="119">
        <f>SUMIF(OpenInvoices!C:C,Table1[[#This Row],[Invoice No]],OpenInvoices!N:N)</f>
        <v>0</v>
      </c>
      <c r="K68" s="119">
        <f>IF(Table1[[#This Row],[Outstanding]]=0,Table1[[#This Row],[Invoice Amount]],Table1[[#This Row],[Outstanding]]-Table1[[#This Row],[Invoice Amount]])</f>
        <v>20028.52</v>
      </c>
      <c r="M68" s="17" t="s">
        <v>223</v>
      </c>
      <c r="N68" s="118">
        <v>1</v>
      </c>
      <c r="O68" s="118"/>
      <c r="P68" s="118"/>
    </row>
    <row r="69" spans="1:16" ht="12" customHeight="1" x14ac:dyDescent="0.2">
      <c r="A69" s="18">
        <v>1</v>
      </c>
      <c r="B69" s="20">
        <v>45901</v>
      </c>
      <c r="C69" s="118" t="str">
        <f>LEFT(Table1[[#This Row],[Project No]],2)</f>
        <v>CY</v>
      </c>
      <c r="D69" s="17" t="s">
        <v>1530</v>
      </c>
      <c r="E69" s="18" t="s">
        <v>47</v>
      </c>
      <c r="F69" s="18" t="s">
        <v>36</v>
      </c>
      <c r="G69" s="19">
        <v>28900.04</v>
      </c>
      <c r="H69" s="18">
        <v>210166261</v>
      </c>
      <c r="I69" s="18" t="s">
        <v>155</v>
      </c>
      <c r="J69" s="119">
        <f>SUMIF(OpenInvoices!C:C,Table1[[#This Row],[Invoice No]],OpenInvoices!N:N)</f>
        <v>0</v>
      </c>
      <c r="K69" s="119">
        <f>IF(Table1[[#This Row],[Outstanding]]=0,Table1[[#This Row],[Invoice Amount]],Table1[[#This Row],[Outstanding]]-Table1[[#This Row],[Invoice Amount]])</f>
        <v>28900.04</v>
      </c>
      <c r="M69" s="17" t="s">
        <v>136</v>
      </c>
      <c r="N69" s="118"/>
      <c r="O69" s="118">
        <v>1</v>
      </c>
      <c r="P69" s="118"/>
    </row>
    <row r="70" spans="1:16" ht="12" customHeight="1" x14ac:dyDescent="0.2">
      <c r="A70" s="18">
        <v>1</v>
      </c>
      <c r="B70" s="20">
        <v>45901</v>
      </c>
      <c r="C70" s="118" t="str">
        <f>LEFT(Table1[[#This Row],[Project No]],2)</f>
        <v>CZ</v>
      </c>
      <c r="D70" s="17" t="s">
        <v>2051</v>
      </c>
      <c r="E70" s="18" t="s">
        <v>47</v>
      </c>
      <c r="F70" s="18" t="s">
        <v>36</v>
      </c>
      <c r="G70" s="19">
        <v>17258.400000000001</v>
      </c>
      <c r="H70" s="18">
        <v>210166262</v>
      </c>
      <c r="I70" s="18" t="s">
        <v>155</v>
      </c>
      <c r="J70" s="119">
        <f>SUMIF(OpenInvoices!C:C,Table1[[#This Row],[Invoice No]],OpenInvoices!N:N)</f>
        <v>0</v>
      </c>
      <c r="K70" s="119">
        <f>IF(Table1[[#This Row],[Outstanding]]=0,Table1[[#This Row],[Invoice Amount]],Table1[[#This Row],[Outstanding]]-Table1[[#This Row],[Invoice Amount]])</f>
        <v>17258.400000000001</v>
      </c>
      <c r="M70" s="17" t="s">
        <v>304</v>
      </c>
      <c r="N70" s="118">
        <v>1</v>
      </c>
      <c r="O70" s="118"/>
      <c r="P70" s="118"/>
    </row>
    <row r="71" spans="1:16" ht="12" customHeight="1" x14ac:dyDescent="0.2">
      <c r="A71" s="18">
        <v>1</v>
      </c>
      <c r="B71" s="20">
        <v>45901</v>
      </c>
      <c r="C71" s="118" t="str">
        <f>LEFT(Table1[[#This Row],[Project No]],2)</f>
        <v>DC</v>
      </c>
      <c r="D71" s="17" t="s">
        <v>1531</v>
      </c>
      <c r="E71" s="18" t="s">
        <v>21</v>
      </c>
      <c r="F71" s="18" t="s">
        <v>30</v>
      </c>
      <c r="G71" s="19">
        <v>30668.12</v>
      </c>
      <c r="H71" s="18">
        <v>210166263</v>
      </c>
      <c r="I71" s="18" t="s">
        <v>155</v>
      </c>
      <c r="J71" s="119">
        <f>SUMIF(OpenInvoices!C:C,Table1[[#This Row],[Invoice No]],OpenInvoices!N:N)</f>
        <v>0</v>
      </c>
      <c r="K71" s="119">
        <f>IF(Table1[[#This Row],[Outstanding]]=0,Table1[[#This Row],[Invoice Amount]],Table1[[#This Row],[Outstanding]]-Table1[[#This Row],[Invoice Amount]])</f>
        <v>30668.12</v>
      </c>
      <c r="M71" s="17" t="s">
        <v>113</v>
      </c>
      <c r="N71" s="118"/>
      <c r="O71" s="118">
        <v>1</v>
      </c>
      <c r="P71" s="118"/>
    </row>
    <row r="72" spans="1:16" ht="12" customHeight="1" x14ac:dyDescent="0.2">
      <c r="A72" s="18">
        <v>1</v>
      </c>
      <c r="B72" s="20">
        <v>45901</v>
      </c>
      <c r="C72" s="118" t="str">
        <f>LEFT(Table1[[#This Row],[Project No]],2)</f>
        <v>DF</v>
      </c>
      <c r="D72" s="17" t="s">
        <v>2100</v>
      </c>
      <c r="E72" s="18" t="s">
        <v>33</v>
      </c>
      <c r="F72" s="18" t="s">
        <v>27</v>
      </c>
      <c r="G72" s="19">
        <v>4041.25</v>
      </c>
      <c r="H72" s="18">
        <v>210166264</v>
      </c>
      <c r="I72" s="18" t="s">
        <v>155</v>
      </c>
      <c r="J72" s="119">
        <f>SUMIF(OpenInvoices!C:C,Table1[[#This Row],[Invoice No]],OpenInvoices!N:N)</f>
        <v>4041.25</v>
      </c>
      <c r="K72" s="119">
        <f>IF(Table1[[#This Row],[Outstanding]]=0,Table1[[#This Row],[Invoice Amount]],Table1[[#This Row],[Outstanding]]-Table1[[#This Row],[Invoice Amount]])</f>
        <v>0</v>
      </c>
      <c r="M72" s="17" t="s">
        <v>114</v>
      </c>
      <c r="N72" s="118"/>
      <c r="O72" s="118"/>
      <c r="P72" s="118">
        <v>1</v>
      </c>
    </row>
    <row r="73" spans="1:16" ht="12" customHeight="1" x14ac:dyDescent="0.2">
      <c r="A73" s="18">
        <v>1</v>
      </c>
      <c r="B73" s="20">
        <v>45901</v>
      </c>
      <c r="C73" s="118" t="str">
        <f>LEFT(Table1[[#This Row],[Project No]],2)</f>
        <v>DF</v>
      </c>
      <c r="D73" s="17" t="s">
        <v>2090</v>
      </c>
      <c r="E73" s="18" t="s">
        <v>37</v>
      </c>
      <c r="F73" s="18" t="s">
        <v>10</v>
      </c>
      <c r="G73" s="19">
        <v>35190.35</v>
      </c>
      <c r="H73" s="18">
        <v>210166265</v>
      </c>
      <c r="I73" s="18" t="s">
        <v>155</v>
      </c>
      <c r="J73" s="119">
        <f>SUMIF(OpenInvoices!C:C,Table1[[#This Row],[Invoice No]],OpenInvoices!N:N)</f>
        <v>0</v>
      </c>
      <c r="K73" s="119">
        <f>IF(Table1[[#This Row],[Outstanding]]=0,Table1[[#This Row],[Invoice Amount]],Table1[[#This Row],[Outstanding]]-Table1[[#This Row],[Invoice Amount]])</f>
        <v>35190.35</v>
      </c>
      <c r="M73"/>
      <c r="N73"/>
      <c r="O73"/>
      <c r="P73"/>
    </row>
    <row r="74" spans="1:16" ht="12" customHeight="1" x14ac:dyDescent="0.2">
      <c r="A74" s="18">
        <v>1</v>
      </c>
      <c r="B74" s="20">
        <v>45901</v>
      </c>
      <c r="C74" s="118" t="str">
        <f>LEFT(Table1[[#This Row],[Project No]],2)</f>
        <v>DF</v>
      </c>
      <c r="D74" s="17" t="s">
        <v>3578</v>
      </c>
      <c r="E74" s="18" t="s">
        <v>41</v>
      </c>
      <c r="F74" s="18" t="s">
        <v>30</v>
      </c>
      <c r="G74" s="19">
        <v>57763.81</v>
      </c>
      <c r="H74" s="18">
        <v>210166266</v>
      </c>
      <c r="I74" s="18" t="s">
        <v>155</v>
      </c>
      <c r="J74" s="119">
        <f>SUMIF(OpenInvoices!C:C,Table1[[#This Row],[Invoice No]],OpenInvoices!N:N)</f>
        <v>0</v>
      </c>
      <c r="K74" s="119">
        <f>IF(Table1[[#This Row],[Outstanding]]=0,Table1[[#This Row],[Invoice Amount]],Table1[[#This Row],[Outstanding]]-Table1[[#This Row],[Invoice Amount]])</f>
        <v>57763.81</v>
      </c>
      <c r="M74"/>
      <c r="N74"/>
      <c r="O74"/>
      <c r="P74"/>
    </row>
    <row r="75" spans="1:16" ht="12" customHeight="1" x14ac:dyDescent="0.2">
      <c r="A75" s="18">
        <v>1</v>
      </c>
      <c r="B75" s="20">
        <v>45901</v>
      </c>
      <c r="C75" s="118" t="str">
        <f>LEFT(Table1[[#This Row],[Project No]],2)</f>
        <v>DF</v>
      </c>
      <c r="D75" s="17" t="s">
        <v>3760</v>
      </c>
      <c r="E75" s="18" t="s">
        <v>454</v>
      </c>
      <c r="F75" s="18" t="s">
        <v>31</v>
      </c>
      <c r="G75" s="26">
        <v>2827.53</v>
      </c>
      <c r="H75" s="18">
        <v>210166267</v>
      </c>
      <c r="I75" s="18" t="s">
        <v>155</v>
      </c>
      <c r="J75" s="119">
        <f>SUMIF(OpenInvoices!C:C,Table1[[#This Row],[Invoice No]],OpenInvoices!N:N)</f>
        <v>0</v>
      </c>
      <c r="K75" s="119">
        <f>IF(Table1[[#This Row],[Outstanding]]=0,Table1[[#This Row],[Invoice Amount]],Table1[[#This Row],[Outstanding]]-Table1[[#This Row],[Invoice Amount]])</f>
        <v>2827.53</v>
      </c>
      <c r="M75"/>
      <c r="N75"/>
      <c r="O75"/>
      <c r="P75"/>
    </row>
    <row r="76" spans="1:16" ht="12" customHeight="1" x14ac:dyDescent="0.25">
      <c r="A76" s="18">
        <v>1</v>
      </c>
      <c r="B76" s="20">
        <v>45901</v>
      </c>
      <c r="C76" s="118" t="str">
        <f>LEFT(Table1[[#This Row],[Project No]],2)</f>
        <v>DG</v>
      </c>
      <c r="D76" s="17" t="s">
        <v>1532</v>
      </c>
      <c r="E76" s="18" t="s">
        <v>69</v>
      </c>
      <c r="F76" s="18" t="s">
        <v>30</v>
      </c>
      <c r="G76" s="26">
        <v>1083.0999999999999</v>
      </c>
      <c r="H76" s="18">
        <v>210166268</v>
      </c>
      <c r="I76" s="18" t="s">
        <v>155</v>
      </c>
      <c r="J76" s="119">
        <f>SUMIF(OpenInvoices!C:C,Table1[[#This Row],[Invoice No]],OpenInvoices!N:N)</f>
        <v>0</v>
      </c>
      <c r="K76" s="119">
        <f>IF(Table1[[#This Row],[Outstanding]]=0,Table1[[#This Row],[Invoice Amount]],Table1[[#This Row],[Outstanding]]-Table1[[#This Row],[Invoice Amount]])</f>
        <v>1083.0999999999999</v>
      </c>
      <c r="M76"/>
      <c r="N76"/>
      <c r="O76"/>
      <c r="P76"/>
    </row>
    <row r="77" spans="1:16" ht="12" customHeight="1" x14ac:dyDescent="0.25">
      <c r="A77" s="18">
        <v>1</v>
      </c>
      <c r="B77" s="20">
        <v>45901</v>
      </c>
      <c r="C77" s="118" t="str">
        <f>LEFT(Table1[[#This Row],[Project No]],2)</f>
        <v>DH</v>
      </c>
      <c r="D77" s="17" t="s">
        <v>1533</v>
      </c>
      <c r="E77" s="18" t="s">
        <v>25</v>
      </c>
      <c r="F77" s="18" t="s">
        <v>1541</v>
      </c>
      <c r="G77" s="26">
        <v>243.7</v>
      </c>
      <c r="H77" s="18">
        <v>210166269</v>
      </c>
      <c r="I77" s="18" t="s">
        <v>155</v>
      </c>
      <c r="J77" s="119">
        <f>SUMIF(OpenInvoices!C:C,Table1[[#This Row],[Invoice No]],OpenInvoices!N:N)</f>
        <v>0</v>
      </c>
      <c r="K77" s="119">
        <f>IF(Table1[[#This Row],[Outstanding]]=0,Table1[[#This Row],[Invoice Amount]],Table1[[#This Row],[Outstanding]]-Table1[[#This Row],[Invoice Amount]])</f>
        <v>243.7</v>
      </c>
      <c r="M77"/>
      <c r="N77"/>
      <c r="O77"/>
      <c r="P77"/>
    </row>
    <row r="78" spans="1:16" ht="12" customHeight="1" x14ac:dyDescent="0.25">
      <c r="A78" s="18">
        <v>1</v>
      </c>
      <c r="B78" s="20">
        <v>45901</v>
      </c>
      <c r="C78" s="118" t="str">
        <f>LEFT(Table1[[#This Row],[Project No]],2)</f>
        <v>DJ</v>
      </c>
      <c r="D78" s="17" t="s">
        <v>1534</v>
      </c>
      <c r="E78" s="18" t="s">
        <v>38</v>
      </c>
      <c r="F78" s="18" t="s">
        <v>31</v>
      </c>
      <c r="G78" s="26">
        <v>22181.5</v>
      </c>
      <c r="H78" s="18">
        <v>210166270</v>
      </c>
      <c r="I78" s="18" t="s">
        <v>155</v>
      </c>
      <c r="J78" s="119">
        <f>SUMIF(OpenInvoices!C:C,Table1[[#This Row],[Invoice No]],OpenInvoices!N:N)</f>
        <v>0</v>
      </c>
      <c r="K78" s="119">
        <f>IF(Table1[[#This Row],[Outstanding]]=0,Table1[[#This Row],[Invoice Amount]],Table1[[#This Row],[Outstanding]]-Table1[[#This Row],[Invoice Amount]])</f>
        <v>22181.5</v>
      </c>
      <c r="M78"/>
      <c r="N78"/>
      <c r="O78"/>
      <c r="P78"/>
    </row>
    <row r="79" spans="1:16" ht="12" customHeight="1" x14ac:dyDescent="0.25">
      <c r="A79" s="18">
        <v>1</v>
      </c>
      <c r="B79" s="20">
        <v>45901</v>
      </c>
      <c r="C79" s="118" t="str">
        <f>LEFT(Table1[[#This Row],[Project No]],2)</f>
        <v>DJ</v>
      </c>
      <c r="D79" s="17" t="s">
        <v>3272</v>
      </c>
      <c r="E79" s="18" t="s">
        <v>788</v>
      </c>
      <c r="F79" s="18" t="s">
        <v>31</v>
      </c>
      <c r="G79" s="26">
        <v>57740.97</v>
      </c>
      <c r="H79" s="18">
        <v>210166271</v>
      </c>
      <c r="I79" s="18" t="s">
        <v>155</v>
      </c>
      <c r="J79" s="119">
        <f>SUMIF(OpenInvoices!C:C,Table1[[#This Row],[Invoice No]],OpenInvoices!N:N)</f>
        <v>0</v>
      </c>
      <c r="K79" s="119">
        <f>IF(Table1[[#This Row],[Outstanding]]=0,Table1[[#This Row],[Invoice Amount]],Table1[[#This Row],[Outstanding]]-Table1[[#This Row],[Invoice Amount]])</f>
        <v>57740.97</v>
      </c>
      <c r="M79"/>
      <c r="N79"/>
      <c r="O79"/>
      <c r="P79"/>
    </row>
    <row r="80" spans="1:16" ht="12" customHeight="1" x14ac:dyDescent="0.2">
      <c r="A80" s="18">
        <v>1</v>
      </c>
      <c r="B80" s="20">
        <v>45901</v>
      </c>
      <c r="C80" s="118" t="str">
        <f>LEFT(Table1[[#This Row],[Project No]],2)</f>
        <v>DK</v>
      </c>
      <c r="D80" s="17" t="s">
        <v>658</v>
      </c>
      <c r="E80" s="18" t="s">
        <v>471</v>
      </c>
      <c r="F80" s="18" t="s">
        <v>31</v>
      </c>
      <c r="G80" s="26">
        <v>7947.94</v>
      </c>
      <c r="H80" s="18">
        <v>210166272</v>
      </c>
      <c r="I80" s="18" t="s">
        <v>155</v>
      </c>
      <c r="J80" s="119">
        <f>SUMIF(OpenInvoices!C:C,Table1[[#This Row],[Invoice No]],OpenInvoices!N:N)</f>
        <v>0</v>
      </c>
      <c r="K80" s="119">
        <f>IF(Table1[[#This Row],[Outstanding]]=0,Table1[[#This Row],[Invoice Amount]],Table1[[#This Row],[Outstanding]]-Table1[[#This Row],[Invoice Amount]])</f>
        <v>7947.94</v>
      </c>
    </row>
    <row r="81" spans="1:11" ht="12" customHeight="1" x14ac:dyDescent="0.2">
      <c r="A81" s="18">
        <v>1</v>
      </c>
      <c r="B81" s="20">
        <v>45901</v>
      </c>
      <c r="C81" s="118" t="str">
        <f>LEFT(Table1[[#This Row],[Project No]],2)</f>
        <v>DM</v>
      </c>
      <c r="D81" s="17" t="s">
        <v>1239</v>
      </c>
      <c r="E81" s="18" t="s">
        <v>29</v>
      </c>
      <c r="F81" s="18" t="s">
        <v>31</v>
      </c>
      <c r="G81" s="26">
        <v>39726.559999999998</v>
      </c>
      <c r="H81" s="18">
        <v>210166273</v>
      </c>
      <c r="I81" s="18" t="s">
        <v>155</v>
      </c>
      <c r="J81" s="119">
        <f>SUMIF(OpenInvoices!C:C,Table1[[#This Row],[Invoice No]],OpenInvoices!N:N)</f>
        <v>0</v>
      </c>
      <c r="K81" s="119">
        <f>IF(Table1[[#This Row],[Outstanding]]=0,Table1[[#This Row],[Invoice Amount]],Table1[[#This Row],[Outstanding]]-Table1[[#This Row],[Invoice Amount]])</f>
        <v>39726.559999999998</v>
      </c>
    </row>
    <row r="82" spans="1:11" ht="12" customHeight="1" x14ac:dyDescent="0.2">
      <c r="A82" s="18">
        <v>1</v>
      </c>
      <c r="B82" s="20">
        <v>45901</v>
      </c>
      <c r="C82" s="118" t="str">
        <f>LEFT(Table1[[#This Row],[Project No]],2)</f>
        <v>DN</v>
      </c>
      <c r="D82" s="17" t="s">
        <v>655</v>
      </c>
      <c r="E82" s="18" t="s">
        <v>40</v>
      </c>
      <c r="F82" s="18" t="s">
        <v>31</v>
      </c>
      <c r="G82" s="26">
        <v>41686.050000000003</v>
      </c>
      <c r="H82" s="18">
        <v>210166274</v>
      </c>
      <c r="I82" s="18" t="s">
        <v>155</v>
      </c>
      <c r="J82" s="119">
        <f>SUMIF(OpenInvoices!C:C,Table1[[#This Row],[Invoice No]],OpenInvoices!N:N)</f>
        <v>0</v>
      </c>
      <c r="K82" s="119">
        <f>IF(Table1[[#This Row],[Outstanding]]=0,Table1[[#This Row],[Invoice Amount]],Table1[[#This Row],[Outstanding]]-Table1[[#This Row],[Invoice Amount]])</f>
        <v>41686.050000000003</v>
      </c>
    </row>
    <row r="83" spans="1:11" ht="12" customHeight="1" x14ac:dyDescent="0.2">
      <c r="A83" s="18">
        <v>1</v>
      </c>
      <c r="B83" s="20">
        <v>45901</v>
      </c>
      <c r="C83" s="118" t="str">
        <f>LEFT(Table1[[#This Row],[Project No]],2)</f>
        <v>DN</v>
      </c>
      <c r="D83" s="17" t="s">
        <v>1242</v>
      </c>
      <c r="E83" s="18" t="s">
        <v>788</v>
      </c>
      <c r="F83" s="18" t="s">
        <v>67</v>
      </c>
      <c r="G83" s="26">
        <v>14348.39</v>
      </c>
      <c r="H83" s="18">
        <v>210166275</v>
      </c>
      <c r="I83" s="18" t="s">
        <v>155</v>
      </c>
      <c r="J83" s="119">
        <f>SUMIF(OpenInvoices!C:C,Table1[[#This Row],[Invoice No]],OpenInvoices!N:N)</f>
        <v>0</v>
      </c>
      <c r="K83" s="119">
        <f>IF(Table1[[#This Row],[Outstanding]]=0,Table1[[#This Row],[Invoice Amount]],Table1[[#This Row],[Outstanding]]-Table1[[#This Row],[Invoice Amount]])</f>
        <v>14348.39</v>
      </c>
    </row>
    <row r="84" spans="1:11" ht="12" customHeight="1" x14ac:dyDescent="0.2">
      <c r="A84" s="18">
        <v>1</v>
      </c>
      <c r="B84" s="20">
        <v>45901</v>
      </c>
      <c r="C84" s="118" t="str">
        <f>LEFT(Table1[[#This Row],[Project No]],2)</f>
        <v>ET</v>
      </c>
      <c r="D84" s="17" t="s">
        <v>3629</v>
      </c>
      <c r="E84" s="18" t="s">
        <v>37</v>
      </c>
      <c r="F84" s="18" t="s">
        <v>35</v>
      </c>
      <c r="G84" s="26">
        <v>3638</v>
      </c>
      <c r="H84" s="18">
        <v>210166276</v>
      </c>
      <c r="I84" s="18" t="s">
        <v>155</v>
      </c>
      <c r="J84" s="119">
        <f>SUMIF(OpenInvoices!C:C,Table1[[#This Row],[Invoice No]],OpenInvoices!N:N)</f>
        <v>0</v>
      </c>
      <c r="K84" s="119">
        <f>IF(Table1[[#This Row],[Outstanding]]=0,Table1[[#This Row],[Invoice Amount]],Table1[[#This Row],[Outstanding]]-Table1[[#This Row],[Invoice Amount]])</f>
        <v>3638</v>
      </c>
    </row>
    <row r="85" spans="1:11" ht="12" customHeight="1" x14ac:dyDescent="0.2">
      <c r="A85" s="18">
        <v>1</v>
      </c>
      <c r="B85" s="20">
        <v>45901</v>
      </c>
      <c r="C85" s="118" t="str">
        <f>LEFT(Table1[[#This Row],[Project No]],2)</f>
        <v>H4</v>
      </c>
      <c r="D85" s="17" t="s">
        <v>1368</v>
      </c>
      <c r="E85" s="18" t="s">
        <v>16</v>
      </c>
      <c r="F85" s="18" t="s">
        <v>16</v>
      </c>
      <c r="G85" s="26">
        <v>217.75</v>
      </c>
      <c r="H85" s="18">
        <v>210166277</v>
      </c>
      <c r="I85" s="18" t="s">
        <v>155</v>
      </c>
      <c r="J85" s="119">
        <f>SUMIF(OpenInvoices!C:C,Table1[[#This Row],[Invoice No]],OpenInvoices!N:N)</f>
        <v>0</v>
      </c>
      <c r="K85" s="119">
        <f>IF(Table1[[#This Row],[Outstanding]]=0,Table1[[#This Row],[Invoice Amount]],Table1[[#This Row],[Outstanding]]-Table1[[#This Row],[Invoice Amount]])</f>
        <v>217.75</v>
      </c>
    </row>
    <row r="86" spans="1:11" ht="12" customHeight="1" x14ac:dyDescent="0.2">
      <c r="A86" s="18">
        <v>1</v>
      </c>
      <c r="B86" s="20">
        <v>45901</v>
      </c>
      <c r="C86" s="118" t="str">
        <f>LEFT(Table1[[#This Row],[Project No]],2)</f>
        <v>H4</v>
      </c>
      <c r="D86" s="17" t="s">
        <v>1621</v>
      </c>
      <c r="E86" s="18" t="s">
        <v>16</v>
      </c>
      <c r="F86" s="18" t="s">
        <v>10</v>
      </c>
      <c r="G86" s="26">
        <v>18443.3</v>
      </c>
      <c r="H86" s="18">
        <v>210166278</v>
      </c>
      <c r="I86" s="18" t="s">
        <v>155</v>
      </c>
      <c r="J86" s="119">
        <f>SUMIF(OpenInvoices!C:C,Table1[[#This Row],[Invoice No]],OpenInvoices!N:N)</f>
        <v>0</v>
      </c>
      <c r="K86" s="119">
        <f>IF(Table1[[#This Row],[Outstanding]]=0,Table1[[#This Row],[Invoice Amount]],Table1[[#This Row],[Outstanding]]-Table1[[#This Row],[Invoice Amount]])</f>
        <v>18443.3</v>
      </c>
    </row>
    <row r="87" spans="1:11" ht="12" customHeight="1" x14ac:dyDescent="0.2">
      <c r="A87" s="18">
        <v>1</v>
      </c>
      <c r="B87" s="20">
        <v>45901</v>
      </c>
      <c r="C87" s="118" t="str">
        <f>LEFT(Table1[[#This Row],[Project No]],2)</f>
        <v>H5</v>
      </c>
      <c r="D87" s="17" t="s">
        <v>1240</v>
      </c>
      <c r="E87" s="18" t="s">
        <v>38</v>
      </c>
      <c r="F87" s="18" t="s">
        <v>48</v>
      </c>
      <c r="G87" s="26">
        <v>3477.73</v>
      </c>
      <c r="H87" s="18">
        <v>210166279</v>
      </c>
      <c r="I87" s="18" t="s">
        <v>155</v>
      </c>
      <c r="J87" s="119">
        <f>SUMIF(OpenInvoices!C:C,Table1[[#This Row],[Invoice No]],OpenInvoices!N:N)</f>
        <v>0</v>
      </c>
      <c r="K87" s="119">
        <f>IF(Table1[[#This Row],[Outstanding]]=0,Table1[[#This Row],[Invoice Amount]],Table1[[#This Row],[Outstanding]]-Table1[[#This Row],[Invoice Amount]])</f>
        <v>3477.73</v>
      </c>
    </row>
    <row r="88" spans="1:11" ht="12" customHeight="1" x14ac:dyDescent="0.2">
      <c r="A88" s="18">
        <v>1</v>
      </c>
      <c r="B88" s="20">
        <v>45901</v>
      </c>
      <c r="C88" s="118" t="str">
        <f>LEFT(Table1[[#This Row],[Project No]],2)</f>
        <v>H6</v>
      </c>
      <c r="D88" s="17" t="s">
        <v>1535</v>
      </c>
      <c r="E88" s="18" t="s">
        <v>54</v>
      </c>
      <c r="F88" s="18" t="s">
        <v>10</v>
      </c>
      <c r="G88" s="26">
        <v>348.3</v>
      </c>
      <c r="H88" s="18">
        <v>210166280</v>
      </c>
      <c r="I88" s="18" t="s">
        <v>155</v>
      </c>
      <c r="J88" s="119">
        <f>SUMIF(OpenInvoices!C:C,Table1[[#This Row],[Invoice No]],OpenInvoices!N:N)</f>
        <v>0</v>
      </c>
      <c r="K88" s="119">
        <f>IF(Table1[[#This Row],[Outstanding]]=0,Table1[[#This Row],[Invoice Amount]],Table1[[#This Row],[Outstanding]]-Table1[[#This Row],[Invoice Amount]])</f>
        <v>348.3</v>
      </c>
    </row>
    <row r="89" spans="1:11" ht="12" customHeight="1" x14ac:dyDescent="0.2">
      <c r="A89" s="18">
        <v>1</v>
      </c>
      <c r="B89" s="20">
        <v>45901</v>
      </c>
      <c r="C89" s="118" t="str">
        <f>LEFT(Table1[[#This Row],[Project No]],2)</f>
        <v>HB</v>
      </c>
      <c r="D89" s="17" t="s">
        <v>1622</v>
      </c>
      <c r="E89" s="18" t="s">
        <v>415</v>
      </c>
      <c r="F89" s="18" t="s">
        <v>415</v>
      </c>
      <c r="G89" s="19">
        <v>8786</v>
      </c>
      <c r="H89" s="18">
        <v>210166281</v>
      </c>
      <c r="I89" s="18" t="s">
        <v>155</v>
      </c>
      <c r="J89" s="119">
        <f>SUMIF(OpenInvoices!C:C,Table1[[#This Row],[Invoice No]],OpenInvoices!N:N)</f>
        <v>0</v>
      </c>
      <c r="K89" s="119">
        <f>IF(Table1[[#This Row],[Outstanding]]=0,Table1[[#This Row],[Invoice Amount]],Table1[[#This Row],[Outstanding]]-Table1[[#This Row],[Invoice Amount]])</f>
        <v>8786</v>
      </c>
    </row>
    <row r="90" spans="1:11" ht="12" customHeight="1" x14ac:dyDescent="0.2">
      <c r="A90" s="18">
        <v>1</v>
      </c>
      <c r="B90" s="20">
        <v>45901</v>
      </c>
      <c r="C90" s="118" t="str">
        <f>LEFT(Table1[[#This Row],[Project No]],2)</f>
        <v>HB</v>
      </c>
      <c r="D90" s="17" t="s">
        <v>3627</v>
      </c>
      <c r="E90" s="18" t="s">
        <v>415</v>
      </c>
      <c r="F90" s="18" t="s">
        <v>415</v>
      </c>
      <c r="G90" s="19">
        <v>314.06</v>
      </c>
      <c r="H90" s="18">
        <v>210166282</v>
      </c>
      <c r="I90" s="18" t="s">
        <v>155</v>
      </c>
      <c r="J90" s="119">
        <f>SUMIF(OpenInvoices!C:C,Table1[[#This Row],[Invoice No]],OpenInvoices!N:N)</f>
        <v>0</v>
      </c>
      <c r="K90" s="119">
        <f>IF(Table1[[#This Row],[Outstanding]]=0,Table1[[#This Row],[Invoice Amount]],Table1[[#This Row],[Outstanding]]-Table1[[#This Row],[Invoice Amount]])</f>
        <v>314.06</v>
      </c>
    </row>
    <row r="91" spans="1:11" ht="12" customHeight="1" x14ac:dyDescent="0.2">
      <c r="A91" s="18">
        <v>1</v>
      </c>
      <c r="B91" s="20">
        <v>45901</v>
      </c>
      <c r="C91" s="118" t="str">
        <f>LEFT(Table1[[#This Row],[Project No]],2)</f>
        <v>HJ</v>
      </c>
      <c r="D91" s="17" t="s">
        <v>1451</v>
      </c>
      <c r="E91" s="18" t="s">
        <v>16</v>
      </c>
      <c r="F91" s="18" t="s">
        <v>10</v>
      </c>
      <c r="G91" s="19">
        <v>127924.6</v>
      </c>
      <c r="H91" s="18">
        <v>210166283</v>
      </c>
      <c r="I91" s="18" t="s">
        <v>155</v>
      </c>
      <c r="J91" s="119">
        <f>SUMIF(OpenInvoices!C:C,Table1[[#This Row],[Invoice No]],OpenInvoices!N:N)</f>
        <v>0</v>
      </c>
      <c r="K91" s="119">
        <f>IF(Table1[[#This Row],[Outstanding]]=0,Table1[[#This Row],[Invoice Amount]],Table1[[#This Row],[Outstanding]]-Table1[[#This Row],[Invoice Amount]])</f>
        <v>127924.6</v>
      </c>
    </row>
    <row r="92" spans="1:11" ht="12" customHeight="1" x14ac:dyDescent="0.2">
      <c r="A92" s="18">
        <v>1</v>
      </c>
      <c r="B92" s="20">
        <v>45901</v>
      </c>
      <c r="C92" s="118" t="str">
        <f>LEFT(Table1[[#This Row],[Project No]],2)</f>
        <v>HJ</v>
      </c>
      <c r="D92" s="17" t="s">
        <v>2061</v>
      </c>
      <c r="E92" s="18" t="s">
        <v>54</v>
      </c>
      <c r="F92" s="18" t="s">
        <v>339</v>
      </c>
      <c r="G92" s="19">
        <v>33615.019999999997</v>
      </c>
      <c r="H92" s="18">
        <v>210166284</v>
      </c>
      <c r="I92" s="18" t="s">
        <v>155</v>
      </c>
      <c r="J92" s="119">
        <f>SUMIF(OpenInvoices!C:C,Table1[[#This Row],[Invoice No]],OpenInvoices!N:N)</f>
        <v>0</v>
      </c>
      <c r="K92" s="119">
        <f>IF(Table1[[#This Row],[Outstanding]]=0,Table1[[#This Row],[Invoice Amount]],Table1[[#This Row],[Outstanding]]-Table1[[#This Row],[Invoice Amount]])</f>
        <v>33615.019999999997</v>
      </c>
    </row>
    <row r="93" spans="1:11" ht="12" customHeight="1" x14ac:dyDescent="0.2">
      <c r="A93" s="18">
        <v>1</v>
      </c>
      <c r="B93" s="20">
        <v>45901</v>
      </c>
      <c r="C93" s="118" t="str">
        <f>LEFT(Table1[[#This Row],[Project No]],2)</f>
        <v>HM</v>
      </c>
      <c r="D93" s="17" t="s">
        <v>1600</v>
      </c>
      <c r="E93" s="18" t="s">
        <v>1606</v>
      </c>
      <c r="F93" s="18" t="s">
        <v>1607</v>
      </c>
      <c r="G93" s="19">
        <v>22098.6</v>
      </c>
      <c r="H93" s="18">
        <v>210166285</v>
      </c>
      <c r="I93" s="18" t="s">
        <v>155</v>
      </c>
      <c r="J93" s="119">
        <f>SUMIF(OpenInvoices!C:C,Table1[[#This Row],[Invoice No]],OpenInvoices!N:N)</f>
        <v>0</v>
      </c>
      <c r="K93" s="119">
        <f>IF(Table1[[#This Row],[Outstanding]]=0,Table1[[#This Row],[Invoice Amount]],Table1[[#This Row],[Outstanding]]-Table1[[#This Row],[Invoice Amount]])</f>
        <v>22098.6</v>
      </c>
    </row>
    <row r="94" spans="1:11" ht="12" customHeight="1" x14ac:dyDescent="0.2">
      <c r="A94" s="18">
        <v>1</v>
      </c>
      <c r="B94" s="20">
        <v>45901</v>
      </c>
      <c r="C94" s="118" t="str">
        <f>LEFT(Table1[[#This Row],[Project No]],2)</f>
        <v>HM</v>
      </c>
      <c r="D94" s="17" t="s">
        <v>1602</v>
      </c>
      <c r="E94" s="18" t="s">
        <v>37</v>
      </c>
      <c r="F94" s="18" t="s">
        <v>27</v>
      </c>
      <c r="G94" s="19">
        <v>1066.51</v>
      </c>
      <c r="H94" s="18">
        <v>210166286</v>
      </c>
      <c r="I94" s="18" t="s">
        <v>155</v>
      </c>
      <c r="J94" s="119">
        <f>SUMIF(OpenInvoices!C:C,Table1[[#This Row],[Invoice No]],OpenInvoices!N:N)</f>
        <v>0</v>
      </c>
      <c r="K94" s="119">
        <f>IF(Table1[[#This Row],[Outstanding]]=0,Table1[[#This Row],[Invoice Amount]],Table1[[#This Row],[Outstanding]]-Table1[[#This Row],[Invoice Amount]])</f>
        <v>1066.51</v>
      </c>
    </row>
    <row r="95" spans="1:11" ht="12" customHeight="1" x14ac:dyDescent="0.2">
      <c r="A95" s="18">
        <v>1</v>
      </c>
      <c r="B95" s="20">
        <v>45901</v>
      </c>
      <c r="C95" s="118" t="str">
        <f>LEFT(Table1[[#This Row],[Project No]],2)</f>
        <v>HM</v>
      </c>
      <c r="D95" s="17" t="s">
        <v>1623</v>
      </c>
      <c r="E95" s="18" t="s">
        <v>1588</v>
      </c>
      <c r="F95" s="18" t="s">
        <v>1588</v>
      </c>
      <c r="G95" s="19">
        <v>28211.62</v>
      </c>
      <c r="H95" s="18">
        <v>210166287</v>
      </c>
      <c r="I95" s="18" t="s">
        <v>155</v>
      </c>
      <c r="J95" s="119">
        <f>SUMIF(OpenInvoices!C:C,Table1[[#This Row],[Invoice No]],OpenInvoices!N:N)</f>
        <v>0</v>
      </c>
      <c r="K95" s="119">
        <f>IF(Table1[[#This Row],[Outstanding]]=0,Table1[[#This Row],[Invoice Amount]],Table1[[#This Row],[Outstanding]]-Table1[[#This Row],[Invoice Amount]])</f>
        <v>28211.62</v>
      </c>
    </row>
    <row r="96" spans="1:11" ht="12" customHeight="1" x14ac:dyDescent="0.2">
      <c r="A96" s="18">
        <v>1</v>
      </c>
      <c r="B96" s="20">
        <v>45901</v>
      </c>
      <c r="C96" s="118" t="str">
        <f>LEFT(Table1[[#This Row],[Project No]],2)</f>
        <v>HQ</v>
      </c>
      <c r="D96" s="17" t="s">
        <v>1159</v>
      </c>
      <c r="E96" s="18" t="s">
        <v>37</v>
      </c>
      <c r="F96" s="18" t="s">
        <v>27</v>
      </c>
      <c r="G96" s="19">
        <v>61359.53</v>
      </c>
      <c r="H96" s="18">
        <v>210166288</v>
      </c>
      <c r="I96" s="18" t="s">
        <v>155</v>
      </c>
      <c r="J96" s="119">
        <f>SUMIF(OpenInvoices!C:C,Table1[[#This Row],[Invoice No]],OpenInvoices!N:N)</f>
        <v>0</v>
      </c>
      <c r="K96" s="119">
        <f>IF(Table1[[#This Row],[Outstanding]]=0,Table1[[#This Row],[Invoice Amount]],Table1[[#This Row],[Outstanding]]-Table1[[#This Row],[Invoice Amount]])</f>
        <v>61359.53</v>
      </c>
    </row>
    <row r="97" spans="1:11" ht="12" customHeight="1" x14ac:dyDescent="0.2">
      <c r="A97" s="18">
        <v>1</v>
      </c>
      <c r="B97" s="20">
        <v>45901</v>
      </c>
      <c r="C97" s="118" t="str">
        <f>LEFT(Table1[[#This Row],[Project No]],2)</f>
        <v>M3</v>
      </c>
      <c r="D97" s="17" t="s">
        <v>1603</v>
      </c>
      <c r="E97" s="18" t="s">
        <v>54</v>
      </c>
      <c r="F97" s="18" t="s">
        <v>36</v>
      </c>
      <c r="G97" s="19">
        <v>29491.54</v>
      </c>
      <c r="H97" s="18">
        <v>210166289</v>
      </c>
      <c r="I97" s="18" t="s">
        <v>155</v>
      </c>
      <c r="J97" s="119">
        <f>SUMIF(OpenInvoices!C:C,Table1[[#This Row],[Invoice No]],OpenInvoices!N:N)</f>
        <v>29491.54</v>
      </c>
      <c r="K97" s="119">
        <f>IF(Table1[[#This Row],[Outstanding]]=0,Table1[[#This Row],[Invoice Amount]],Table1[[#This Row],[Outstanding]]-Table1[[#This Row],[Invoice Amount]])</f>
        <v>0</v>
      </c>
    </row>
    <row r="98" spans="1:11" ht="12" customHeight="1" x14ac:dyDescent="0.2">
      <c r="A98" s="18">
        <v>1</v>
      </c>
      <c r="B98" s="20">
        <v>45931</v>
      </c>
      <c r="C98" s="118" t="str">
        <f>LEFT(Table1[[#This Row],[Project No]],2)</f>
        <v>AJ</v>
      </c>
      <c r="D98" s="17" t="s">
        <v>2037</v>
      </c>
      <c r="E98" s="18" t="s">
        <v>2038</v>
      </c>
      <c r="F98" s="18" t="s">
        <v>2038</v>
      </c>
      <c r="G98" s="19">
        <v>71064.5</v>
      </c>
      <c r="H98" s="18">
        <v>210167009</v>
      </c>
      <c r="I98" s="18" t="s">
        <v>153</v>
      </c>
      <c r="J98" s="119">
        <f>SUMIF(OpenInvoices!C:C,Table1[[#This Row],[Invoice No]],OpenInvoices!N:N)</f>
        <v>0</v>
      </c>
      <c r="K98" s="119">
        <f>IF(Table1[[#This Row],[Outstanding]]=0,Table1[[#This Row],[Invoice Amount]],Table1[[#This Row],[Outstanding]]-Table1[[#This Row],[Invoice Amount]])</f>
        <v>71064.5</v>
      </c>
    </row>
    <row r="99" spans="1:11" ht="12" customHeight="1" x14ac:dyDescent="0.2">
      <c r="A99" s="18">
        <v>1</v>
      </c>
      <c r="B99" s="20">
        <v>45931</v>
      </c>
      <c r="C99" s="118" t="str">
        <f>LEFT(Table1[[#This Row],[Project No]],2)</f>
        <v>AZ</v>
      </c>
      <c r="D99" s="17" t="s">
        <v>1612</v>
      </c>
      <c r="E99" s="18" t="s">
        <v>1613</v>
      </c>
      <c r="F99" s="18" t="s">
        <v>1613</v>
      </c>
      <c r="G99" s="19">
        <v>187424.25</v>
      </c>
      <c r="H99" s="18">
        <v>210167010</v>
      </c>
      <c r="I99" s="18" t="s">
        <v>153</v>
      </c>
      <c r="J99" s="119">
        <f>SUMIF(OpenInvoices!C:C,Table1[[#This Row],[Invoice No]],OpenInvoices!N:N)</f>
        <v>0</v>
      </c>
      <c r="K99" s="119">
        <f>IF(Table1[[#This Row],[Outstanding]]=0,Table1[[#This Row],[Invoice Amount]],Table1[[#This Row],[Outstanding]]-Table1[[#This Row],[Invoice Amount]])</f>
        <v>187424.25</v>
      </c>
    </row>
    <row r="100" spans="1:11" ht="12" customHeight="1" x14ac:dyDescent="0.2">
      <c r="A100" s="18">
        <v>1</v>
      </c>
      <c r="B100" s="20">
        <v>45931</v>
      </c>
      <c r="C100" s="118" t="str">
        <f>LEFT(Table1[[#This Row],[Project No]],2)</f>
        <v>BX</v>
      </c>
      <c r="D100" s="17" t="s">
        <v>2039</v>
      </c>
      <c r="E100" s="18" t="s">
        <v>2040</v>
      </c>
      <c r="F100" s="18" t="s">
        <v>10</v>
      </c>
      <c r="G100" s="19">
        <v>13916.06</v>
      </c>
      <c r="H100" s="18">
        <v>210167011</v>
      </c>
      <c r="I100" s="18" t="s">
        <v>153</v>
      </c>
      <c r="J100" s="119">
        <f>SUMIF(OpenInvoices!C:C,Table1[[#This Row],[Invoice No]],OpenInvoices!N:N)</f>
        <v>0</v>
      </c>
      <c r="K100" s="119">
        <f>IF(Table1[[#This Row],[Outstanding]]=0,Table1[[#This Row],[Invoice Amount]],Table1[[#This Row],[Outstanding]]-Table1[[#This Row],[Invoice Amount]])</f>
        <v>13916.06</v>
      </c>
    </row>
    <row r="101" spans="1:11" ht="12" customHeight="1" x14ac:dyDescent="0.2">
      <c r="A101" s="18">
        <v>1</v>
      </c>
      <c r="B101" s="20">
        <v>45931</v>
      </c>
      <c r="C101" s="118" t="str">
        <f>LEFT(Table1[[#This Row],[Project No]],2)</f>
        <v>BZ</v>
      </c>
      <c r="D101" s="17" t="s">
        <v>2104</v>
      </c>
      <c r="E101" s="18" t="s">
        <v>26</v>
      </c>
      <c r="F101" s="18" t="s">
        <v>10</v>
      </c>
      <c r="G101" s="19">
        <v>23124.75</v>
      </c>
      <c r="H101" s="18">
        <v>210167012</v>
      </c>
      <c r="I101" s="18" t="s">
        <v>153</v>
      </c>
      <c r="J101" s="119">
        <f>SUMIF(OpenInvoices!C:C,Table1[[#This Row],[Invoice No]],OpenInvoices!N:N)</f>
        <v>0</v>
      </c>
      <c r="K101" s="119">
        <f>IF(Table1[[#This Row],[Outstanding]]=0,Table1[[#This Row],[Invoice Amount]],Table1[[#This Row],[Outstanding]]-Table1[[#This Row],[Invoice Amount]])</f>
        <v>23124.75</v>
      </c>
    </row>
    <row r="102" spans="1:11" ht="12" customHeight="1" x14ac:dyDescent="0.2">
      <c r="A102" s="18">
        <v>1</v>
      </c>
      <c r="B102" s="20">
        <v>45931</v>
      </c>
      <c r="C102" s="118" t="str">
        <f>LEFT(Table1[[#This Row],[Project No]],2)</f>
        <v>BZ</v>
      </c>
      <c r="D102" s="17" t="s">
        <v>2083</v>
      </c>
      <c r="E102" s="18" t="s">
        <v>10</v>
      </c>
      <c r="F102" s="18" t="s">
        <v>10</v>
      </c>
      <c r="G102" s="19">
        <v>186879</v>
      </c>
      <c r="H102" s="18">
        <v>210167013</v>
      </c>
      <c r="I102" s="18" t="s">
        <v>153</v>
      </c>
      <c r="J102" s="119">
        <f>SUMIF(OpenInvoices!C:C,Table1[[#This Row],[Invoice No]],OpenInvoices!N:N)</f>
        <v>0</v>
      </c>
      <c r="K102" s="119">
        <f>IF(Table1[[#This Row],[Outstanding]]=0,Table1[[#This Row],[Invoice Amount]],Table1[[#This Row],[Outstanding]]-Table1[[#This Row],[Invoice Amount]])</f>
        <v>186879</v>
      </c>
    </row>
    <row r="103" spans="1:11" ht="12" customHeight="1" x14ac:dyDescent="0.2">
      <c r="A103" s="18">
        <v>1</v>
      </c>
      <c r="B103" s="20">
        <v>45931</v>
      </c>
      <c r="C103" s="118" t="str">
        <f>LEFT(Table1[[#This Row],[Project No]],2)</f>
        <v>BZ</v>
      </c>
      <c r="D103" s="17" t="s">
        <v>693</v>
      </c>
      <c r="E103" s="18" t="s">
        <v>64</v>
      </c>
      <c r="F103" s="18" t="s">
        <v>10</v>
      </c>
      <c r="G103" s="19">
        <v>1103</v>
      </c>
      <c r="H103" s="18">
        <v>210167014</v>
      </c>
      <c r="I103" s="18" t="s">
        <v>153</v>
      </c>
      <c r="J103" s="119">
        <f>SUMIF(OpenInvoices!C:C,Table1[[#This Row],[Invoice No]],OpenInvoices!N:N)</f>
        <v>0</v>
      </c>
      <c r="K103" s="119">
        <f>IF(Table1[[#This Row],[Outstanding]]=0,Table1[[#This Row],[Invoice Amount]],Table1[[#This Row],[Outstanding]]-Table1[[#This Row],[Invoice Amount]])</f>
        <v>1103</v>
      </c>
    </row>
    <row r="104" spans="1:11" ht="12" customHeight="1" x14ac:dyDescent="0.2">
      <c r="A104" s="18">
        <v>1</v>
      </c>
      <c r="B104" s="20">
        <v>45931</v>
      </c>
      <c r="C104" s="118" t="str">
        <f>LEFT(Table1[[#This Row],[Project No]],2)</f>
        <v>BZ</v>
      </c>
      <c r="D104" s="17" t="s">
        <v>2105</v>
      </c>
      <c r="E104" s="18" t="s">
        <v>1241</v>
      </c>
      <c r="F104" s="18" t="s">
        <v>10</v>
      </c>
      <c r="G104" s="19">
        <v>22700</v>
      </c>
      <c r="H104" s="18">
        <v>210167015</v>
      </c>
      <c r="I104" s="18" t="s">
        <v>153</v>
      </c>
      <c r="J104" s="119">
        <f>SUMIF(OpenInvoices!C:C,Table1[[#This Row],[Invoice No]],OpenInvoices!N:N)</f>
        <v>0</v>
      </c>
      <c r="K104" s="119">
        <f>IF(Table1[[#This Row],[Outstanding]]=0,Table1[[#This Row],[Invoice Amount]],Table1[[#This Row],[Outstanding]]-Table1[[#This Row],[Invoice Amount]])</f>
        <v>22700</v>
      </c>
    </row>
    <row r="105" spans="1:11" ht="12" customHeight="1" x14ac:dyDescent="0.2">
      <c r="A105" s="18">
        <v>1</v>
      </c>
      <c r="B105" s="20">
        <v>45931</v>
      </c>
      <c r="C105" s="118" t="str">
        <f>LEFT(Table1[[#This Row],[Project No]],2)</f>
        <v>BZ</v>
      </c>
      <c r="D105" s="17" t="s">
        <v>2106</v>
      </c>
      <c r="E105" s="18" t="s">
        <v>3761</v>
      </c>
      <c r="F105" s="18" t="s">
        <v>10</v>
      </c>
      <c r="G105" s="19">
        <v>15834</v>
      </c>
      <c r="H105" s="18">
        <v>210167016</v>
      </c>
      <c r="I105" s="18" t="s">
        <v>153</v>
      </c>
      <c r="J105" s="119">
        <f>SUMIF(OpenInvoices!C:C,Table1[[#This Row],[Invoice No]],OpenInvoices!N:N)</f>
        <v>0</v>
      </c>
      <c r="K105" s="119">
        <f>IF(Table1[[#This Row],[Outstanding]]=0,Table1[[#This Row],[Invoice Amount]],Table1[[#This Row],[Outstanding]]-Table1[[#This Row],[Invoice Amount]])</f>
        <v>15834</v>
      </c>
    </row>
    <row r="106" spans="1:11" ht="12" customHeight="1" x14ac:dyDescent="0.2">
      <c r="A106" s="18">
        <v>1</v>
      </c>
      <c r="B106" s="20">
        <v>45931</v>
      </c>
      <c r="C106" s="118" t="str">
        <f>LEFT(Table1[[#This Row],[Project No]],2)</f>
        <v>CN</v>
      </c>
      <c r="D106" s="17" t="s">
        <v>2109</v>
      </c>
      <c r="E106" s="18" t="s">
        <v>1871</v>
      </c>
      <c r="F106" s="18" t="s">
        <v>1871</v>
      </c>
      <c r="G106" s="19">
        <v>22445.47</v>
      </c>
      <c r="H106" s="18">
        <v>210167017</v>
      </c>
      <c r="I106" s="18" t="s">
        <v>153</v>
      </c>
      <c r="J106" s="119">
        <f>SUMIF(OpenInvoices!C:C,Table1[[#This Row],[Invoice No]],OpenInvoices!N:N)</f>
        <v>0</v>
      </c>
      <c r="K106" s="119">
        <f>IF(Table1[[#This Row],[Outstanding]]=0,Table1[[#This Row],[Invoice Amount]],Table1[[#This Row],[Outstanding]]-Table1[[#This Row],[Invoice Amount]])</f>
        <v>22445.47</v>
      </c>
    </row>
    <row r="107" spans="1:11" ht="12" customHeight="1" x14ac:dyDescent="0.2">
      <c r="A107" s="18">
        <v>1</v>
      </c>
      <c r="B107" s="20">
        <v>45931</v>
      </c>
      <c r="C107" s="118" t="str">
        <f>LEFT(Table1[[#This Row],[Project No]],2)</f>
        <v>CW</v>
      </c>
      <c r="D107" s="17" t="s">
        <v>3369</v>
      </c>
      <c r="E107" s="18" t="s">
        <v>3367</v>
      </c>
      <c r="F107" s="18" t="s">
        <v>3367</v>
      </c>
      <c r="G107" s="19">
        <v>4228.5</v>
      </c>
      <c r="H107" s="18">
        <v>210167018</v>
      </c>
      <c r="I107" s="18" t="s">
        <v>153</v>
      </c>
      <c r="J107" s="119">
        <f>SUMIF(OpenInvoices!C:C,Table1[[#This Row],[Invoice No]],OpenInvoices!N:N)</f>
        <v>0</v>
      </c>
      <c r="K107" s="119">
        <f>IF(Table1[[#This Row],[Outstanding]]=0,Table1[[#This Row],[Invoice Amount]],Table1[[#This Row],[Outstanding]]-Table1[[#This Row],[Invoice Amount]])</f>
        <v>4228.5</v>
      </c>
    </row>
    <row r="108" spans="1:11" ht="12" customHeight="1" x14ac:dyDescent="0.2">
      <c r="A108" s="18">
        <v>1</v>
      </c>
      <c r="B108" s="20">
        <v>45931</v>
      </c>
      <c r="C108" s="118" t="str">
        <f>LEFT(Table1[[#This Row],[Project No]],2)</f>
        <v>CZ</v>
      </c>
      <c r="D108" s="17" t="s">
        <v>1554</v>
      </c>
      <c r="E108" s="18" t="s">
        <v>32</v>
      </c>
      <c r="F108" s="18" t="s">
        <v>1555</v>
      </c>
      <c r="G108" s="19">
        <v>5481.18</v>
      </c>
      <c r="H108" s="18">
        <v>210167019</v>
      </c>
      <c r="I108" s="18" t="s">
        <v>153</v>
      </c>
      <c r="J108" s="119">
        <f>SUMIF(OpenInvoices!C:C,Table1[[#This Row],[Invoice No]],OpenInvoices!N:N)</f>
        <v>0</v>
      </c>
      <c r="K108" s="119">
        <f>IF(Table1[[#This Row],[Outstanding]]=0,Table1[[#This Row],[Invoice Amount]],Table1[[#This Row],[Outstanding]]-Table1[[#This Row],[Invoice Amount]])</f>
        <v>5481.18</v>
      </c>
    </row>
    <row r="109" spans="1:11" ht="12" customHeight="1" x14ac:dyDescent="0.2">
      <c r="A109" s="18">
        <v>1</v>
      </c>
      <c r="B109" s="20">
        <v>45931</v>
      </c>
      <c r="C109" s="118" t="str">
        <f>LEFT(Table1[[#This Row],[Project No]],2)</f>
        <v>DC</v>
      </c>
      <c r="D109" s="17" t="s">
        <v>1556</v>
      </c>
      <c r="E109" s="18" t="s">
        <v>957</v>
      </c>
      <c r="F109" s="18" t="s">
        <v>957</v>
      </c>
      <c r="G109" s="19">
        <v>12500</v>
      </c>
      <c r="H109" s="18">
        <v>210167020</v>
      </c>
      <c r="I109" s="18" t="s">
        <v>153</v>
      </c>
      <c r="J109" s="119">
        <f>SUMIF(OpenInvoices!C:C,Table1[[#This Row],[Invoice No]],OpenInvoices!N:N)</f>
        <v>0</v>
      </c>
      <c r="K109" s="119">
        <f>IF(Table1[[#This Row],[Outstanding]]=0,Table1[[#This Row],[Invoice Amount]],Table1[[#This Row],[Outstanding]]-Table1[[#This Row],[Invoice Amount]])</f>
        <v>12500</v>
      </c>
    </row>
    <row r="110" spans="1:11" ht="12" customHeight="1" x14ac:dyDescent="0.2">
      <c r="A110" s="18">
        <v>1</v>
      </c>
      <c r="B110" s="20">
        <v>45931</v>
      </c>
      <c r="C110" s="118" t="str">
        <f>LEFT(Table1[[#This Row],[Project No]],2)</f>
        <v>DF</v>
      </c>
      <c r="D110" s="17" t="s">
        <v>1557</v>
      </c>
      <c r="E110" s="18" t="s">
        <v>958</v>
      </c>
      <c r="F110" s="18" t="s">
        <v>958</v>
      </c>
      <c r="G110" s="19">
        <v>1330301</v>
      </c>
      <c r="H110" s="18">
        <v>210167021</v>
      </c>
      <c r="I110" s="18" t="s">
        <v>153</v>
      </c>
      <c r="J110" s="119">
        <f>SUMIF(OpenInvoices!C:C,Table1[[#This Row],[Invoice No]],OpenInvoices!N:N)</f>
        <v>0</v>
      </c>
      <c r="K110" s="119">
        <f>IF(Table1[[#This Row],[Outstanding]]=0,Table1[[#This Row],[Invoice Amount]],Table1[[#This Row],[Outstanding]]-Table1[[#This Row],[Invoice Amount]])</f>
        <v>1330301</v>
      </c>
    </row>
    <row r="111" spans="1:11" ht="12" customHeight="1" x14ac:dyDescent="0.2">
      <c r="A111" s="18">
        <v>1</v>
      </c>
      <c r="B111" s="20">
        <v>45931</v>
      </c>
      <c r="C111" s="118" t="str">
        <f>LEFT(Table1[[#This Row],[Project No]],2)</f>
        <v>DF</v>
      </c>
      <c r="D111" s="17" t="s">
        <v>3762</v>
      </c>
      <c r="E111" s="18" t="s">
        <v>3763</v>
      </c>
      <c r="F111" s="18" t="s">
        <v>366</v>
      </c>
      <c r="G111" s="19">
        <v>60000</v>
      </c>
      <c r="H111" s="18">
        <v>210167022</v>
      </c>
      <c r="I111" s="18" t="s">
        <v>153</v>
      </c>
      <c r="J111" s="119">
        <f>SUMIF(OpenInvoices!C:C,Table1[[#This Row],[Invoice No]],OpenInvoices!N:N)</f>
        <v>0</v>
      </c>
      <c r="K111" s="119">
        <f>IF(Table1[[#This Row],[Outstanding]]=0,Table1[[#This Row],[Invoice Amount]],Table1[[#This Row],[Outstanding]]-Table1[[#This Row],[Invoice Amount]])</f>
        <v>60000</v>
      </c>
    </row>
    <row r="112" spans="1:11" ht="12" customHeight="1" x14ac:dyDescent="0.2">
      <c r="A112" s="18">
        <v>1</v>
      </c>
      <c r="B112" s="20">
        <v>45931</v>
      </c>
      <c r="C112" s="118" t="str">
        <f>LEFT(Table1[[#This Row],[Project No]],2)</f>
        <v>DH</v>
      </c>
      <c r="D112" s="17" t="s">
        <v>2877</v>
      </c>
      <c r="E112" s="18" t="s">
        <v>2875</v>
      </c>
      <c r="F112" s="18" t="s">
        <v>2875</v>
      </c>
      <c r="G112" s="19">
        <v>10000</v>
      </c>
      <c r="H112" s="18">
        <v>210167023</v>
      </c>
      <c r="I112" s="18" t="s">
        <v>153</v>
      </c>
      <c r="J112" s="119">
        <f>SUMIF(OpenInvoices!C:C,Table1[[#This Row],[Invoice No]],OpenInvoices!N:N)</f>
        <v>0</v>
      </c>
      <c r="K112" s="119">
        <f>IF(Table1[[#This Row],[Outstanding]]=0,Table1[[#This Row],[Invoice Amount]],Table1[[#This Row],[Outstanding]]-Table1[[#This Row],[Invoice Amount]])</f>
        <v>10000</v>
      </c>
    </row>
    <row r="113" spans="1:11" ht="12" customHeight="1" x14ac:dyDescent="0.2">
      <c r="A113" s="18">
        <v>1</v>
      </c>
      <c r="B113" s="20">
        <v>45931</v>
      </c>
      <c r="C113" s="118" t="str">
        <f>LEFT(Table1[[#This Row],[Project No]],2)</f>
        <v>DQ</v>
      </c>
      <c r="D113" s="17" t="s">
        <v>2043</v>
      </c>
      <c r="E113" s="18" t="s">
        <v>2044</v>
      </c>
      <c r="F113" s="18" t="s">
        <v>2044</v>
      </c>
      <c r="G113" s="19">
        <v>104166.67</v>
      </c>
      <c r="H113" s="18">
        <v>210167024</v>
      </c>
      <c r="I113" s="18" t="s">
        <v>153</v>
      </c>
      <c r="J113" s="119">
        <f>SUMIF(OpenInvoices!C:C,Table1[[#This Row],[Invoice No]],OpenInvoices!N:N)</f>
        <v>0</v>
      </c>
      <c r="K113" s="119">
        <f>IF(Table1[[#This Row],[Outstanding]]=0,Table1[[#This Row],[Invoice Amount]],Table1[[#This Row],[Outstanding]]-Table1[[#This Row],[Invoice Amount]])</f>
        <v>104166.67</v>
      </c>
    </row>
    <row r="114" spans="1:11" ht="12" customHeight="1" x14ac:dyDescent="0.2">
      <c r="A114" s="18">
        <v>1</v>
      </c>
      <c r="B114" s="20">
        <v>45931</v>
      </c>
      <c r="C114" s="118" t="str">
        <f>LEFT(Table1[[#This Row],[Project No]],2)</f>
        <v>H4</v>
      </c>
      <c r="D114" s="17" t="s">
        <v>2110</v>
      </c>
      <c r="E114" s="18" t="s">
        <v>48</v>
      </c>
      <c r="F114" s="18" t="s">
        <v>48</v>
      </c>
      <c r="G114" s="19">
        <v>1383500</v>
      </c>
      <c r="H114" s="18">
        <v>210167025</v>
      </c>
      <c r="I114" s="18" t="s">
        <v>153</v>
      </c>
      <c r="J114" s="119">
        <f>SUMIF(OpenInvoices!C:C,Table1[[#This Row],[Invoice No]],OpenInvoices!N:N)</f>
        <v>0</v>
      </c>
      <c r="K114" s="119">
        <f>IF(Table1[[#This Row],[Outstanding]]=0,Table1[[#This Row],[Invoice Amount]],Table1[[#This Row],[Outstanding]]-Table1[[#This Row],[Invoice Amount]])</f>
        <v>1383500</v>
      </c>
    </row>
    <row r="115" spans="1:11" ht="12" customHeight="1" x14ac:dyDescent="0.2">
      <c r="A115" s="18">
        <v>1</v>
      </c>
      <c r="B115" s="20">
        <v>45931</v>
      </c>
      <c r="C115" s="118" t="str">
        <f>LEFT(Table1[[#This Row],[Project No]],2)</f>
        <v>H6</v>
      </c>
      <c r="D115" s="17" t="s">
        <v>1559</v>
      </c>
      <c r="E115" s="18" t="s">
        <v>12</v>
      </c>
      <c r="F115" s="18" t="s">
        <v>12</v>
      </c>
      <c r="G115" s="19">
        <v>673545</v>
      </c>
      <c r="H115" s="18">
        <v>210167026</v>
      </c>
      <c r="I115" s="18" t="s">
        <v>153</v>
      </c>
      <c r="J115" s="119">
        <f>SUMIF(OpenInvoices!C:C,Table1[[#This Row],[Invoice No]],OpenInvoices!N:N)</f>
        <v>0</v>
      </c>
      <c r="K115" s="119">
        <f>IF(Table1[[#This Row],[Outstanding]]=0,Table1[[#This Row],[Invoice Amount]],Table1[[#This Row],[Outstanding]]-Table1[[#This Row],[Invoice Amount]])</f>
        <v>673545</v>
      </c>
    </row>
    <row r="116" spans="1:11" ht="12" customHeight="1" x14ac:dyDescent="0.2">
      <c r="A116" s="18">
        <v>1</v>
      </c>
      <c r="B116" s="20">
        <v>45931</v>
      </c>
      <c r="C116" s="118" t="str">
        <f>LEFT(Table1[[#This Row],[Project No]],2)</f>
        <v>HF</v>
      </c>
      <c r="D116" s="17" t="s">
        <v>820</v>
      </c>
      <c r="E116" s="18" t="s">
        <v>821</v>
      </c>
      <c r="F116" s="18" t="s">
        <v>10</v>
      </c>
      <c r="G116" s="19">
        <v>1940.46</v>
      </c>
      <c r="H116" s="18">
        <v>210167027</v>
      </c>
      <c r="I116" s="18" t="s">
        <v>153</v>
      </c>
      <c r="J116" s="119">
        <f>SUMIF(OpenInvoices!C:C,Table1[[#This Row],[Invoice No]],OpenInvoices!N:N)</f>
        <v>0</v>
      </c>
      <c r="K116" s="119">
        <f>IF(Table1[[#This Row],[Outstanding]]=0,Table1[[#This Row],[Invoice Amount]],Table1[[#This Row],[Outstanding]]-Table1[[#This Row],[Invoice Amount]])</f>
        <v>1940.46</v>
      </c>
    </row>
    <row r="117" spans="1:11" x14ac:dyDescent="0.2">
      <c r="A117" s="18">
        <v>1</v>
      </c>
      <c r="B117" s="20">
        <v>45931</v>
      </c>
      <c r="C117" s="118" t="str">
        <f>LEFT(Table1[[#This Row],[Project No]],2)</f>
        <v>HF</v>
      </c>
      <c r="D117" s="17" t="s">
        <v>2045</v>
      </c>
      <c r="E117" s="18" t="s">
        <v>2040</v>
      </c>
      <c r="F117" s="18" t="s">
        <v>10</v>
      </c>
      <c r="G117" s="19">
        <v>39300.769999999997</v>
      </c>
      <c r="H117" s="18">
        <v>210167028</v>
      </c>
      <c r="I117" s="18" t="s">
        <v>153</v>
      </c>
      <c r="J117" s="119">
        <f>SUMIF(OpenInvoices!C:C,Table1[[#This Row],[Invoice No]],OpenInvoices!N:N)</f>
        <v>0</v>
      </c>
      <c r="K117" s="119">
        <f>IF(Table1[[#This Row],[Outstanding]]=0,Table1[[#This Row],[Invoice Amount]],Table1[[#This Row],[Outstanding]]-Table1[[#This Row],[Invoice Amount]])</f>
        <v>39300.769999999997</v>
      </c>
    </row>
    <row r="118" spans="1:11" x14ac:dyDescent="0.2">
      <c r="A118" s="18">
        <v>1</v>
      </c>
      <c r="B118" s="20">
        <v>45931</v>
      </c>
      <c r="C118" s="118" t="str">
        <f>LEFT(Table1[[#This Row],[Project No]],2)</f>
        <v>HF</v>
      </c>
      <c r="D118" s="17" t="s">
        <v>1561</v>
      </c>
      <c r="E118" s="18" t="s">
        <v>52</v>
      </c>
      <c r="F118" s="18" t="s">
        <v>10</v>
      </c>
      <c r="G118" s="19">
        <v>612.36</v>
      </c>
      <c r="H118" s="18">
        <v>210167029</v>
      </c>
      <c r="I118" s="18" t="s">
        <v>153</v>
      </c>
      <c r="J118" s="119">
        <f>SUMIF(OpenInvoices!C:C,Table1[[#This Row],[Invoice No]],OpenInvoices!N:N)</f>
        <v>0</v>
      </c>
      <c r="K118" s="119">
        <f>IF(Table1[[#This Row],[Outstanding]]=0,Table1[[#This Row],[Invoice Amount]],Table1[[#This Row],[Outstanding]]-Table1[[#This Row],[Invoice Amount]])</f>
        <v>612.36</v>
      </c>
    </row>
    <row r="119" spans="1:11" x14ac:dyDescent="0.2">
      <c r="A119" s="18">
        <v>1</v>
      </c>
      <c r="B119" s="20">
        <v>45931</v>
      </c>
      <c r="C119" s="118" t="str">
        <f>LEFT(Table1[[#This Row],[Project No]],2)</f>
        <v>HJ</v>
      </c>
      <c r="D119" s="17" t="s">
        <v>799</v>
      </c>
      <c r="E119" s="18" t="s">
        <v>800</v>
      </c>
      <c r="F119" s="18" t="s">
        <v>800</v>
      </c>
      <c r="G119" s="19">
        <v>15867.1</v>
      </c>
      <c r="H119" s="18">
        <v>210167030</v>
      </c>
      <c r="I119" s="18" t="s">
        <v>153</v>
      </c>
      <c r="J119" s="119">
        <f>SUMIF(OpenInvoices!C:C,Table1[[#This Row],[Invoice No]],OpenInvoices!N:N)</f>
        <v>15867.1</v>
      </c>
      <c r="K119" s="119">
        <f>IF(Table1[[#This Row],[Outstanding]]=0,Table1[[#This Row],[Invoice Amount]],Table1[[#This Row],[Outstanding]]-Table1[[#This Row],[Invoice Amount]])</f>
        <v>0</v>
      </c>
    </row>
    <row r="120" spans="1:11" x14ac:dyDescent="0.2">
      <c r="A120" s="18">
        <v>1</v>
      </c>
      <c r="B120" s="20">
        <v>45931</v>
      </c>
      <c r="C120" s="118" t="str">
        <f>LEFT(Table1[[#This Row],[Project No]],2)</f>
        <v>HM</v>
      </c>
      <c r="D120" s="17" t="s">
        <v>1834</v>
      </c>
      <c r="E120" s="18" t="s">
        <v>16</v>
      </c>
      <c r="F120" s="18" t="s">
        <v>2067</v>
      </c>
      <c r="G120" s="19">
        <v>50162.29</v>
      </c>
      <c r="H120" s="18">
        <v>210167031</v>
      </c>
      <c r="I120" s="18" t="s">
        <v>153</v>
      </c>
      <c r="J120" s="119">
        <f>SUMIF(OpenInvoices!C:C,Table1[[#This Row],[Invoice No]],OpenInvoices!N:N)</f>
        <v>0</v>
      </c>
      <c r="K120" s="119">
        <f>IF(Table1[[#This Row],[Outstanding]]=0,Table1[[#This Row],[Invoice Amount]],Table1[[#This Row],[Outstanding]]-Table1[[#This Row],[Invoice Amount]])</f>
        <v>50162.29</v>
      </c>
    </row>
    <row r="121" spans="1:11" x14ac:dyDescent="0.2">
      <c r="A121" s="18">
        <v>1</v>
      </c>
      <c r="B121" s="20">
        <v>45931</v>
      </c>
      <c r="C121" s="118" t="str">
        <f>LEFT(Table1[[#This Row],[Project No]],2)</f>
        <v>AZ</v>
      </c>
      <c r="D121" s="17" t="s">
        <v>3764</v>
      </c>
      <c r="E121" s="18" t="s">
        <v>3765</v>
      </c>
      <c r="F121" s="18" t="s">
        <v>3765</v>
      </c>
      <c r="G121" s="19">
        <v>54285</v>
      </c>
      <c r="H121" s="18">
        <v>210167779</v>
      </c>
      <c r="I121" s="18" t="s">
        <v>154</v>
      </c>
      <c r="J121" s="119">
        <f>SUMIF(OpenInvoices!C:C,Table1[[#This Row],[Invoice No]],OpenInvoices!N:N)</f>
        <v>0</v>
      </c>
      <c r="K121" s="119">
        <f>IF(Table1[[#This Row],[Outstanding]]=0,Table1[[#This Row],[Invoice Amount]],Table1[[#This Row],[Outstanding]]-Table1[[#This Row],[Invoice Amount]])</f>
        <v>54285</v>
      </c>
    </row>
    <row r="122" spans="1:11" x14ac:dyDescent="0.2">
      <c r="A122" s="18">
        <v>1</v>
      </c>
      <c r="B122" s="20">
        <v>45931</v>
      </c>
      <c r="C122" s="118" t="str">
        <f>LEFT(Table1[[#This Row],[Project No]],2)</f>
        <v>CB</v>
      </c>
      <c r="D122" s="17" t="s">
        <v>2034</v>
      </c>
      <c r="E122" s="18" t="s">
        <v>26</v>
      </c>
      <c r="F122" s="18" t="s">
        <v>2035</v>
      </c>
      <c r="G122" s="26">
        <v>103201.85</v>
      </c>
      <c r="H122" s="18">
        <v>210167780</v>
      </c>
      <c r="I122" s="18" t="s">
        <v>154</v>
      </c>
      <c r="J122" s="119">
        <f>SUMIF(OpenInvoices!C:C,Table1[[#This Row],[Invoice No]],OpenInvoices!N:N)</f>
        <v>0</v>
      </c>
      <c r="K122" s="119">
        <f>IF(Table1[[#This Row],[Outstanding]]=0,Table1[[#This Row],[Invoice Amount]],Table1[[#This Row],[Outstanding]]-Table1[[#This Row],[Invoice Amount]])</f>
        <v>103201.85</v>
      </c>
    </row>
    <row r="123" spans="1:11" x14ac:dyDescent="0.2">
      <c r="A123" s="18">
        <v>1</v>
      </c>
      <c r="B123" s="20">
        <v>45931</v>
      </c>
      <c r="C123" s="118" t="str">
        <f>LEFT(Table1[[#This Row],[Project No]],2)</f>
        <v>DF</v>
      </c>
      <c r="D123" s="17" t="s">
        <v>3766</v>
      </c>
      <c r="E123" s="18" t="s">
        <v>1518</v>
      </c>
      <c r="F123" s="18" t="s">
        <v>1518</v>
      </c>
      <c r="G123" s="26">
        <v>68744.479999999996</v>
      </c>
      <c r="H123" s="18">
        <v>210167781</v>
      </c>
      <c r="I123" s="18" t="s">
        <v>154</v>
      </c>
      <c r="J123" s="119">
        <f>SUMIF(OpenInvoices!C:C,Table1[[#This Row],[Invoice No]],OpenInvoices!N:N)</f>
        <v>0</v>
      </c>
      <c r="K123" s="119">
        <f>IF(Table1[[#This Row],[Outstanding]]=0,Table1[[#This Row],[Invoice Amount]],Table1[[#This Row],[Outstanding]]-Table1[[#This Row],[Invoice Amount]])</f>
        <v>68744.479999999996</v>
      </c>
    </row>
    <row r="124" spans="1:11" x14ac:dyDescent="0.2">
      <c r="A124" s="18">
        <v>1</v>
      </c>
      <c r="B124" s="20">
        <v>45931</v>
      </c>
      <c r="C124" s="118" t="str">
        <f>LEFT(Table1[[#This Row],[Project No]],2)</f>
        <v>H4</v>
      </c>
      <c r="D124" s="17" t="s">
        <v>3767</v>
      </c>
      <c r="E124" s="18" t="s">
        <v>3768</v>
      </c>
      <c r="F124" s="18" t="s">
        <v>3768</v>
      </c>
      <c r="G124" s="26">
        <v>56964.9</v>
      </c>
      <c r="H124" s="18">
        <v>210167782</v>
      </c>
      <c r="I124" s="18" t="s">
        <v>154</v>
      </c>
      <c r="J124" s="119">
        <f>SUMIF(OpenInvoices!C:C,Table1[[#This Row],[Invoice No]],OpenInvoices!N:N)</f>
        <v>0</v>
      </c>
      <c r="K124" s="119">
        <f>IF(Table1[[#This Row],[Outstanding]]=0,Table1[[#This Row],[Invoice Amount]],Table1[[#This Row],[Outstanding]]-Table1[[#This Row],[Invoice Amount]])</f>
        <v>56964.9</v>
      </c>
    </row>
    <row r="125" spans="1:11" x14ac:dyDescent="0.2">
      <c r="A125" s="18">
        <v>1</v>
      </c>
      <c r="B125" s="20">
        <v>45931</v>
      </c>
      <c r="C125" s="118" t="str">
        <f>LEFT(Table1[[#This Row],[Project No]],2)</f>
        <v>HF</v>
      </c>
      <c r="D125" s="17" t="s">
        <v>3769</v>
      </c>
      <c r="E125" s="18" t="s">
        <v>3770</v>
      </c>
      <c r="F125" s="18" t="s">
        <v>3770</v>
      </c>
      <c r="G125" s="26">
        <v>100000</v>
      </c>
      <c r="H125" s="18">
        <v>210167783</v>
      </c>
      <c r="I125" s="18" t="s">
        <v>154</v>
      </c>
      <c r="J125" s="119">
        <f>SUMIF(OpenInvoices!C:C,Table1[[#This Row],[Invoice No]],OpenInvoices!N:N)</f>
        <v>0</v>
      </c>
      <c r="K125" s="119">
        <f>IF(Table1[[#This Row],[Outstanding]]=0,Table1[[#This Row],[Invoice Amount]],Table1[[#This Row],[Outstanding]]-Table1[[#This Row],[Invoice Amount]])</f>
        <v>100000</v>
      </c>
    </row>
    <row r="126" spans="1:11" x14ac:dyDescent="0.2">
      <c r="A126" s="18">
        <v>1</v>
      </c>
      <c r="B126" s="20">
        <v>45931</v>
      </c>
      <c r="C126" s="118" t="str">
        <f>LEFT(Table1[[#This Row],[Project No]],2)</f>
        <v>A5</v>
      </c>
      <c r="D126" s="17" t="s">
        <v>3771</v>
      </c>
      <c r="E126" s="18" t="s">
        <v>26</v>
      </c>
      <c r="F126" s="18" t="s">
        <v>2303</v>
      </c>
      <c r="G126" s="26">
        <v>44284.62</v>
      </c>
      <c r="H126" s="18">
        <v>210167408</v>
      </c>
      <c r="I126" s="18" t="s">
        <v>155</v>
      </c>
      <c r="J126" s="119">
        <f>SUMIF(OpenInvoices!C:C,Table1[[#This Row],[Invoice No]],OpenInvoices!N:N)</f>
        <v>0</v>
      </c>
      <c r="K126" s="119">
        <f>IF(Table1[[#This Row],[Outstanding]]=0,Table1[[#This Row],[Invoice Amount]],Table1[[#This Row],[Outstanding]]-Table1[[#This Row],[Invoice Amount]])</f>
        <v>44284.62</v>
      </c>
    </row>
    <row r="127" spans="1:11" x14ac:dyDescent="0.2">
      <c r="A127" s="18">
        <v>1</v>
      </c>
      <c r="B127" s="20">
        <v>45931</v>
      </c>
      <c r="C127" s="118" t="str">
        <f>LEFT(Table1[[#This Row],[Project No]],2)</f>
        <v>AV</v>
      </c>
      <c r="D127" s="17" t="s">
        <v>1562</v>
      </c>
      <c r="E127" s="18" t="s">
        <v>26</v>
      </c>
      <c r="F127" s="18" t="s">
        <v>27</v>
      </c>
      <c r="G127" s="26">
        <v>277.2</v>
      </c>
      <c r="H127" s="18">
        <v>210167409</v>
      </c>
      <c r="I127" s="18" t="s">
        <v>155</v>
      </c>
      <c r="J127" s="119">
        <f>SUMIF(OpenInvoices!C:C,Table1[[#This Row],[Invoice No]],OpenInvoices!N:N)</f>
        <v>0</v>
      </c>
      <c r="K127" s="119">
        <f>IF(Table1[[#This Row],[Outstanding]]=0,Table1[[#This Row],[Invoice Amount]],Table1[[#This Row],[Outstanding]]-Table1[[#This Row],[Invoice Amount]])</f>
        <v>277.2</v>
      </c>
    </row>
    <row r="128" spans="1:11" x14ac:dyDescent="0.2">
      <c r="A128" s="18">
        <v>1</v>
      </c>
      <c r="B128" s="20">
        <v>45931</v>
      </c>
      <c r="C128" s="118" t="str">
        <f>LEFT(Table1[[#This Row],[Project No]],2)</f>
        <v>AV</v>
      </c>
      <c r="D128" s="17" t="s">
        <v>771</v>
      </c>
      <c r="E128" s="18" t="s">
        <v>469</v>
      </c>
      <c r="F128" s="18" t="s">
        <v>31</v>
      </c>
      <c r="G128" s="26">
        <v>1757.15</v>
      </c>
      <c r="H128" s="18">
        <v>210167410</v>
      </c>
      <c r="I128" s="18" t="s">
        <v>155</v>
      </c>
      <c r="J128" s="119">
        <f>SUMIF(OpenInvoices!C:C,Table1[[#This Row],[Invoice No]],OpenInvoices!N:N)</f>
        <v>0</v>
      </c>
      <c r="K128" s="119">
        <f>IF(Table1[[#This Row],[Outstanding]]=0,Table1[[#This Row],[Invoice Amount]],Table1[[#This Row],[Outstanding]]-Table1[[#This Row],[Invoice Amount]])</f>
        <v>1757.15</v>
      </c>
    </row>
    <row r="129" spans="1:11" x14ac:dyDescent="0.2">
      <c r="A129" s="18">
        <v>1</v>
      </c>
      <c r="B129" s="20">
        <v>45931</v>
      </c>
      <c r="C129" s="118" t="str">
        <f>LEFT(Table1[[#This Row],[Project No]],2)</f>
        <v>AV</v>
      </c>
      <c r="D129" s="17" t="s">
        <v>1999</v>
      </c>
      <c r="E129" s="18" t="s">
        <v>22</v>
      </c>
      <c r="F129" s="18" t="s">
        <v>22</v>
      </c>
      <c r="G129" s="26">
        <v>30431.56</v>
      </c>
      <c r="H129" s="18">
        <v>210167411</v>
      </c>
      <c r="I129" s="18" t="s">
        <v>155</v>
      </c>
      <c r="J129" s="119">
        <f>SUMIF(OpenInvoices!C:C,Table1[[#This Row],[Invoice No]],OpenInvoices!N:N)</f>
        <v>0</v>
      </c>
      <c r="K129" s="119">
        <f>IF(Table1[[#This Row],[Outstanding]]=0,Table1[[#This Row],[Invoice Amount]],Table1[[#This Row],[Outstanding]]-Table1[[#This Row],[Invoice Amount]])</f>
        <v>30431.56</v>
      </c>
    </row>
    <row r="130" spans="1:11" x14ac:dyDescent="0.2">
      <c r="A130" s="18">
        <v>1</v>
      </c>
      <c r="B130" s="20">
        <v>45931</v>
      </c>
      <c r="C130" s="118" t="str">
        <f>LEFT(Table1[[#This Row],[Project No]],2)</f>
        <v>AV</v>
      </c>
      <c r="D130" s="17" t="s">
        <v>1449</v>
      </c>
      <c r="E130" s="18" t="s">
        <v>65</v>
      </c>
      <c r="F130" s="18" t="s">
        <v>65</v>
      </c>
      <c r="G130" s="26">
        <v>25899.97</v>
      </c>
      <c r="H130" s="18">
        <v>210167412</v>
      </c>
      <c r="I130" s="18" t="s">
        <v>155</v>
      </c>
      <c r="J130" s="119">
        <f>SUMIF(OpenInvoices!C:C,Table1[[#This Row],[Invoice No]],OpenInvoices!N:N)</f>
        <v>0</v>
      </c>
      <c r="K130" s="119">
        <f>IF(Table1[[#This Row],[Outstanding]]=0,Table1[[#This Row],[Invoice Amount]],Table1[[#This Row],[Outstanding]]-Table1[[#This Row],[Invoice Amount]])</f>
        <v>25899.97</v>
      </c>
    </row>
    <row r="131" spans="1:11" x14ac:dyDescent="0.2">
      <c r="A131" s="18">
        <v>1</v>
      </c>
      <c r="B131" s="20">
        <v>45931</v>
      </c>
      <c r="C131" s="118" t="str">
        <f>LEFT(Table1[[#This Row],[Project No]],2)</f>
        <v>AV</v>
      </c>
      <c r="D131" s="17" t="s">
        <v>1563</v>
      </c>
      <c r="E131" s="18" t="s">
        <v>1584</v>
      </c>
      <c r="F131" s="18" t="s">
        <v>1584</v>
      </c>
      <c r="G131" s="26">
        <v>23943.66</v>
      </c>
      <c r="H131" s="18">
        <v>210167413</v>
      </c>
      <c r="I131" s="18" t="s">
        <v>155</v>
      </c>
      <c r="J131" s="119">
        <f>SUMIF(OpenInvoices!C:C,Table1[[#This Row],[Invoice No]],OpenInvoices!N:N)</f>
        <v>0</v>
      </c>
      <c r="K131" s="119">
        <f>IF(Table1[[#This Row],[Outstanding]]=0,Table1[[#This Row],[Invoice Amount]],Table1[[#This Row],[Outstanding]]-Table1[[#This Row],[Invoice Amount]])</f>
        <v>23943.66</v>
      </c>
    </row>
    <row r="132" spans="1:11" x14ac:dyDescent="0.2">
      <c r="A132" s="18">
        <v>1</v>
      </c>
      <c r="B132" s="20">
        <v>45931</v>
      </c>
      <c r="C132" s="118" t="str">
        <f>LEFT(Table1[[#This Row],[Project No]],2)</f>
        <v>AZ</v>
      </c>
      <c r="D132" s="17" t="s">
        <v>60</v>
      </c>
      <c r="E132" s="18" t="s">
        <v>24</v>
      </c>
      <c r="F132" s="18" t="s">
        <v>24</v>
      </c>
      <c r="G132" s="26">
        <v>5841.88</v>
      </c>
      <c r="H132" s="18">
        <v>210167414</v>
      </c>
      <c r="I132" s="18" t="s">
        <v>155</v>
      </c>
      <c r="J132" s="119">
        <f>SUMIF(OpenInvoices!C:C,Table1[[#This Row],[Invoice No]],OpenInvoices!N:N)</f>
        <v>0</v>
      </c>
      <c r="K132" s="119">
        <f>IF(Table1[[#This Row],[Outstanding]]=0,Table1[[#This Row],[Invoice Amount]],Table1[[#This Row],[Outstanding]]-Table1[[#This Row],[Invoice Amount]])</f>
        <v>5841.88</v>
      </c>
    </row>
    <row r="133" spans="1:11" x14ac:dyDescent="0.2">
      <c r="A133" s="18">
        <v>1</v>
      </c>
      <c r="B133" s="20">
        <v>45931</v>
      </c>
      <c r="C133" s="118" t="str">
        <f>LEFT(Table1[[#This Row],[Project No]],2)</f>
        <v>AZ</v>
      </c>
      <c r="D133" s="17" t="s">
        <v>2068</v>
      </c>
      <c r="E133" s="18" t="s">
        <v>41</v>
      </c>
      <c r="F133" s="18" t="s">
        <v>24</v>
      </c>
      <c r="G133" s="26">
        <v>44069.36</v>
      </c>
      <c r="H133" s="18">
        <v>210167415</v>
      </c>
      <c r="I133" s="18" t="s">
        <v>155</v>
      </c>
      <c r="J133" s="119">
        <f>SUMIF(OpenInvoices!C:C,Table1[[#This Row],[Invoice No]],OpenInvoices!N:N)</f>
        <v>0</v>
      </c>
      <c r="K133" s="119">
        <f>IF(Table1[[#This Row],[Outstanding]]=0,Table1[[#This Row],[Invoice Amount]],Table1[[#This Row],[Outstanding]]-Table1[[#This Row],[Invoice Amount]])</f>
        <v>44069.36</v>
      </c>
    </row>
    <row r="134" spans="1:11" x14ac:dyDescent="0.2">
      <c r="A134" s="18">
        <v>1</v>
      </c>
      <c r="B134" s="20">
        <v>45931</v>
      </c>
      <c r="C134" s="118" t="str">
        <f>LEFT(Table1[[#This Row],[Project No]],2)</f>
        <v>B9</v>
      </c>
      <c r="D134" s="17" t="s">
        <v>1564</v>
      </c>
      <c r="E134" s="18" t="s">
        <v>1718</v>
      </c>
      <c r="F134" s="18" t="s">
        <v>2079</v>
      </c>
      <c r="G134" s="26">
        <v>34746.82</v>
      </c>
      <c r="H134" s="18">
        <v>210167416</v>
      </c>
      <c r="I134" s="18" t="s">
        <v>155</v>
      </c>
      <c r="J134" s="119">
        <f>SUMIF(OpenInvoices!C:C,Table1[[#This Row],[Invoice No]],OpenInvoices!N:N)</f>
        <v>0</v>
      </c>
      <c r="K134" s="119">
        <f>IF(Table1[[#This Row],[Outstanding]]=0,Table1[[#This Row],[Invoice Amount]],Table1[[#This Row],[Outstanding]]-Table1[[#This Row],[Invoice Amount]])</f>
        <v>34746.82</v>
      </c>
    </row>
    <row r="135" spans="1:11" x14ac:dyDescent="0.2">
      <c r="A135" s="18">
        <v>1</v>
      </c>
      <c r="B135" s="20">
        <v>45931</v>
      </c>
      <c r="C135" s="118" t="str">
        <f>LEFT(Table1[[#This Row],[Project No]],2)</f>
        <v>B9</v>
      </c>
      <c r="D135" s="17" t="s">
        <v>1062</v>
      </c>
      <c r="E135" s="18" t="s">
        <v>1065</v>
      </c>
      <c r="F135" s="18" t="s">
        <v>27</v>
      </c>
      <c r="G135" s="26">
        <v>4230.3999999999996</v>
      </c>
      <c r="H135" s="18">
        <v>210167417</v>
      </c>
      <c r="I135" s="18" t="s">
        <v>155</v>
      </c>
      <c r="J135" s="119">
        <f>SUMIF(OpenInvoices!C:C,Table1[[#This Row],[Invoice No]],OpenInvoices!N:N)</f>
        <v>0</v>
      </c>
      <c r="K135" s="119">
        <f>IF(Table1[[#This Row],[Outstanding]]=0,Table1[[#This Row],[Invoice Amount]],Table1[[#This Row],[Outstanding]]-Table1[[#This Row],[Invoice Amount]])</f>
        <v>4230.3999999999996</v>
      </c>
    </row>
    <row r="136" spans="1:11" x14ac:dyDescent="0.2">
      <c r="A136" s="18">
        <v>1</v>
      </c>
      <c r="B136" s="20">
        <v>45931</v>
      </c>
      <c r="C136" s="118" t="str">
        <f>LEFT(Table1[[#This Row],[Project No]],2)</f>
        <v>B9</v>
      </c>
      <c r="D136" s="17" t="s">
        <v>1854</v>
      </c>
      <c r="E136" s="18" t="s">
        <v>624</v>
      </c>
      <c r="F136" s="18" t="s">
        <v>27</v>
      </c>
      <c r="G136" s="26">
        <v>31782.63</v>
      </c>
      <c r="H136" s="18">
        <v>210167418</v>
      </c>
      <c r="I136" s="18" t="s">
        <v>155</v>
      </c>
      <c r="J136" s="119">
        <f>SUMIF(OpenInvoices!C:C,Table1[[#This Row],[Invoice No]],OpenInvoices!N:N)</f>
        <v>0</v>
      </c>
      <c r="K136" s="119">
        <f>IF(Table1[[#This Row],[Outstanding]]=0,Table1[[#This Row],[Invoice Amount]],Table1[[#This Row],[Outstanding]]-Table1[[#This Row],[Invoice Amount]])</f>
        <v>31782.63</v>
      </c>
    </row>
    <row r="137" spans="1:11" x14ac:dyDescent="0.2">
      <c r="A137" s="18">
        <v>1</v>
      </c>
      <c r="B137" s="20">
        <v>45931</v>
      </c>
      <c r="C137" s="118" t="str">
        <f>LEFT(Table1[[#This Row],[Project No]],2)</f>
        <v>BV</v>
      </c>
      <c r="D137" s="17" t="s">
        <v>1565</v>
      </c>
      <c r="E137" s="18" t="s">
        <v>471</v>
      </c>
      <c r="F137" s="18" t="s">
        <v>53</v>
      </c>
      <c r="G137" s="26">
        <v>52383.99</v>
      </c>
      <c r="H137" s="18">
        <v>210167419</v>
      </c>
      <c r="I137" s="18" t="s">
        <v>155</v>
      </c>
      <c r="J137" s="119">
        <f>SUMIF(OpenInvoices!C:C,Table1[[#This Row],[Invoice No]],OpenInvoices!N:N)</f>
        <v>0</v>
      </c>
      <c r="K137" s="119">
        <f>IF(Table1[[#This Row],[Outstanding]]=0,Table1[[#This Row],[Invoice Amount]],Table1[[#This Row],[Outstanding]]-Table1[[#This Row],[Invoice Amount]])</f>
        <v>52383.99</v>
      </c>
    </row>
    <row r="138" spans="1:11" x14ac:dyDescent="0.2">
      <c r="A138" s="18">
        <v>1</v>
      </c>
      <c r="B138" s="20">
        <v>45931</v>
      </c>
      <c r="C138" s="118" t="str">
        <f>LEFT(Table1[[#This Row],[Project No]],2)</f>
        <v>BX</v>
      </c>
      <c r="D138" s="17" t="s">
        <v>1367</v>
      </c>
      <c r="E138" s="18" t="s">
        <v>1370</v>
      </c>
      <c r="F138" s="18" t="s">
        <v>10</v>
      </c>
      <c r="G138" s="19">
        <v>3242.95</v>
      </c>
      <c r="H138" s="18">
        <v>210167420</v>
      </c>
      <c r="I138" s="18" t="s">
        <v>155</v>
      </c>
      <c r="J138" s="119">
        <f>SUMIF(OpenInvoices!C:C,Table1[[#This Row],[Invoice No]],OpenInvoices!N:N)</f>
        <v>0</v>
      </c>
      <c r="K138" s="119">
        <f>IF(Table1[[#This Row],[Outstanding]]=0,Table1[[#This Row],[Invoice Amount]],Table1[[#This Row],[Outstanding]]-Table1[[#This Row],[Invoice Amount]])</f>
        <v>3242.95</v>
      </c>
    </row>
    <row r="139" spans="1:11" x14ac:dyDescent="0.2">
      <c r="A139" s="18">
        <v>1</v>
      </c>
      <c r="B139" s="20">
        <v>45931</v>
      </c>
      <c r="C139" s="118" t="str">
        <f>LEFT(Table1[[#This Row],[Project No]],2)</f>
        <v>BZ</v>
      </c>
      <c r="D139" s="17" t="s">
        <v>1566</v>
      </c>
      <c r="E139" s="18" t="s">
        <v>38</v>
      </c>
      <c r="F139" s="18" t="s">
        <v>10</v>
      </c>
      <c r="G139" s="19">
        <v>1515.2</v>
      </c>
      <c r="H139" s="18">
        <v>210167421</v>
      </c>
      <c r="I139" s="18" t="s">
        <v>155</v>
      </c>
      <c r="J139" s="119">
        <f>SUMIF(OpenInvoices!C:C,Table1[[#This Row],[Invoice No]],OpenInvoices!N:N)</f>
        <v>0</v>
      </c>
      <c r="K139" s="119">
        <f>IF(Table1[[#This Row],[Outstanding]]=0,Table1[[#This Row],[Invoice Amount]],Table1[[#This Row],[Outstanding]]-Table1[[#This Row],[Invoice Amount]])</f>
        <v>1515.2</v>
      </c>
    </row>
    <row r="140" spans="1:11" x14ac:dyDescent="0.2">
      <c r="A140" s="18">
        <v>1</v>
      </c>
      <c r="B140" s="20">
        <v>45931</v>
      </c>
      <c r="C140" s="118" t="str">
        <f>LEFT(Table1[[#This Row],[Project No]],2)</f>
        <v>BZ</v>
      </c>
      <c r="D140" s="17" t="s">
        <v>1567</v>
      </c>
      <c r="E140" s="33" t="s">
        <v>52</v>
      </c>
      <c r="F140" s="18" t="s">
        <v>10</v>
      </c>
      <c r="G140" s="19">
        <v>30903.42</v>
      </c>
      <c r="H140" s="18">
        <v>210167422</v>
      </c>
      <c r="I140" s="18" t="s">
        <v>155</v>
      </c>
      <c r="J140" s="119">
        <f>SUMIF(OpenInvoices!C:C,Table1[[#This Row],[Invoice No]],OpenInvoices!N:N)</f>
        <v>30903.42</v>
      </c>
      <c r="K140" s="119">
        <f>IF(Table1[[#This Row],[Outstanding]]=0,Table1[[#This Row],[Invoice Amount]],Table1[[#This Row],[Outstanding]]-Table1[[#This Row],[Invoice Amount]])</f>
        <v>0</v>
      </c>
    </row>
    <row r="141" spans="1:11" x14ac:dyDescent="0.2">
      <c r="A141" s="18">
        <v>1</v>
      </c>
      <c r="B141" s="20">
        <v>45931</v>
      </c>
      <c r="C141" s="118" t="str">
        <f>LEFT(Table1[[#This Row],[Project No]],2)</f>
        <v>BZ</v>
      </c>
      <c r="D141" s="17" t="s">
        <v>2069</v>
      </c>
      <c r="E141" s="33" t="s">
        <v>34</v>
      </c>
      <c r="F141" s="18" t="s">
        <v>10</v>
      </c>
      <c r="G141" s="19">
        <v>12017.23</v>
      </c>
      <c r="H141" s="18">
        <v>210167423</v>
      </c>
      <c r="I141" s="18" t="s">
        <v>155</v>
      </c>
      <c r="J141" s="119">
        <f>SUMIF(OpenInvoices!C:C,Table1[[#This Row],[Invoice No]],OpenInvoices!N:N)</f>
        <v>0</v>
      </c>
      <c r="K141" s="119">
        <f>IF(Table1[[#This Row],[Outstanding]]=0,Table1[[#This Row],[Invoice Amount]],Table1[[#This Row],[Outstanding]]-Table1[[#This Row],[Invoice Amount]])</f>
        <v>12017.23</v>
      </c>
    </row>
    <row r="142" spans="1:11" x14ac:dyDescent="0.2">
      <c r="A142" s="18">
        <v>1</v>
      </c>
      <c r="B142" s="20">
        <v>45931</v>
      </c>
      <c r="C142" s="118" t="str">
        <f>LEFT(Table1[[#This Row],[Project No]],2)</f>
        <v>BZ</v>
      </c>
      <c r="D142" s="17" t="s">
        <v>3772</v>
      </c>
      <c r="E142" s="33" t="s">
        <v>3775</v>
      </c>
      <c r="F142" s="18" t="s">
        <v>10</v>
      </c>
      <c r="G142" s="19">
        <v>2770.72</v>
      </c>
      <c r="H142" s="18">
        <v>210167424</v>
      </c>
      <c r="I142" s="18" t="s">
        <v>155</v>
      </c>
      <c r="J142" s="119">
        <f>SUMIF(OpenInvoices!C:C,Table1[[#This Row],[Invoice No]],OpenInvoices!N:N)</f>
        <v>0</v>
      </c>
      <c r="K142" s="119">
        <f>IF(Table1[[#This Row],[Outstanding]]=0,Table1[[#This Row],[Invoice Amount]],Table1[[#This Row],[Outstanding]]-Table1[[#This Row],[Invoice Amount]])</f>
        <v>2770.72</v>
      </c>
    </row>
    <row r="143" spans="1:11" x14ac:dyDescent="0.2">
      <c r="A143" s="18">
        <v>1</v>
      </c>
      <c r="B143" s="20">
        <v>45931</v>
      </c>
      <c r="C143" s="118" t="str">
        <f>LEFT(Table1[[#This Row],[Project No]],2)</f>
        <v>BZ</v>
      </c>
      <c r="D143" s="17" t="s">
        <v>2070</v>
      </c>
      <c r="E143" s="33" t="s">
        <v>42</v>
      </c>
      <c r="F143" s="18" t="s">
        <v>10</v>
      </c>
      <c r="G143" s="19">
        <v>3308.5</v>
      </c>
      <c r="H143" s="18">
        <v>210167426</v>
      </c>
      <c r="I143" s="18" t="s">
        <v>155</v>
      </c>
      <c r="J143" s="119">
        <f>SUMIF(OpenInvoices!C:C,Table1[[#This Row],[Invoice No]],OpenInvoices!N:N)</f>
        <v>0</v>
      </c>
      <c r="K143" s="119">
        <f>IF(Table1[[#This Row],[Outstanding]]=0,Table1[[#This Row],[Invoice Amount]],Table1[[#This Row],[Outstanding]]-Table1[[#This Row],[Invoice Amount]])</f>
        <v>3308.5</v>
      </c>
    </row>
    <row r="144" spans="1:11" x14ac:dyDescent="0.2">
      <c r="A144" s="18">
        <v>1</v>
      </c>
      <c r="B144" s="20">
        <v>45931</v>
      </c>
      <c r="C144" s="118" t="str">
        <f>LEFT(Table1[[#This Row],[Project No]],2)</f>
        <v>BZ</v>
      </c>
      <c r="D144" s="17" t="s">
        <v>2089</v>
      </c>
      <c r="E144" s="33" t="s">
        <v>412</v>
      </c>
      <c r="F144" s="18" t="s">
        <v>10</v>
      </c>
      <c r="G144" s="19">
        <v>139581.38</v>
      </c>
      <c r="H144" s="18">
        <v>210167427</v>
      </c>
      <c r="I144" s="18" t="s">
        <v>155</v>
      </c>
      <c r="J144" s="119">
        <f>SUMIF(OpenInvoices!C:C,Table1[[#This Row],[Invoice No]],OpenInvoices!N:N)</f>
        <v>0</v>
      </c>
      <c r="K144" s="119">
        <f>IF(Table1[[#This Row],[Outstanding]]=0,Table1[[#This Row],[Invoice Amount]],Table1[[#This Row],[Outstanding]]-Table1[[#This Row],[Invoice Amount]])</f>
        <v>139581.38</v>
      </c>
    </row>
    <row r="145" spans="1:11" x14ac:dyDescent="0.2">
      <c r="A145" s="18">
        <v>1</v>
      </c>
      <c r="B145" s="20">
        <v>45931</v>
      </c>
      <c r="C145" s="118" t="str">
        <f>LEFT(Table1[[#This Row],[Project No]],2)</f>
        <v>BZ</v>
      </c>
      <c r="D145" s="17" t="s">
        <v>3059</v>
      </c>
      <c r="E145" s="33" t="s">
        <v>796</v>
      </c>
      <c r="F145" s="18" t="s">
        <v>10</v>
      </c>
      <c r="G145" s="19">
        <v>29407.25</v>
      </c>
      <c r="H145" s="18">
        <v>210167428</v>
      </c>
      <c r="I145" s="18" t="s">
        <v>155</v>
      </c>
      <c r="J145" s="119">
        <f>SUMIF(OpenInvoices!C:C,Table1[[#This Row],[Invoice No]],OpenInvoices!N:N)</f>
        <v>0</v>
      </c>
      <c r="K145" s="119">
        <f>IF(Table1[[#This Row],[Outstanding]]=0,Table1[[#This Row],[Invoice Amount]],Table1[[#This Row],[Outstanding]]-Table1[[#This Row],[Invoice Amount]])</f>
        <v>29407.25</v>
      </c>
    </row>
    <row r="146" spans="1:11" x14ac:dyDescent="0.2">
      <c r="A146" s="18">
        <v>1</v>
      </c>
      <c r="B146" s="20">
        <v>45931</v>
      </c>
      <c r="C146" s="118" t="str">
        <f>LEFT(Table1[[#This Row],[Project No]],2)</f>
        <v>BZ</v>
      </c>
      <c r="D146" s="17" t="s">
        <v>3605</v>
      </c>
      <c r="E146" s="33" t="s">
        <v>3604</v>
      </c>
      <c r="F146" s="18" t="s">
        <v>10</v>
      </c>
      <c r="G146" s="19">
        <v>112160.05</v>
      </c>
      <c r="H146" s="18">
        <v>210167429</v>
      </c>
      <c r="I146" s="18" t="s">
        <v>155</v>
      </c>
      <c r="J146" s="119">
        <f>SUMIF(OpenInvoices!C:C,Table1[[#This Row],[Invoice No]],OpenInvoices!N:N)</f>
        <v>0</v>
      </c>
      <c r="K146" s="119">
        <f>IF(Table1[[#This Row],[Outstanding]]=0,Table1[[#This Row],[Invoice Amount]],Table1[[#This Row],[Outstanding]]-Table1[[#This Row],[Invoice Amount]])</f>
        <v>112160.05</v>
      </c>
    </row>
    <row r="147" spans="1:11" x14ac:dyDescent="0.2">
      <c r="A147" s="18">
        <v>1</v>
      </c>
      <c r="B147" s="20">
        <v>45931</v>
      </c>
      <c r="C147" s="118" t="str">
        <f>LEFT(Table1[[#This Row],[Project No]],2)</f>
        <v>CS</v>
      </c>
      <c r="D147" s="17" t="s">
        <v>1570</v>
      </c>
      <c r="E147" s="33" t="s">
        <v>1543</v>
      </c>
      <c r="F147" s="18" t="s">
        <v>1543</v>
      </c>
      <c r="G147" s="19">
        <v>26790.46</v>
      </c>
      <c r="H147" s="18">
        <v>210167430</v>
      </c>
      <c r="I147" s="18" t="s">
        <v>155</v>
      </c>
      <c r="J147" s="119">
        <f>SUMIF(OpenInvoices!C:C,Table1[[#This Row],[Invoice No]],OpenInvoices!N:N)</f>
        <v>0</v>
      </c>
      <c r="K147" s="119">
        <f>IF(Table1[[#This Row],[Outstanding]]=0,Table1[[#This Row],[Invoice Amount]],Table1[[#This Row],[Outstanding]]-Table1[[#This Row],[Invoice Amount]])</f>
        <v>26790.46</v>
      </c>
    </row>
    <row r="148" spans="1:11" x14ac:dyDescent="0.2">
      <c r="A148" s="18">
        <v>1</v>
      </c>
      <c r="B148" s="20">
        <v>45931</v>
      </c>
      <c r="C148" s="118" t="str">
        <f>LEFT(Table1[[#This Row],[Project No]],2)</f>
        <v>CV</v>
      </c>
      <c r="D148" s="17" t="s">
        <v>2050</v>
      </c>
      <c r="E148" s="33" t="s">
        <v>37</v>
      </c>
      <c r="F148" s="18" t="s">
        <v>36</v>
      </c>
      <c r="G148" s="19">
        <v>6403.75</v>
      </c>
      <c r="H148" s="18">
        <v>210167431</v>
      </c>
      <c r="I148" s="18" t="s">
        <v>155</v>
      </c>
      <c r="J148" s="119">
        <f>SUMIF(OpenInvoices!C:C,Table1[[#This Row],[Invoice No]],OpenInvoices!N:N)</f>
        <v>0</v>
      </c>
      <c r="K148" s="119">
        <f>IF(Table1[[#This Row],[Outstanding]]=0,Table1[[#This Row],[Invoice Amount]],Table1[[#This Row],[Outstanding]]-Table1[[#This Row],[Invoice Amount]])</f>
        <v>6403.75</v>
      </c>
    </row>
    <row r="149" spans="1:11" x14ac:dyDescent="0.2">
      <c r="A149" s="18">
        <v>1</v>
      </c>
      <c r="B149" s="20">
        <v>45931</v>
      </c>
      <c r="C149" s="118" t="str">
        <f>LEFT(Table1[[#This Row],[Project No]],2)</f>
        <v>CY</v>
      </c>
      <c r="D149" s="17" t="s">
        <v>1571</v>
      </c>
      <c r="E149" s="33" t="s">
        <v>63</v>
      </c>
      <c r="F149" s="18" t="s">
        <v>36</v>
      </c>
      <c r="G149" s="19">
        <v>30319.279999999999</v>
      </c>
      <c r="H149" s="18">
        <v>210167432</v>
      </c>
      <c r="I149" s="18" t="s">
        <v>155</v>
      </c>
      <c r="J149" s="119">
        <f>SUMIF(OpenInvoices!C:C,Table1[[#This Row],[Invoice No]],OpenInvoices!N:N)</f>
        <v>0</v>
      </c>
      <c r="K149" s="119">
        <f>IF(Table1[[#This Row],[Outstanding]]=0,Table1[[#This Row],[Invoice Amount]],Table1[[#This Row],[Outstanding]]-Table1[[#This Row],[Invoice Amount]])</f>
        <v>30319.279999999999</v>
      </c>
    </row>
    <row r="150" spans="1:11" x14ac:dyDescent="0.2">
      <c r="A150" s="18">
        <v>1</v>
      </c>
      <c r="B150" s="20">
        <v>45931</v>
      </c>
      <c r="C150" s="118" t="str">
        <f>LEFT(Table1[[#This Row],[Project No]],2)</f>
        <v>DB</v>
      </c>
      <c r="D150" s="17" t="s">
        <v>1572</v>
      </c>
      <c r="E150" s="33" t="s">
        <v>1587</v>
      </c>
      <c r="F150" s="18" t="s">
        <v>1587</v>
      </c>
      <c r="G150" s="19">
        <v>8909.31</v>
      </c>
      <c r="H150" s="18">
        <v>210167433</v>
      </c>
      <c r="I150" s="18" t="s">
        <v>155</v>
      </c>
      <c r="J150" s="119">
        <f>SUMIF(OpenInvoices!C:C,Table1[[#This Row],[Invoice No]],OpenInvoices!N:N)</f>
        <v>0</v>
      </c>
      <c r="K150" s="119">
        <f>IF(Table1[[#This Row],[Outstanding]]=0,Table1[[#This Row],[Invoice Amount]],Table1[[#This Row],[Outstanding]]-Table1[[#This Row],[Invoice Amount]])</f>
        <v>8909.31</v>
      </c>
    </row>
    <row r="151" spans="1:11" x14ac:dyDescent="0.2">
      <c r="A151" s="18">
        <v>1</v>
      </c>
      <c r="B151" s="20">
        <v>45931</v>
      </c>
      <c r="C151" s="118" t="str">
        <f>LEFT(Table1[[#This Row],[Project No]],2)</f>
        <v>DB</v>
      </c>
      <c r="D151" s="17" t="s">
        <v>1573</v>
      </c>
      <c r="E151" s="33" t="s">
        <v>656</v>
      </c>
      <c r="F151" s="18" t="s">
        <v>444</v>
      </c>
      <c r="G151" s="19">
        <v>15199.28</v>
      </c>
      <c r="H151" s="18">
        <v>210167434</v>
      </c>
      <c r="I151" s="18" t="s">
        <v>155</v>
      </c>
      <c r="J151" s="119">
        <f>SUMIF(OpenInvoices!C:C,Table1[[#This Row],[Invoice No]],OpenInvoices!N:N)</f>
        <v>0</v>
      </c>
      <c r="K151" s="119">
        <f>IF(Table1[[#This Row],[Outstanding]]=0,Table1[[#This Row],[Invoice Amount]],Table1[[#This Row],[Outstanding]]-Table1[[#This Row],[Invoice Amount]])</f>
        <v>15199.28</v>
      </c>
    </row>
    <row r="152" spans="1:11" x14ac:dyDescent="0.2">
      <c r="A152" s="18">
        <v>1</v>
      </c>
      <c r="B152" s="20">
        <v>45931</v>
      </c>
      <c r="C152" s="118" t="str">
        <f>LEFT(Table1[[#This Row],[Project No]],2)</f>
        <v>DF</v>
      </c>
      <c r="D152" s="17" t="s">
        <v>1575</v>
      </c>
      <c r="E152" s="33" t="s">
        <v>37</v>
      </c>
      <c r="F152" s="18" t="s">
        <v>31</v>
      </c>
      <c r="G152" s="19">
        <v>105220.41</v>
      </c>
      <c r="H152" s="18">
        <v>210167435</v>
      </c>
      <c r="I152" s="18" t="s">
        <v>155</v>
      </c>
      <c r="J152" s="119">
        <f>SUMIF(OpenInvoices!C:C,Table1[[#This Row],[Invoice No]],OpenInvoices!N:N)</f>
        <v>0</v>
      </c>
      <c r="K152" s="119">
        <f>IF(Table1[[#This Row],[Outstanding]]=0,Table1[[#This Row],[Invoice Amount]],Table1[[#This Row],[Outstanding]]-Table1[[#This Row],[Invoice Amount]])</f>
        <v>105220.41</v>
      </c>
    </row>
    <row r="153" spans="1:11" x14ac:dyDescent="0.2">
      <c r="A153" s="18">
        <v>1</v>
      </c>
      <c r="B153" s="20">
        <v>45931</v>
      </c>
      <c r="C153" s="118" t="str">
        <f>LEFT(Table1[[#This Row],[Project No]],2)</f>
        <v>DF</v>
      </c>
      <c r="D153" s="17" t="s">
        <v>1576</v>
      </c>
      <c r="E153" s="33" t="s">
        <v>1070</v>
      </c>
      <c r="F153" s="18" t="s">
        <v>31</v>
      </c>
      <c r="G153" s="19">
        <v>151211.17000000001</v>
      </c>
      <c r="H153" s="18">
        <v>210167436</v>
      </c>
      <c r="I153" s="18" t="s">
        <v>155</v>
      </c>
      <c r="J153" s="119">
        <f>SUMIF(OpenInvoices!C:C,Table1[[#This Row],[Invoice No]],OpenInvoices!N:N)</f>
        <v>0</v>
      </c>
      <c r="K153" s="119">
        <f>IF(Table1[[#This Row],[Outstanding]]=0,Table1[[#This Row],[Invoice Amount]],Table1[[#This Row],[Outstanding]]-Table1[[#This Row],[Invoice Amount]])</f>
        <v>151211.17000000001</v>
      </c>
    </row>
    <row r="154" spans="1:11" x14ac:dyDescent="0.2">
      <c r="A154" s="18">
        <v>1</v>
      </c>
      <c r="B154" s="20">
        <v>45931</v>
      </c>
      <c r="C154" s="118" t="str">
        <f>LEFT(Table1[[#This Row],[Project No]],2)</f>
        <v>DF</v>
      </c>
      <c r="D154" s="17" t="s">
        <v>1465</v>
      </c>
      <c r="E154" s="33" t="s">
        <v>467</v>
      </c>
      <c r="F154" s="18" t="s">
        <v>31</v>
      </c>
      <c r="G154" s="19">
        <v>3886.83</v>
      </c>
      <c r="H154" s="18">
        <v>210167437</v>
      </c>
      <c r="I154" s="18" t="s">
        <v>155</v>
      </c>
      <c r="J154" s="119">
        <f>SUMIF(OpenInvoices!C:C,Table1[[#This Row],[Invoice No]],OpenInvoices!N:N)</f>
        <v>0</v>
      </c>
      <c r="K154" s="119">
        <f>IF(Table1[[#This Row],[Outstanding]]=0,Table1[[#This Row],[Invoice Amount]],Table1[[#This Row],[Outstanding]]-Table1[[#This Row],[Invoice Amount]])</f>
        <v>3886.83</v>
      </c>
    </row>
    <row r="155" spans="1:11" x14ac:dyDescent="0.2">
      <c r="A155" s="18">
        <v>1</v>
      </c>
      <c r="B155" s="20">
        <v>45931</v>
      </c>
      <c r="C155" s="118" t="str">
        <f>LEFT(Table1[[#This Row],[Project No]],2)</f>
        <v>DF</v>
      </c>
      <c r="D155" s="17" t="s">
        <v>2071</v>
      </c>
      <c r="E155" s="33" t="s">
        <v>52</v>
      </c>
      <c r="F155" s="18" t="s">
        <v>31</v>
      </c>
      <c r="G155" s="19">
        <v>3741.77</v>
      </c>
      <c r="H155" s="18">
        <v>210167438</v>
      </c>
      <c r="I155" s="18" t="s">
        <v>155</v>
      </c>
      <c r="J155" s="119">
        <f>SUMIF(OpenInvoices!C:C,Table1[[#This Row],[Invoice No]],OpenInvoices!N:N)</f>
        <v>0</v>
      </c>
      <c r="K155" s="119">
        <f>IF(Table1[[#This Row],[Outstanding]]=0,Table1[[#This Row],[Invoice Amount]],Table1[[#This Row],[Outstanding]]-Table1[[#This Row],[Invoice Amount]])</f>
        <v>3741.77</v>
      </c>
    </row>
    <row r="156" spans="1:11" x14ac:dyDescent="0.2">
      <c r="A156" s="18">
        <v>1</v>
      </c>
      <c r="B156" s="20">
        <v>45931</v>
      </c>
      <c r="C156" s="118" t="str">
        <f>LEFT(Table1[[#This Row],[Project No]],2)</f>
        <v>DF</v>
      </c>
      <c r="D156" s="17" t="s">
        <v>3578</v>
      </c>
      <c r="E156" s="33" t="s">
        <v>41</v>
      </c>
      <c r="F156" s="18" t="s">
        <v>30</v>
      </c>
      <c r="G156" s="19">
        <v>40298.43</v>
      </c>
      <c r="H156" s="18">
        <v>210167439</v>
      </c>
      <c r="I156" s="18" t="s">
        <v>155</v>
      </c>
      <c r="J156" s="119">
        <f>SUMIF(OpenInvoices!C:C,Table1[[#This Row],[Invoice No]],OpenInvoices!N:N)</f>
        <v>0</v>
      </c>
      <c r="K156" s="119">
        <f>IF(Table1[[#This Row],[Outstanding]]=0,Table1[[#This Row],[Invoice Amount]],Table1[[#This Row],[Outstanding]]-Table1[[#This Row],[Invoice Amount]])</f>
        <v>40298.43</v>
      </c>
    </row>
    <row r="157" spans="1:11" x14ac:dyDescent="0.2">
      <c r="A157" s="18">
        <v>1</v>
      </c>
      <c r="B157" s="20">
        <v>45931</v>
      </c>
      <c r="C157" s="118" t="str">
        <f>LEFT(Table1[[#This Row],[Project No]],2)</f>
        <v>DH</v>
      </c>
      <c r="D157" s="17" t="s">
        <v>654</v>
      </c>
      <c r="E157" s="33" t="s">
        <v>25</v>
      </c>
      <c r="F157" s="18" t="s">
        <v>31</v>
      </c>
      <c r="G157" s="19">
        <v>40444.129999999997</v>
      </c>
      <c r="H157" s="18">
        <v>210167440</v>
      </c>
      <c r="I157" s="18" t="s">
        <v>155</v>
      </c>
      <c r="J157" s="119">
        <f>SUMIF(OpenInvoices!C:C,Table1[[#This Row],[Invoice No]],OpenInvoices!N:N)</f>
        <v>40444.129999999997</v>
      </c>
      <c r="K157" s="119">
        <f>IF(Table1[[#This Row],[Outstanding]]=0,Table1[[#This Row],[Invoice Amount]],Table1[[#This Row],[Outstanding]]-Table1[[#This Row],[Invoice Amount]])</f>
        <v>0</v>
      </c>
    </row>
    <row r="158" spans="1:11" x14ac:dyDescent="0.2">
      <c r="A158" s="18">
        <v>1</v>
      </c>
      <c r="B158" s="20">
        <v>45931</v>
      </c>
      <c r="C158" s="118" t="str">
        <f>LEFT(Table1[[#This Row],[Project No]],2)</f>
        <v>DJ</v>
      </c>
      <c r="D158" s="17" t="s">
        <v>3773</v>
      </c>
      <c r="E158" s="33" t="s">
        <v>3776</v>
      </c>
      <c r="F158" s="18" t="s">
        <v>3777</v>
      </c>
      <c r="G158" s="19">
        <v>56030.8</v>
      </c>
      <c r="H158" s="18">
        <v>210167441</v>
      </c>
      <c r="I158" s="18" t="s">
        <v>155</v>
      </c>
      <c r="J158" s="119">
        <f>SUMIF(OpenInvoices!C:C,Table1[[#This Row],[Invoice No]],OpenInvoices!N:N)</f>
        <v>0</v>
      </c>
      <c r="K158" s="119">
        <f>IF(Table1[[#This Row],[Outstanding]]=0,Table1[[#This Row],[Invoice Amount]],Table1[[#This Row],[Outstanding]]-Table1[[#This Row],[Invoice Amount]])</f>
        <v>56030.8</v>
      </c>
    </row>
    <row r="159" spans="1:11" x14ac:dyDescent="0.2">
      <c r="A159" s="18">
        <v>1</v>
      </c>
      <c r="B159" s="20">
        <v>45931</v>
      </c>
      <c r="C159" s="118" t="str">
        <f>LEFT(Table1[[#This Row],[Project No]],2)</f>
        <v>DR</v>
      </c>
      <c r="D159" s="17" t="s">
        <v>2091</v>
      </c>
      <c r="E159" s="33" t="s">
        <v>1783</v>
      </c>
      <c r="F159" s="18" t="s">
        <v>1783</v>
      </c>
      <c r="G159" s="19">
        <v>24704.25</v>
      </c>
      <c r="H159" s="18">
        <v>210167442</v>
      </c>
      <c r="I159" s="18" t="s">
        <v>155</v>
      </c>
      <c r="J159" s="119">
        <f>SUMIF(OpenInvoices!C:C,Table1[[#This Row],[Invoice No]],OpenInvoices!N:N)</f>
        <v>0</v>
      </c>
      <c r="K159" s="119">
        <f>IF(Table1[[#This Row],[Outstanding]]=0,Table1[[#This Row],[Invoice Amount]],Table1[[#This Row],[Outstanding]]-Table1[[#This Row],[Invoice Amount]])</f>
        <v>24704.25</v>
      </c>
    </row>
    <row r="160" spans="1:11" x14ac:dyDescent="0.2">
      <c r="A160" s="18">
        <v>1</v>
      </c>
      <c r="B160" s="20">
        <v>45931</v>
      </c>
      <c r="C160" s="118" t="str">
        <f>LEFT(Table1[[#This Row],[Project No]],2)</f>
        <v>DU</v>
      </c>
      <c r="D160" s="17" t="s">
        <v>3774</v>
      </c>
      <c r="E160" s="33" t="s">
        <v>1542</v>
      </c>
      <c r="F160" s="18" t="s">
        <v>31</v>
      </c>
      <c r="G160" s="19">
        <v>31063.91</v>
      </c>
      <c r="H160" s="18">
        <v>210167443</v>
      </c>
      <c r="I160" s="18" t="s">
        <v>155</v>
      </c>
      <c r="J160" s="119">
        <f>SUMIF(OpenInvoices!C:C,Table1[[#This Row],[Invoice No]],OpenInvoices!N:N)</f>
        <v>0</v>
      </c>
      <c r="K160" s="119">
        <f>IF(Table1[[#This Row],[Outstanding]]=0,Table1[[#This Row],[Invoice Amount]],Table1[[#This Row],[Outstanding]]-Table1[[#This Row],[Invoice Amount]])</f>
        <v>31063.91</v>
      </c>
    </row>
    <row r="161" spans="1:11" x14ac:dyDescent="0.2">
      <c r="A161" s="18">
        <v>1</v>
      </c>
      <c r="B161" s="20">
        <v>45931</v>
      </c>
      <c r="C161" s="118" t="str">
        <f>LEFT(Table1[[#This Row],[Project No]],2)</f>
        <v>H4</v>
      </c>
      <c r="D161" s="17" t="s">
        <v>2072</v>
      </c>
      <c r="E161" s="33" t="s">
        <v>2080</v>
      </c>
      <c r="F161" s="18" t="s">
        <v>28</v>
      </c>
      <c r="G161" s="19">
        <v>3526.86</v>
      </c>
      <c r="H161" s="18">
        <v>210167444</v>
      </c>
      <c r="I161" s="18" t="s">
        <v>155</v>
      </c>
      <c r="J161" s="119">
        <f>SUMIF(OpenInvoices!C:C,Table1[[#This Row],[Invoice No]],OpenInvoices!N:N)</f>
        <v>3526.86</v>
      </c>
      <c r="K161" s="119">
        <f>IF(Table1[[#This Row],[Outstanding]]=0,Table1[[#This Row],[Invoice Amount]],Table1[[#This Row],[Outstanding]]-Table1[[#This Row],[Invoice Amount]])</f>
        <v>0</v>
      </c>
    </row>
    <row r="162" spans="1:11" x14ac:dyDescent="0.2">
      <c r="A162" s="18">
        <v>1</v>
      </c>
      <c r="B162" s="20">
        <v>45931</v>
      </c>
      <c r="C162" s="118" t="str">
        <f>LEFT(Table1[[#This Row],[Project No]],2)</f>
        <v>H6</v>
      </c>
      <c r="D162" s="17" t="s">
        <v>2073</v>
      </c>
      <c r="E162" s="33" t="s">
        <v>721</v>
      </c>
      <c r="F162" s="18" t="s">
        <v>721</v>
      </c>
      <c r="G162" s="19">
        <v>13534.61</v>
      </c>
      <c r="H162" s="18">
        <v>210167445</v>
      </c>
      <c r="I162" s="18" t="s">
        <v>155</v>
      </c>
      <c r="J162" s="119">
        <f>SUMIF(OpenInvoices!C:C,Table1[[#This Row],[Invoice No]],OpenInvoices!N:N)</f>
        <v>0</v>
      </c>
      <c r="K162" s="119">
        <f>IF(Table1[[#This Row],[Outstanding]]=0,Table1[[#This Row],[Invoice Amount]],Table1[[#This Row],[Outstanding]]-Table1[[#This Row],[Invoice Amount]])</f>
        <v>13534.61</v>
      </c>
    </row>
    <row r="163" spans="1:11" x14ac:dyDescent="0.2">
      <c r="A163" s="18">
        <v>1</v>
      </c>
      <c r="B163" s="20">
        <v>45931</v>
      </c>
      <c r="C163" s="118" t="str">
        <f>LEFT(Table1[[#This Row],[Project No]],2)</f>
        <v>HB</v>
      </c>
      <c r="D163" s="17" t="s">
        <v>2074</v>
      </c>
      <c r="E163" s="33" t="s">
        <v>1066</v>
      </c>
      <c r="F163" s="18" t="s">
        <v>1066</v>
      </c>
      <c r="G163" s="19">
        <v>26053.01</v>
      </c>
      <c r="H163" s="18">
        <v>210167446</v>
      </c>
      <c r="I163" s="18" t="s">
        <v>155</v>
      </c>
      <c r="J163" s="119">
        <f>SUMIF(OpenInvoices!C:C,Table1[[#This Row],[Invoice No]],OpenInvoices!N:N)</f>
        <v>0</v>
      </c>
      <c r="K163" s="119">
        <f>IF(Table1[[#This Row],[Outstanding]]=0,Table1[[#This Row],[Invoice Amount]],Table1[[#This Row],[Outstanding]]-Table1[[#This Row],[Invoice Amount]])</f>
        <v>26053.01</v>
      </c>
    </row>
    <row r="164" spans="1:11" x14ac:dyDescent="0.2">
      <c r="A164" s="18">
        <v>1</v>
      </c>
      <c r="B164" s="20">
        <v>45931</v>
      </c>
      <c r="C164" s="118" t="str">
        <f>LEFT(Table1[[#This Row],[Project No]],2)</f>
        <v>HB</v>
      </c>
      <c r="D164" s="17" t="s">
        <v>1577</v>
      </c>
      <c r="E164" s="33" t="s">
        <v>1066</v>
      </c>
      <c r="F164" s="18" t="s">
        <v>1066</v>
      </c>
      <c r="G164" s="19">
        <v>16546.82</v>
      </c>
      <c r="H164" s="18">
        <v>210167447</v>
      </c>
      <c r="I164" s="18" t="s">
        <v>155</v>
      </c>
      <c r="J164" s="119">
        <f>SUMIF(OpenInvoices!C:C,Table1[[#This Row],[Invoice No]],OpenInvoices!N:N)</f>
        <v>0</v>
      </c>
      <c r="K164" s="119">
        <f>IF(Table1[[#This Row],[Outstanding]]=0,Table1[[#This Row],[Invoice Amount]],Table1[[#This Row],[Outstanding]]-Table1[[#This Row],[Invoice Amount]])</f>
        <v>16546.82</v>
      </c>
    </row>
    <row r="165" spans="1:11" x14ac:dyDescent="0.2">
      <c r="A165" s="18">
        <v>1</v>
      </c>
      <c r="B165" s="20">
        <v>45931</v>
      </c>
      <c r="C165" s="118" t="str">
        <f>LEFT(Table1[[#This Row],[Project No]],2)</f>
        <v>HF</v>
      </c>
      <c r="D165" s="17" t="s">
        <v>1063</v>
      </c>
      <c r="E165" s="33" t="s">
        <v>41</v>
      </c>
      <c r="F165" s="18" t="s">
        <v>10</v>
      </c>
      <c r="G165" s="19">
        <v>427.71</v>
      </c>
      <c r="H165" s="18">
        <v>210167448</v>
      </c>
      <c r="I165" s="18" t="s">
        <v>155</v>
      </c>
      <c r="J165" s="119">
        <f>SUMIF(OpenInvoices!C:C,Table1[[#This Row],[Invoice No]],OpenInvoices!N:N)</f>
        <v>0</v>
      </c>
      <c r="K165" s="119">
        <f>IF(Table1[[#This Row],[Outstanding]]=0,Table1[[#This Row],[Invoice Amount]],Table1[[#This Row],[Outstanding]]-Table1[[#This Row],[Invoice Amount]])</f>
        <v>427.71</v>
      </c>
    </row>
    <row r="166" spans="1:11" x14ac:dyDescent="0.2">
      <c r="A166" s="18">
        <v>1</v>
      </c>
      <c r="B166" s="20">
        <v>45931</v>
      </c>
      <c r="C166" s="118" t="str">
        <f>LEFT(Table1[[#This Row],[Project No]],2)</f>
        <v>HF</v>
      </c>
      <c r="D166" s="17" t="s">
        <v>1578</v>
      </c>
      <c r="E166" s="33" t="s">
        <v>1148</v>
      </c>
      <c r="F166" s="18" t="s">
        <v>10</v>
      </c>
      <c r="G166" s="19">
        <v>160341.43</v>
      </c>
      <c r="H166" s="18">
        <v>210167449</v>
      </c>
      <c r="I166" s="18" t="s">
        <v>155</v>
      </c>
      <c r="J166" s="119">
        <f>SUMIF(OpenInvoices!C:C,Table1[[#This Row],[Invoice No]],OpenInvoices!N:N)</f>
        <v>0</v>
      </c>
      <c r="K166" s="119">
        <f>IF(Table1[[#This Row],[Outstanding]]=0,Table1[[#This Row],[Invoice Amount]],Table1[[#This Row],[Outstanding]]-Table1[[#This Row],[Invoice Amount]])</f>
        <v>160341.43</v>
      </c>
    </row>
    <row r="167" spans="1:11" x14ac:dyDescent="0.2">
      <c r="A167" s="18">
        <v>1</v>
      </c>
      <c r="B167" s="20">
        <v>45931</v>
      </c>
      <c r="C167" s="118" t="str">
        <f>LEFT(Table1[[#This Row],[Project No]],2)</f>
        <v>HF</v>
      </c>
      <c r="D167" s="17" t="s">
        <v>1998</v>
      </c>
      <c r="E167" s="33" t="s">
        <v>1070</v>
      </c>
      <c r="F167" s="18" t="s">
        <v>10</v>
      </c>
      <c r="G167" s="19">
        <v>978.72</v>
      </c>
      <c r="H167" s="18">
        <v>210167450</v>
      </c>
      <c r="I167" s="18" t="s">
        <v>155</v>
      </c>
      <c r="J167" s="119">
        <f>SUMIF(OpenInvoices!C:C,Table1[[#This Row],[Invoice No]],OpenInvoices!N:N)</f>
        <v>0</v>
      </c>
      <c r="K167" s="119">
        <f>IF(Table1[[#This Row],[Outstanding]]=0,Table1[[#This Row],[Invoice Amount]],Table1[[#This Row],[Outstanding]]-Table1[[#This Row],[Invoice Amount]])</f>
        <v>978.72</v>
      </c>
    </row>
    <row r="168" spans="1:11" x14ac:dyDescent="0.2">
      <c r="A168" s="18">
        <v>1</v>
      </c>
      <c r="B168" s="20">
        <v>45931</v>
      </c>
      <c r="C168" s="118" t="str">
        <f>LEFT(Table1[[#This Row],[Project No]],2)</f>
        <v>HF</v>
      </c>
      <c r="D168" s="17" t="s">
        <v>2075</v>
      </c>
      <c r="E168" s="33" t="s">
        <v>21</v>
      </c>
      <c r="F168" s="18" t="s">
        <v>31</v>
      </c>
      <c r="G168" s="19">
        <v>2826.57</v>
      </c>
      <c r="H168" s="18">
        <v>210167451</v>
      </c>
      <c r="I168" s="18" t="s">
        <v>155</v>
      </c>
      <c r="J168" s="119">
        <f>SUMIF(OpenInvoices!C:C,Table1[[#This Row],[Invoice No]],OpenInvoices!N:N)</f>
        <v>0</v>
      </c>
      <c r="K168" s="119">
        <f>IF(Table1[[#This Row],[Outstanding]]=0,Table1[[#This Row],[Invoice Amount]],Table1[[#This Row],[Outstanding]]-Table1[[#This Row],[Invoice Amount]])</f>
        <v>2826.57</v>
      </c>
    </row>
    <row r="169" spans="1:11" x14ac:dyDescent="0.2">
      <c r="A169" s="18">
        <v>1</v>
      </c>
      <c r="B169" s="20">
        <v>45931</v>
      </c>
      <c r="C169" s="118" t="str">
        <f>LEFT(Table1[[#This Row],[Project No]],2)</f>
        <v>HJ</v>
      </c>
      <c r="D169" s="17" t="s">
        <v>1369</v>
      </c>
      <c r="E169" s="33" t="s">
        <v>624</v>
      </c>
      <c r="F169" s="18" t="s">
        <v>10</v>
      </c>
      <c r="G169" s="19">
        <v>50143.07</v>
      </c>
      <c r="H169" s="18">
        <v>210167452</v>
      </c>
      <c r="I169" s="18" t="s">
        <v>155</v>
      </c>
      <c r="J169" s="119">
        <f>SUMIF(OpenInvoices!C:C,Table1[[#This Row],[Invoice No]],OpenInvoices!N:N)</f>
        <v>0</v>
      </c>
      <c r="K169" s="119">
        <f>IF(Table1[[#This Row],[Outstanding]]=0,Table1[[#This Row],[Invoice Amount]],Table1[[#This Row],[Outstanding]]-Table1[[#This Row],[Invoice Amount]])</f>
        <v>50143.07</v>
      </c>
    </row>
    <row r="170" spans="1:11" x14ac:dyDescent="0.2">
      <c r="A170" s="18">
        <v>1</v>
      </c>
      <c r="B170" s="20">
        <v>45931</v>
      </c>
      <c r="C170" s="118" t="str">
        <f>LEFT(Table1[[#This Row],[Project No]],2)</f>
        <v>HJ</v>
      </c>
      <c r="D170" s="17" t="s">
        <v>1997</v>
      </c>
      <c r="E170" s="33" t="s">
        <v>1710</v>
      </c>
      <c r="F170" s="18" t="s">
        <v>10</v>
      </c>
      <c r="G170" s="19">
        <v>4596.5600000000004</v>
      </c>
      <c r="H170" s="18">
        <v>210167453</v>
      </c>
      <c r="I170" s="18" t="s">
        <v>155</v>
      </c>
      <c r="J170" s="119">
        <f>SUMIF(OpenInvoices!C:C,Table1[[#This Row],[Invoice No]],OpenInvoices!N:N)</f>
        <v>0</v>
      </c>
      <c r="K170" s="119">
        <f>IF(Table1[[#This Row],[Outstanding]]=0,Table1[[#This Row],[Invoice Amount]],Table1[[#This Row],[Outstanding]]-Table1[[#This Row],[Invoice Amount]])</f>
        <v>4596.5600000000004</v>
      </c>
    </row>
    <row r="171" spans="1:11" x14ac:dyDescent="0.2">
      <c r="A171" s="18">
        <v>1</v>
      </c>
      <c r="B171" s="20">
        <v>45931</v>
      </c>
      <c r="C171" s="118" t="str">
        <f>LEFT(Table1[[#This Row],[Project No]],2)</f>
        <v>HM</v>
      </c>
      <c r="D171" s="17" t="s">
        <v>1579</v>
      </c>
      <c r="E171" s="33" t="s">
        <v>25</v>
      </c>
      <c r="F171" s="18" t="s">
        <v>10</v>
      </c>
      <c r="G171" s="19">
        <v>370.89</v>
      </c>
      <c r="H171" s="18">
        <v>210167454</v>
      </c>
      <c r="I171" s="18" t="s">
        <v>155</v>
      </c>
      <c r="J171" s="119">
        <f>SUMIF(OpenInvoices!C:C,Table1[[#This Row],[Invoice No]],OpenInvoices!N:N)</f>
        <v>0</v>
      </c>
      <c r="K171" s="119">
        <f>IF(Table1[[#This Row],[Outstanding]]=0,Table1[[#This Row],[Invoice Amount]],Table1[[#This Row],[Outstanding]]-Table1[[#This Row],[Invoice Amount]])</f>
        <v>370.89</v>
      </c>
    </row>
    <row r="172" spans="1:11" x14ac:dyDescent="0.2">
      <c r="A172" s="18">
        <v>1</v>
      </c>
      <c r="B172" s="20">
        <v>45931</v>
      </c>
      <c r="C172" s="118" t="str">
        <f>LEFT(Table1[[#This Row],[Project No]],2)</f>
        <v>HM</v>
      </c>
      <c r="D172" s="17" t="s">
        <v>1580</v>
      </c>
      <c r="E172" s="33" t="s">
        <v>1588</v>
      </c>
      <c r="F172" s="18" t="s">
        <v>1588</v>
      </c>
      <c r="G172" s="19">
        <v>13473.78</v>
      </c>
      <c r="H172" s="18">
        <v>210167455</v>
      </c>
      <c r="I172" s="18" t="s">
        <v>155</v>
      </c>
      <c r="J172" s="119">
        <f>SUMIF(OpenInvoices!C:C,Table1[[#This Row],[Invoice No]],OpenInvoices!N:N)</f>
        <v>0</v>
      </c>
      <c r="K172" s="119">
        <f>IF(Table1[[#This Row],[Outstanding]]=0,Table1[[#This Row],[Invoice Amount]],Table1[[#This Row],[Outstanding]]-Table1[[#This Row],[Invoice Amount]])</f>
        <v>13473.78</v>
      </c>
    </row>
    <row r="173" spans="1:11" x14ac:dyDescent="0.2">
      <c r="A173" s="18">
        <v>1</v>
      </c>
      <c r="B173" s="20">
        <v>45931</v>
      </c>
      <c r="C173" s="118" t="str">
        <f>LEFT(Table1[[#This Row],[Project No]],2)</f>
        <v>HM</v>
      </c>
      <c r="D173" s="17" t="s">
        <v>1581</v>
      </c>
      <c r="E173" s="33" t="s">
        <v>1590</v>
      </c>
      <c r="F173" s="18" t="s">
        <v>1590</v>
      </c>
      <c r="G173" s="19">
        <v>16484.580000000002</v>
      </c>
      <c r="H173" s="18">
        <v>210167456</v>
      </c>
      <c r="I173" s="18" t="s">
        <v>155</v>
      </c>
      <c r="J173" s="119">
        <f>SUMIF(OpenInvoices!C:C,Table1[[#This Row],[Invoice No]],OpenInvoices!N:N)</f>
        <v>0</v>
      </c>
      <c r="K173" s="119">
        <f>IF(Table1[[#This Row],[Outstanding]]=0,Table1[[#This Row],[Invoice Amount]],Table1[[#This Row],[Outstanding]]-Table1[[#This Row],[Invoice Amount]])</f>
        <v>16484.580000000002</v>
      </c>
    </row>
    <row r="174" spans="1:11" x14ac:dyDescent="0.2">
      <c r="A174" s="18">
        <v>1</v>
      </c>
      <c r="B174" s="20">
        <v>45931</v>
      </c>
      <c r="C174" s="118" t="str">
        <f>LEFT(Table1[[#This Row],[Project No]],2)</f>
        <v>HM</v>
      </c>
      <c r="D174" s="17" t="s">
        <v>1996</v>
      </c>
      <c r="E174" s="33" t="s">
        <v>1542</v>
      </c>
      <c r="F174" s="18" t="s">
        <v>2036</v>
      </c>
      <c r="G174" s="19">
        <v>1915.48</v>
      </c>
      <c r="H174" s="18">
        <v>210167457</v>
      </c>
      <c r="I174" s="18" t="s">
        <v>155</v>
      </c>
      <c r="J174" s="119">
        <f>SUMIF(OpenInvoices!C:C,Table1[[#This Row],[Invoice No]],OpenInvoices!N:N)</f>
        <v>0</v>
      </c>
      <c r="K174" s="119">
        <f>IF(Table1[[#This Row],[Outstanding]]=0,Table1[[#This Row],[Invoice Amount]],Table1[[#This Row],[Outstanding]]-Table1[[#This Row],[Invoice Amount]])</f>
        <v>1915.48</v>
      </c>
    </row>
    <row r="175" spans="1:11" x14ac:dyDescent="0.2">
      <c r="A175" s="18">
        <v>1</v>
      </c>
      <c r="B175" s="20">
        <v>45931</v>
      </c>
      <c r="C175" s="118" t="str">
        <f>LEFT(Table1[[#This Row],[Project No]],2)</f>
        <v>HM</v>
      </c>
      <c r="D175" s="17" t="s">
        <v>2076</v>
      </c>
      <c r="E175" s="33" t="s">
        <v>461</v>
      </c>
      <c r="F175" s="18" t="s">
        <v>27</v>
      </c>
      <c r="G175" s="19">
        <v>5892.58</v>
      </c>
      <c r="H175" s="18">
        <v>210167458</v>
      </c>
      <c r="I175" s="18" t="s">
        <v>155</v>
      </c>
      <c r="J175" s="119">
        <f>SUMIF(OpenInvoices!C:C,Table1[[#This Row],[Invoice No]],OpenInvoices!N:N)</f>
        <v>0</v>
      </c>
      <c r="K175" s="119">
        <f>IF(Table1[[#This Row],[Outstanding]]=0,Table1[[#This Row],[Invoice Amount]],Table1[[#This Row],[Outstanding]]-Table1[[#This Row],[Invoice Amount]])</f>
        <v>5892.58</v>
      </c>
    </row>
    <row r="176" spans="1:11" x14ac:dyDescent="0.2">
      <c r="A176" s="18">
        <v>1</v>
      </c>
      <c r="B176" s="20">
        <v>45931</v>
      </c>
      <c r="C176" s="118" t="str">
        <f>LEFT(Table1[[#This Row],[Project No]],2)</f>
        <v>HQ</v>
      </c>
      <c r="D176" s="17" t="s">
        <v>954</v>
      </c>
      <c r="E176" s="33" t="s">
        <v>38</v>
      </c>
      <c r="F176" s="18" t="s">
        <v>48</v>
      </c>
      <c r="G176" s="19">
        <v>7150.21</v>
      </c>
      <c r="H176" s="18">
        <v>210167459</v>
      </c>
      <c r="I176" s="18" t="s">
        <v>155</v>
      </c>
      <c r="J176" s="119">
        <f>SUMIF(OpenInvoices!C:C,Table1[[#This Row],[Invoice No]],OpenInvoices!N:N)</f>
        <v>0</v>
      </c>
      <c r="K176" s="119">
        <f>IF(Table1[[#This Row],[Outstanding]]=0,Table1[[#This Row],[Invoice Amount]],Table1[[#This Row],[Outstanding]]-Table1[[#This Row],[Invoice Amount]])</f>
        <v>7150.21</v>
      </c>
    </row>
    <row r="177" spans="1:11" x14ac:dyDescent="0.2">
      <c r="A177" s="18">
        <v>1</v>
      </c>
      <c r="B177" s="20">
        <v>45931</v>
      </c>
      <c r="C177" s="118" t="str">
        <f>LEFT(Table1[[#This Row],[Project No]],2)</f>
        <v>HQ</v>
      </c>
      <c r="D177" s="17" t="s">
        <v>1583</v>
      </c>
      <c r="E177" s="33" t="s">
        <v>45</v>
      </c>
      <c r="F177" s="18" t="s">
        <v>45</v>
      </c>
      <c r="G177" s="19">
        <v>14538.88</v>
      </c>
      <c r="H177" s="18">
        <v>210167460</v>
      </c>
      <c r="I177" s="18" t="s">
        <v>155</v>
      </c>
      <c r="J177" s="119">
        <f>SUMIF(OpenInvoices!C:C,Table1[[#This Row],[Invoice No]],OpenInvoices!N:N)</f>
        <v>0</v>
      </c>
      <c r="K177" s="119">
        <f>IF(Table1[[#This Row],[Outstanding]]=0,Table1[[#This Row],[Invoice Amount]],Table1[[#This Row],[Outstanding]]-Table1[[#This Row],[Invoice Amount]])</f>
        <v>14538.88</v>
      </c>
    </row>
    <row r="178" spans="1:11" x14ac:dyDescent="0.2">
      <c r="A178" s="18">
        <v>1</v>
      </c>
      <c r="B178" s="20">
        <v>45931</v>
      </c>
      <c r="C178" s="118" t="str">
        <f>LEFT(Table1[[#This Row],[Project No]],2)</f>
        <v>HQ</v>
      </c>
      <c r="D178" s="17" t="s">
        <v>2078</v>
      </c>
      <c r="E178" s="33" t="s">
        <v>26</v>
      </c>
      <c r="F178" s="18" t="s">
        <v>48</v>
      </c>
      <c r="G178" s="19">
        <v>34300.11</v>
      </c>
      <c r="H178" s="18">
        <v>210167461</v>
      </c>
      <c r="I178" s="18" t="s">
        <v>155</v>
      </c>
      <c r="J178" s="119">
        <f>SUMIF(OpenInvoices!C:C,Table1[[#This Row],[Invoice No]],OpenInvoices!N:N)</f>
        <v>0</v>
      </c>
      <c r="K178" s="119">
        <f>IF(Table1[[#This Row],[Outstanding]]=0,Table1[[#This Row],[Invoice Amount]],Table1[[#This Row],[Outstanding]]-Table1[[#This Row],[Invoice Amount]])</f>
        <v>34300.11</v>
      </c>
    </row>
    <row r="179" spans="1:11" x14ac:dyDescent="0.2">
      <c r="A179" s="18">
        <v>1</v>
      </c>
      <c r="B179" s="20">
        <v>45931</v>
      </c>
      <c r="C179" s="118" t="str">
        <f>LEFT(Table1[[#This Row],[Project No]],2)</f>
        <v>HQ</v>
      </c>
      <c r="D179" s="17" t="s">
        <v>2864</v>
      </c>
      <c r="E179" s="33" t="s">
        <v>2866</v>
      </c>
      <c r="F179" s="18" t="s">
        <v>1543</v>
      </c>
      <c r="G179" s="19">
        <v>24987.63</v>
      </c>
      <c r="H179" s="18">
        <v>210167462</v>
      </c>
      <c r="I179" s="18" t="s">
        <v>155</v>
      </c>
      <c r="J179" s="119">
        <f>SUMIF(OpenInvoices!C:C,Table1[[#This Row],[Invoice No]],OpenInvoices!N:N)</f>
        <v>0</v>
      </c>
      <c r="K179" s="119">
        <f>IF(Table1[[#This Row],[Outstanding]]=0,Table1[[#This Row],[Invoice Amount]],Table1[[#This Row],[Outstanding]]-Table1[[#This Row],[Invoice Amount]])</f>
        <v>24987.63</v>
      </c>
    </row>
    <row r="180" spans="1:11" x14ac:dyDescent="0.2">
      <c r="A180" s="18">
        <v>1</v>
      </c>
      <c r="B180" s="20">
        <v>45931</v>
      </c>
      <c r="C180" s="118" t="str">
        <f>LEFT(Table1[[#This Row],[Project No]],2)</f>
        <v>PS</v>
      </c>
      <c r="D180" s="17" t="s">
        <v>1281</v>
      </c>
      <c r="E180" s="33" t="s">
        <v>37</v>
      </c>
      <c r="F180" s="18" t="s">
        <v>31</v>
      </c>
      <c r="G180" s="19">
        <v>193350.2</v>
      </c>
      <c r="H180" s="18">
        <v>210167463</v>
      </c>
      <c r="I180" s="18" t="s">
        <v>155</v>
      </c>
      <c r="J180" s="119">
        <f>SUMIF(OpenInvoices!C:C,Table1[[#This Row],[Invoice No]],OpenInvoices!N:N)</f>
        <v>0</v>
      </c>
      <c r="K180" s="119">
        <f>IF(Table1[[#This Row],[Outstanding]]=0,Table1[[#This Row],[Invoice Amount]],Table1[[#This Row],[Outstanding]]-Table1[[#This Row],[Invoice Amount]])</f>
        <v>193350.2</v>
      </c>
    </row>
    <row r="181" spans="1:11" x14ac:dyDescent="0.2">
      <c r="A181" s="18">
        <v>1</v>
      </c>
      <c r="B181" s="20">
        <v>45931</v>
      </c>
      <c r="C181" s="118" t="str">
        <f>LEFT(Table1[[#This Row],[Project No]],2)</f>
        <v>PS</v>
      </c>
      <c r="D181" s="17" t="s">
        <v>2865</v>
      </c>
      <c r="E181" s="33" t="s">
        <v>374</v>
      </c>
      <c r="F181" s="18" t="s">
        <v>2079</v>
      </c>
      <c r="G181" s="19">
        <v>45419.71</v>
      </c>
      <c r="H181" s="18">
        <v>210167464</v>
      </c>
      <c r="I181" s="18" t="s">
        <v>155</v>
      </c>
      <c r="J181" s="119">
        <f>SUMIF(OpenInvoices!C:C,Table1[[#This Row],[Invoice No]],OpenInvoices!N:N)</f>
        <v>0</v>
      </c>
      <c r="K181" s="119">
        <f>IF(Table1[[#This Row],[Outstanding]]=0,Table1[[#This Row],[Invoice Amount]],Table1[[#This Row],[Outstanding]]-Table1[[#This Row],[Invoice Amount]])</f>
        <v>45419.71</v>
      </c>
    </row>
    <row r="182" spans="1:11" x14ac:dyDescent="0.2">
      <c r="A182" s="18">
        <v>1</v>
      </c>
      <c r="B182" s="20">
        <v>45962</v>
      </c>
      <c r="C182" s="118" t="str">
        <f>LEFT(Table1[[#This Row],[Project No]],2)</f>
        <v>A3</v>
      </c>
      <c r="D182" s="17" t="s">
        <v>2081</v>
      </c>
      <c r="E182" s="33" t="s">
        <v>2082</v>
      </c>
      <c r="F182" s="18" t="s">
        <v>2082</v>
      </c>
      <c r="G182" s="19">
        <v>139750</v>
      </c>
      <c r="H182" s="18">
        <v>210168748</v>
      </c>
      <c r="I182" s="18" t="s">
        <v>153</v>
      </c>
      <c r="J182" s="119">
        <f>SUMIF(OpenInvoices!C:C,Table1[[#This Row],[Invoice No]],OpenInvoices!N:N)</f>
        <v>0</v>
      </c>
      <c r="K182" s="119">
        <f>IF(Table1[[#This Row],[Outstanding]]=0,Table1[[#This Row],[Invoice Amount]],Table1[[#This Row],[Outstanding]]-Table1[[#This Row],[Invoice Amount]])</f>
        <v>139750</v>
      </c>
    </row>
    <row r="183" spans="1:11" x14ac:dyDescent="0.2">
      <c r="A183" s="18">
        <v>1</v>
      </c>
      <c r="B183" s="20">
        <v>45962</v>
      </c>
      <c r="C183" s="118" t="str">
        <f>LEFT(Table1[[#This Row],[Project No]],2)</f>
        <v>AJ</v>
      </c>
      <c r="D183" s="17" t="s">
        <v>2101</v>
      </c>
      <c r="E183" s="33" t="s">
        <v>1934</v>
      </c>
      <c r="F183" s="18" t="s">
        <v>1934</v>
      </c>
      <c r="G183" s="19">
        <v>89218.22</v>
      </c>
      <c r="H183" s="18">
        <v>210168749</v>
      </c>
      <c r="I183" s="18" t="s">
        <v>153</v>
      </c>
      <c r="J183" s="119">
        <f>SUMIF(OpenInvoices!C:C,Table1[[#This Row],[Invoice No]],OpenInvoices!N:N)</f>
        <v>0</v>
      </c>
      <c r="K183" s="119">
        <f>IF(Table1[[#This Row],[Outstanding]]=0,Table1[[#This Row],[Invoice Amount]],Table1[[#This Row],[Outstanding]]-Table1[[#This Row],[Invoice Amount]])</f>
        <v>89218.22</v>
      </c>
    </row>
    <row r="184" spans="1:11" x14ac:dyDescent="0.2">
      <c r="A184" s="18">
        <v>1</v>
      </c>
      <c r="B184" s="20">
        <v>45962</v>
      </c>
      <c r="C184" s="118" t="str">
        <f>LEFT(Table1[[#This Row],[Project No]],2)</f>
        <v>AM</v>
      </c>
      <c r="D184" s="17" t="s">
        <v>1549</v>
      </c>
      <c r="E184" s="33" t="s">
        <v>49</v>
      </c>
      <c r="F184" s="18" t="s">
        <v>49</v>
      </c>
      <c r="G184" s="19">
        <v>231464.04</v>
      </c>
      <c r="H184" s="18">
        <v>210168750</v>
      </c>
      <c r="I184" s="18" t="s">
        <v>153</v>
      </c>
      <c r="J184" s="119">
        <f>SUMIF(OpenInvoices!C:C,Table1[[#This Row],[Invoice No]],OpenInvoices!N:N)</f>
        <v>0</v>
      </c>
      <c r="K184" s="119">
        <f>IF(Table1[[#This Row],[Outstanding]]=0,Table1[[#This Row],[Invoice Amount]],Table1[[#This Row],[Outstanding]]-Table1[[#This Row],[Invoice Amount]])</f>
        <v>231464.04</v>
      </c>
    </row>
    <row r="185" spans="1:11" x14ac:dyDescent="0.2">
      <c r="A185" s="18">
        <v>1</v>
      </c>
      <c r="B185" s="20">
        <v>45962</v>
      </c>
      <c r="C185" s="118" t="str">
        <f>LEFT(Table1[[#This Row],[Project No]],2)</f>
        <v>AZ</v>
      </c>
      <c r="D185" s="17" t="s">
        <v>2102</v>
      </c>
      <c r="E185" s="33" t="s">
        <v>2103</v>
      </c>
      <c r="F185" s="18" t="s">
        <v>2103</v>
      </c>
      <c r="G185" s="19">
        <v>106197.3</v>
      </c>
      <c r="H185" s="18">
        <v>210168751</v>
      </c>
      <c r="I185" s="18" t="s">
        <v>153</v>
      </c>
      <c r="J185" s="119">
        <f>SUMIF(OpenInvoices!C:C,Table1[[#This Row],[Invoice No]],OpenInvoices!N:N)</f>
        <v>0</v>
      </c>
      <c r="K185" s="119">
        <f>IF(Table1[[#This Row],[Outstanding]]=0,Table1[[#This Row],[Invoice Amount]],Table1[[#This Row],[Outstanding]]-Table1[[#This Row],[Invoice Amount]])</f>
        <v>106197.3</v>
      </c>
    </row>
    <row r="186" spans="1:11" x14ac:dyDescent="0.2">
      <c r="A186" s="18">
        <v>1</v>
      </c>
      <c r="B186" s="20">
        <v>45962</v>
      </c>
      <c r="C186" s="118" t="str">
        <f>LEFT(Table1[[#This Row],[Project No]],2)</f>
        <v>BL</v>
      </c>
      <c r="D186" s="17" t="s">
        <v>3778</v>
      </c>
      <c r="E186" s="33" t="s">
        <v>1511</v>
      </c>
      <c r="F186" s="18" t="s">
        <v>1511</v>
      </c>
      <c r="G186" s="19">
        <v>370370.37</v>
      </c>
      <c r="H186" s="18">
        <v>210168752</v>
      </c>
      <c r="I186" s="18" t="s">
        <v>153</v>
      </c>
      <c r="J186" s="119">
        <f>SUMIF(OpenInvoices!C:C,Table1[[#This Row],[Invoice No]],OpenInvoices!N:N)</f>
        <v>0</v>
      </c>
      <c r="K186" s="119">
        <f>IF(Table1[[#This Row],[Outstanding]]=0,Table1[[#This Row],[Invoice Amount]],Table1[[#This Row],[Outstanding]]-Table1[[#This Row],[Invoice Amount]])</f>
        <v>370370.37</v>
      </c>
    </row>
    <row r="187" spans="1:11" x14ac:dyDescent="0.2">
      <c r="A187" s="18">
        <v>1</v>
      </c>
      <c r="B187" s="20">
        <v>45962</v>
      </c>
      <c r="C187" s="118" t="str">
        <f>LEFT(Table1[[#This Row],[Project No]],2)</f>
        <v>DF</v>
      </c>
      <c r="D187" s="17" t="s">
        <v>2084</v>
      </c>
      <c r="E187" s="33" t="s">
        <v>2085</v>
      </c>
      <c r="F187" s="18" t="s">
        <v>2085</v>
      </c>
      <c r="G187" s="19">
        <v>305000</v>
      </c>
      <c r="H187" s="18">
        <v>210168753</v>
      </c>
      <c r="I187" s="18" t="s">
        <v>153</v>
      </c>
      <c r="J187" s="119">
        <f>SUMIF(OpenInvoices!C:C,Table1[[#This Row],[Invoice No]],OpenInvoices!N:N)</f>
        <v>0</v>
      </c>
      <c r="K187" s="119">
        <f>IF(Table1[[#This Row],[Outstanding]]=0,Table1[[#This Row],[Invoice Amount]],Table1[[#This Row],[Outstanding]]-Table1[[#This Row],[Invoice Amount]])</f>
        <v>305000</v>
      </c>
    </row>
    <row r="188" spans="1:11" x14ac:dyDescent="0.2">
      <c r="A188" s="18">
        <v>1</v>
      </c>
      <c r="B188" s="20">
        <v>45962</v>
      </c>
      <c r="C188" s="118" t="str">
        <f>LEFT(Table1[[#This Row],[Project No]],2)</f>
        <v>DH</v>
      </c>
      <c r="D188" s="17" t="s">
        <v>1558</v>
      </c>
      <c r="E188" s="33" t="s">
        <v>1149</v>
      </c>
      <c r="F188" s="18" t="s">
        <v>1149</v>
      </c>
      <c r="G188" s="19">
        <v>22871</v>
      </c>
      <c r="H188" s="18">
        <v>210168754</v>
      </c>
      <c r="I188" s="18" t="s">
        <v>153</v>
      </c>
      <c r="J188" s="119">
        <f>SUMIF(OpenInvoices!C:C,Table1[[#This Row],[Invoice No]],OpenInvoices!N:N)</f>
        <v>0</v>
      </c>
      <c r="K188" s="119">
        <f>IF(Table1[[#This Row],[Outstanding]]=0,Table1[[#This Row],[Invoice Amount]],Table1[[#This Row],[Outstanding]]-Table1[[#This Row],[Invoice Amount]])</f>
        <v>22871</v>
      </c>
    </row>
    <row r="189" spans="1:11" x14ac:dyDescent="0.2">
      <c r="A189" s="18">
        <v>1</v>
      </c>
      <c r="B189" s="20">
        <v>45962</v>
      </c>
      <c r="C189" s="118" t="str">
        <f>LEFT(Table1[[#This Row],[Project No]],2)</f>
        <v>DK</v>
      </c>
      <c r="D189" s="17" t="s">
        <v>2052</v>
      </c>
      <c r="E189" s="33" t="s">
        <v>2053</v>
      </c>
      <c r="F189" s="18" t="s">
        <v>2053</v>
      </c>
      <c r="G189" s="19">
        <v>500000</v>
      </c>
      <c r="H189" s="18">
        <v>210168755</v>
      </c>
      <c r="I189" s="18" t="s">
        <v>153</v>
      </c>
      <c r="J189" s="119">
        <f>SUMIF(OpenInvoices!C:C,Table1[[#This Row],[Invoice No]],OpenInvoices!N:N)</f>
        <v>0</v>
      </c>
      <c r="K189" s="119">
        <f>IF(Table1[[#This Row],[Outstanding]]=0,Table1[[#This Row],[Invoice Amount]],Table1[[#This Row],[Outstanding]]-Table1[[#This Row],[Invoice Amount]])</f>
        <v>500000</v>
      </c>
    </row>
    <row r="190" spans="1:11" x14ac:dyDescent="0.2">
      <c r="A190" s="18">
        <v>1</v>
      </c>
      <c r="B190" s="20">
        <v>45962</v>
      </c>
      <c r="C190" s="118" t="str">
        <f>LEFT(Table1[[#This Row],[Project No]],2)</f>
        <v>DU</v>
      </c>
      <c r="D190" s="17" t="s">
        <v>3779</v>
      </c>
      <c r="E190" s="33" t="s">
        <v>1518</v>
      </c>
      <c r="F190" s="18" t="s">
        <v>1518</v>
      </c>
      <c r="G190" s="19">
        <v>41759.9</v>
      </c>
      <c r="H190" s="18">
        <v>210168756</v>
      </c>
      <c r="I190" s="18" t="s">
        <v>153</v>
      </c>
      <c r="J190" s="119">
        <f>SUMIF(OpenInvoices!C:C,Table1[[#This Row],[Invoice No]],OpenInvoices!N:N)</f>
        <v>0</v>
      </c>
      <c r="K190" s="119">
        <f>IF(Table1[[#This Row],[Outstanding]]=0,Table1[[#This Row],[Invoice Amount]],Table1[[#This Row],[Outstanding]]-Table1[[#This Row],[Invoice Amount]])</f>
        <v>41759.9</v>
      </c>
    </row>
    <row r="191" spans="1:11" x14ac:dyDescent="0.2">
      <c r="A191" s="18">
        <v>1</v>
      </c>
      <c r="B191" s="20">
        <v>45962</v>
      </c>
      <c r="C191" s="118" t="str">
        <f>LEFT(Table1[[#This Row],[Project No]],2)</f>
        <v>HS</v>
      </c>
      <c r="D191" s="17" t="s">
        <v>2086</v>
      </c>
      <c r="E191" s="33" t="s">
        <v>949</v>
      </c>
      <c r="F191" s="18" t="s">
        <v>949</v>
      </c>
      <c r="G191" s="19">
        <v>49255.09</v>
      </c>
      <c r="H191" s="18">
        <v>210168757</v>
      </c>
      <c r="I191" s="18" t="s">
        <v>153</v>
      </c>
      <c r="J191" s="119">
        <f>SUMIF(OpenInvoices!C:C,Table1[[#This Row],[Invoice No]],OpenInvoices!N:N)</f>
        <v>0</v>
      </c>
      <c r="K191" s="119">
        <f>IF(Table1[[#This Row],[Outstanding]]=0,Table1[[#This Row],[Invoice Amount]],Table1[[#This Row],[Outstanding]]-Table1[[#This Row],[Invoice Amount]])</f>
        <v>49255.09</v>
      </c>
    </row>
    <row r="192" spans="1:11" x14ac:dyDescent="0.2">
      <c r="A192" s="18">
        <v>1</v>
      </c>
      <c r="B192" s="20">
        <v>45962</v>
      </c>
      <c r="C192" s="118" t="str">
        <f>LEFT(Table1[[#This Row],[Project No]],2)</f>
        <v>A4</v>
      </c>
      <c r="D192" s="17" t="s">
        <v>1453</v>
      </c>
      <c r="E192" s="33" t="s">
        <v>55</v>
      </c>
      <c r="F192" s="18" t="s">
        <v>53</v>
      </c>
      <c r="G192" s="19">
        <v>1807.16</v>
      </c>
      <c r="H192" s="18">
        <v>210168824</v>
      </c>
      <c r="I192" s="18" t="s">
        <v>155</v>
      </c>
      <c r="J192" s="119">
        <f>SUMIF(OpenInvoices!C:C,Table1[[#This Row],[Invoice No]],OpenInvoices!N:N)</f>
        <v>0</v>
      </c>
      <c r="K192" s="119">
        <f>IF(Table1[[#This Row],[Outstanding]]=0,Table1[[#This Row],[Invoice Amount]],Table1[[#This Row],[Outstanding]]-Table1[[#This Row],[Invoice Amount]])</f>
        <v>1807.16</v>
      </c>
    </row>
    <row r="193" spans="1:11" x14ac:dyDescent="0.2">
      <c r="A193" s="18">
        <v>1</v>
      </c>
      <c r="B193" s="20">
        <v>45962</v>
      </c>
      <c r="C193" s="118" t="str">
        <f>LEFT(Table1[[#This Row],[Project No]],2)</f>
        <v>AE</v>
      </c>
      <c r="D193" s="17" t="s">
        <v>960</v>
      </c>
      <c r="E193" s="33" t="s">
        <v>37</v>
      </c>
      <c r="F193" s="18" t="s">
        <v>36</v>
      </c>
      <c r="G193" s="19">
        <v>8792.82</v>
      </c>
      <c r="H193" s="18">
        <v>210168825</v>
      </c>
      <c r="I193" s="18" t="s">
        <v>155</v>
      </c>
      <c r="J193" s="119">
        <f>SUMIF(OpenInvoices!C:C,Table1[[#This Row],[Invoice No]],OpenInvoices!N:N)</f>
        <v>0</v>
      </c>
      <c r="K193" s="119">
        <f>IF(Table1[[#This Row],[Outstanding]]=0,Table1[[#This Row],[Invoice Amount]],Table1[[#This Row],[Outstanding]]-Table1[[#This Row],[Invoice Amount]])</f>
        <v>8792.82</v>
      </c>
    </row>
    <row r="194" spans="1:11" x14ac:dyDescent="0.2">
      <c r="A194" s="18">
        <v>1</v>
      </c>
      <c r="B194" s="20">
        <v>45962</v>
      </c>
      <c r="C194" s="118" t="str">
        <f>LEFT(Table1[[#This Row],[Project No]],2)</f>
        <v>AF</v>
      </c>
      <c r="D194" s="17" t="s">
        <v>725</v>
      </c>
      <c r="E194" s="33" t="s">
        <v>41</v>
      </c>
      <c r="F194" s="18" t="s">
        <v>31</v>
      </c>
      <c r="G194" s="19">
        <v>20827.82</v>
      </c>
      <c r="H194" s="18">
        <v>210168826</v>
      </c>
      <c r="I194" s="18" t="s">
        <v>155</v>
      </c>
      <c r="J194" s="119">
        <f>SUMIF(OpenInvoices!C:C,Table1[[#This Row],[Invoice No]],OpenInvoices!N:N)</f>
        <v>0</v>
      </c>
      <c r="K194" s="119">
        <f>IF(Table1[[#This Row],[Outstanding]]=0,Table1[[#This Row],[Invoice Amount]],Table1[[#This Row],[Outstanding]]-Table1[[#This Row],[Invoice Amount]])</f>
        <v>20827.82</v>
      </c>
    </row>
    <row r="195" spans="1:11" x14ac:dyDescent="0.2">
      <c r="A195" s="18">
        <v>1</v>
      </c>
      <c r="B195" s="20">
        <v>45962</v>
      </c>
      <c r="C195" s="118" t="str">
        <f>LEFT(Table1[[#This Row],[Project No]],2)</f>
        <v>AL</v>
      </c>
      <c r="D195" s="17" t="s">
        <v>1597</v>
      </c>
      <c r="E195" s="33" t="s">
        <v>48</v>
      </c>
      <c r="F195" s="18" t="s">
        <v>48</v>
      </c>
      <c r="G195" s="19">
        <v>157471.98000000001</v>
      </c>
      <c r="H195" s="18">
        <v>210168827</v>
      </c>
      <c r="I195" s="18" t="s">
        <v>155</v>
      </c>
      <c r="J195" s="119">
        <f>SUMIF(OpenInvoices!C:C,Table1[[#This Row],[Invoice No]],OpenInvoices!N:N)</f>
        <v>0</v>
      </c>
      <c r="K195" s="119">
        <f>IF(Table1[[#This Row],[Outstanding]]=0,Table1[[#This Row],[Invoice Amount]],Table1[[#This Row],[Outstanding]]-Table1[[#This Row],[Invoice Amount]])</f>
        <v>157471.98000000001</v>
      </c>
    </row>
    <row r="196" spans="1:11" x14ac:dyDescent="0.2">
      <c r="A196" s="18">
        <v>1</v>
      </c>
      <c r="B196" s="20">
        <v>45962</v>
      </c>
      <c r="C196" s="118" t="str">
        <f>LEFT(Table1[[#This Row],[Project No]],2)</f>
        <v>BA</v>
      </c>
      <c r="D196" s="17" t="s">
        <v>817</v>
      </c>
      <c r="E196" s="33" t="s">
        <v>42</v>
      </c>
      <c r="F196" s="18" t="s">
        <v>36</v>
      </c>
      <c r="G196" s="19">
        <v>1897.4</v>
      </c>
      <c r="H196" s="18">
        <v>210168828</v>
      </c>
      <c r="I196" s="18" t="s">
        <v>155</v>
      </c>
      <c r="J196" s="119">
        <f>SUMIF(OpenInvoices!C:C,Table1[[#This Row],[Invoice No]],OpenInvoices!N:N)</f>
        <v>0</v>
      </c>
      <c r="K196" s="119">
        <f>IF(Table1[[#This Row],[Outstanding]]=0,Table1[[#This Row],[Invoice Amount]],Table1[[#This Row],[Outstanding]]-Table1[[#This Row],[Invoice Amount]])</f>
        <v>1897.4</v>
      </c>
    </row>
    <row r="197" spans="1:11" x14ac:dyDescent="0.2">
      <c r="A197" s="18">
        <v>1</v>
      </c>
      <c r="B197" s="20">
        <v>45962</v>
      </c>
      <c r="C197" s="118" t="str">
        <f>LEFT(Table1[[#This Row],[Project No]],2)</f>
        <v>BZ</v>
      </c>
      <c r="D197" s="17" t="s">
        <v>61</v>
      </c>
      <c r="E197" s="33" t="s">
        <v>64</v>
      </c>
      <c r="F197" s="18" t="s">
        <v>10</v>
      </c>
      <c r="G197" s="19">
        <v>970.46</v>
      </c>
      <c r="H197" s="18">
        <v>210168829</v>
      </c>
      <c r="I197" s="18" t="s">
        <v>155</v>
      </c>
      <c r="J197" s="119">
        <f>SUMIF(OpenInvoices!C:C,Table1[[#This Row],[Invoice No]],OpenInvoices!N:N)</f>
        <v>0</v>
      </c>
      <c r="K197" s="119">
        <f>IF(Table1[[#This Row],[Outstanding]]=0,Table1[[#This Row],[Invoice Amount]],Table1[[#This Row],[Outstanding]]-Table1[[#This Row],[Invoice Amount]])</f>
        <v>970.46</v>
      </c>
    </row>
    <row r="198" spans="1:11" x14ac:dyDescent="0.2">
      <c r="A198" s="18">
        <v>1</v>
      </c>
      <c r="B198" s="20">
        <v>45962</v>
      </c>
      <c r="C198" s="118" t="str">
        <f>LEFT(Table1[[#This Row],[Project No]],2)</f>
        <v>BZ</v>
      </c>
      <c r="D198" s="17" t="s">
        <v>1493</v>
      </c>
      <c r="E198" s="33" t="s">
        <v>1492</v>
      </c>
      <c r="F198" s="18" t="s">
        <v>10</v>
      </c>
      <c r="G198" s="19">
        <v>10583.2</v>
      </c>
      <c r="H198" s="18">
        <v>210168830</v>
      </c>
      <c r="I198" s="18" t="s">
        <v>155</v>
      </c>
      <c r="J198" s="119">
        <f>SUMIF(OpenInvoices!C:C,Table1[[#This Row],[Invoice No]],OpenInvoices!N:N)</f>
        <v>0</v>
      </c>
      <c r="K198" s="119">
        <f>IF(Table1[[#This Row],[Outstanding]]=0,Table1[[#This Row],[Invoice Amount]],Table1[[#This Row],[Outstanding]]-Table1[[#This Row],[Invoice Amount]])</f>
        <v>10583.2</v>
      </c>
    </row>
    <row r="199" spans="1:11" x14ac:dyDescent="0.2">
      <c r="A199" s="18">
        <v>1</v>
      </c>
      <c r="B199" s="20">
        <v>45962</v>
      </c>
      <c r="C199" s="118" t="str">
        <f>LEFT(Table1[[#This Row],[Project No]],2)</f>
        <v>BZ</v>
      </c>
      <c r="D199" s="17" t="s">
        <v>1598</v>
      </c>
      <c r="E199" s="33" t="s">
        <v>1605</v>
      </c>
      <c r="F199" s="18" t="s">
        <v>1511</v>
      </c>
      <c r="G199" s="19">
        <v>7194.28</v>
      </c>
      <c r="H199" s="18">
        <v>210168831</v>
      </c>
      <c r="I199" s="18" t="s">
        <v>155</v>
      </c>
      <c r="J199" s="119">
        <f>SUMIF(OpenInvoices!C:C,Table1[[#This Row],[Invoice No]],OpenInvoices!N:N)</f>
        <v>0</v>
      </c>
      <c r="K199" s="119">
        <f>IF(Table1[[#This Row],[Outstanding]]=0,Table1[[#This Row],[Invoice Amount]],Table1[[#This Row],[Outstanding]]-Table1[[#This Row],[Invoice Amount]])</f>
        <v>7194.28</v>
      </c>
    </row>
    <row r="200" spans="1:11" x14ac:dyDescent="0.2">
      <c r="A200" s="18">
        <v>1</v>
      </c>
      <c r="B200" s="20">
        <v>45962</v>
      </c>
      <c r="C200" s="118" t="str">
        <f>LEFT(Table1[[#This Row],[Project No]],2)</f>
        <v>BZ</v>
      </c>
      <c r="D200" s="17" t="s">
        <v>3780</v>
      </c>
      <c r="E200" s="33" t="s">
        <v>3784</v>
      </c>
      <c r="F200" s="18" t="s">
        <v>10</v>
      </c>
      <c r="G200" s="19">
        <v>5075.74</v>
      </c>
      <c r="H200" s="18">
        <v>210168832</v>
      </c>
      <c r="I200" s="18" t="s">
        <v>155</v>
      </c>
      <c r="J200" s="119">
        <f>SUMIF(OpenInvoices!C:C,Table1[[#This Row],[Invoice No]],OpenInvoices!N:N)</f>
        <v>0</v>
      </c>
      <c r="K200" s="119">
        <f>IF(Table1[[#This Row],[Outstanding]]=0,Table1[[#This Row],[Invoice Amount]],Table1[[#This Row],[Outstanding]]-Table1[[#This Row],[Invoice Amount]])</f>
        <v>5075.74</v>
      </c>
    </row>
    <row r="201" spans="1:11" x14ac:dyDescent="0.2">
      <c r="A201" s="18">
        <v>1</v>
      </c>
      <c r="B201" s="20">
        <v>45962</v>
      </c>
      <c r="C201" s="118" t="str">
        <f>LEFT(Table1[[#This Row],[Project No]],2)</f>
        <v>BZ</v>
      </c>
      <c r="D201" s="17" t="s">
        <v>2862</v>
      </c>
      <c r="E201" s="33" t="s">
        <v>807</v>
      </c>
      <c r="F201" s="18" t="s">
        <v>10</v>
      </c>
      <c r="G201" s="19">
        <v>2865.97</v>
      </c>
      <c r="H201" s="18">
        <v>210168833</v>
      </c>
      <c r="I201" s="18" t="s">
        <v>155</v>
      </c>
      <c r="J201" s="119">
        <f>SUMIF(OpenInvoices!C:C,Table1[[#This Row],[Invoice No]],OpenInvoices!N:N)</f>
        <v>0</v>
      </c>
      <c r="K201" s="119">
        <f>IF(Table1[[#This Row],[Outstanding]]=0,Table1[[#This Row],[Invoice Amount]],Table1[[#This Row],[Outstanding]]-Table1[[#This Row],[Invoice Amount]])</f>
        <v>2865.97</v>
      </c>
    </row>
    <row r="202" spans="1:11" x14ac:dyDescent="0.2">
      <c r="A202" s="18">
        <v>1</v>
      </c>
      <c r="B202" s="20">
        <v>45962</v>
      </c>
      <c r="C202" s="118" t="str">
        <f>LEFT(Table1[[#This Row],[Project No]],2)</f>
        <v>BZ</v>
      </c>
      <c r="D202" s="17" t="s">
        <v>3588</v>
      </c>
      <c r="E202" s="33" t="s">
        <v>3586</v>
      </c>
      <c r="F202" s="18" t="s">
        <v>906</v>
      </c>
      <c r="G202" s="19">
        <v>3783.39</v>
      </c>
      <c r="H202" s="18">
        <v>210168834</v>
      </c>
      <c r="I202" s="18" t="s">
        <v>155</v>
      </c>
      <c r="J202" s="119">
        <f>SUMIF(OpenInvoices!C:C,Table1[[#This Row],[Invoice No]],OpenInvoices!N:N)</f>
        <v>0</v>
      </c>
      <c r="K202" s="119">
        <f>IF(Table1[[#This Row],[Outstanding]]=0,Table1[[#This Row],[Invoice Amount]],Table1[[#This Row],[Outstanding]]-Table1[[#This Row],[Invoice Amount]])</f>
        <v>3783.39</v>
      </c>
    </row>
    <row r="203" spans="1:11" x14ac:dyDescent="0.2">
      <c r="A203" s="18">
        <v>1</v>
      </c>
      <c r="B203" s="20">
        <v>45962</v>
      </c>
      <c r="C203" s="118" t="str">
        <f>LEFT(Table1[[#This Row],[Project No]],2)</f>
        <v>BZ</v>
      </c>
      <c r="D203" s="17" t="s">
        <v>3781</v>
      </c>
      <c r="E203" s="33" t="s">
        <v>620</v>
      </c>
      <c r="F203" s="18" t="s">
        <v>10</v>
      </c>
      <c r="G203" s="19">
        <v>3060.8</v>
      </c>
      <c r="H203" s="18">
        <v>210168835</v>
      </c>
      <c r="I203" s="18" t="s">
        <v>155</v>
      </c>
      <c r="J203" s="119">
        <f>SUMIF(OpenInvoices!C:C,Table1[[#This Row],[Invoice No]],OpenInvoices!N:N)</f>
        <v>0</v>
      </c>
      <c r="K203" s="119">
        <f>IF(Table1[[#This Row],[Outstanding]]=0,Table1[[#This Row],[Invoice Amount]],Table1[[#This Row],[Outstanding]]-Table1[[#This Row],[Invoice Amount]])</f>
        <v>3060.8</v>
      </c>
    </row>
    <row r="204" spans="1:11" x14ac:dyDescent="0.2">
      <c r="A204" s="18">
        <v>1</v>
      </c>
      <c r="B204" s="20">
        <v>45962</v>
      </c>
      <c r="C204" s="118" t="str">
        <f>LEFT(Table1[[#This Row],[Project No]],2)</f>
        <v>CB</v>
      </c>
      <c r="D204" s="17" t="s">
        <v>961</v>
      </c>
      <c r="E204" s="33" t="s">
        <v>54</v>
      </c>
      <c r="F204" s="18" t="s">
        <v>53</v>
      </c>
      <c r="G204" s="19">
        <v>33031.93</v>
      </c>
      <c r="H204" s="18">
        <v>210168836</v>
      </c>
      <c r="I204" s="18" t="s">
        <v>155</v>
      </c>
      <c r="J204" s="119">
        <f>SUMIF(OpenInvoices!C:C,Table1[[#This Row],[Invoice No]],OpenInvoices!N:N)</f>
        <v>33031.93</v>
      </c>
      <c r="K204" s="119">
        <f>IF(Table1[[#This Row],[Outstanding]]=0,Table1[[#This Row],[Invoice Amount]],Table1[[#This Row],[Outstanding]]-Table1[[#This Row],[Invoice Amount]])</f>
        <v>0</v>
      </c>
    </row>
    <row r="205" spans="1:11" x14ac:dyDescent="0.2">
      <c r="A205" s="18">
        <v>1</v>
      </c>
      <c r="B205" s="20">
        <v>45962</v>
      </c>
      <c r="C205" s="118" t="str">
        <f>LEFT(Table1[[#This Row],[Project No]],2)</f>
        <v>CF</v>
      </c>
      <c r="D205" s="17" t="s">
        <v>1494</v>
      </c>
      <c r="E205" s="33" t="s">
        <v>1486</v>
      </c>
      <c r="F205" s="18" t="s">
        <v>1486</v>
      </c>
      <c r="G205" s="19">
        <v>16792.849999999999</v>
      </c>
      <c r="H205" s="18">
        <v>210168837</v>
      </c>
      <c r="I205" s="18" t="s">
        <v>155</v>
      </c>
      <c r="J205" s="119">
        <f>SUMIF(OpenInvoices!C:C,Table1[[#This Row],[Invoice No]],OpenInvoices!N:N)</f>
        <v>0</v>
      </c>
      <c r="K205" s="119">
        <f>IF(Table1[[#This Row],[Outstanding]]=0,Table1[[#This Row],[Invoice Amount]],Table1[[#This Row],[Outstanding]]-Table1[[#This Row],[Invoice Amount]])</f>
        <v>16792.849999999999</v>
      </c>
    </row>
    <row r="206" spans="1:11" x14ac:dyDescent="0.2">
      <c r="A206" s="18">
        <v>1</v>
      </c>
      <c r="B206" s="20">
        <v>45962</v>
      </c>
      <c r="C206" s="118" t="str">
        <f>LEFT(Table1[[#This Row],[Project No]],2)</f>
        <v>CZ</v>
      </c>
      <c r="D206" s="17" t="s">
        <v>2051</v>
      </c>
      <c r="E206" s="33" t="s">
        <v>47</v>
      </c>
      <c r="F206" s="18" t="s">
        <v>36</v>
      </c>
      <c r="G206" s="19">
        <v>17727.259999999998</v>
      </c>
      <c r="H206" s="18">
        <v>210168838</v>
      </c>
      <c r="I206" s="18" t="s">
        <v>155</v>
      </c>
      <c r="J206" s="119">
        <f>SUMIF(OpenInvoices!C:C,Table1[[#This Row],[Invoice No]],OpenInvoices!N:N)</f>
        <v>0</v>
      </c>
      <c r="K206" s="119">
        <f>IF(Table1[[#This Row],[Outstanding]]=0,Table1[[#This Row],[Invoice Amount]],Table1[[#This Row],[Outstanding]]-Table1[[#This Row],[Invoice Amount]])</f>
        <v>17727.259999999998</v>
      </c>
    </row>
    <row r="207" spans="1:11" x14ac:dyDescent="0.2">
      <c r="A207" s="18">
        <v>1</v>
      </c>
      <c r="B207" s="20">
        <v>45962</v>
      </c>
      <c r="C207" s="118" t="str">
        <f>LEFT(Table1[[#This Row],[Project No]],2)</f>
        <v>DF</v>
      </c>
      <c r="D207" s="17" t="s">
        <v>2090</v>
      </c>
      <c r="E207" s="33" t="s">
        <v>37</v>
      </c>
      <c r="F207" s="18" t="s">
        <v>10</v>
      </c>
      <c r="G207" s="19">
        <v>32994.61</v>
      </c>
      <c r="H207" s="18">
        <v>210168839</v>
      </c>
      <c r="I207" s="18" t="s">
        <v>155</v>
      </c>
      <c r="J207" s="119">
        <f>SUMIF(OpenInvoices!C:C,Table1[[#This Row],[Invoice No]],OpenInvoices!N:N)</f>
        <v>0</v>
      </c>
      <c r="K207" s="119">
        <f>IF(Table1[[#This Row],[Outstanding]]=0,Table1[[#This Row],[Invoice Amount]],Table1[[#This Row],[Outstanding]]-Table1[[#This Row],[Invoice Amount]])</f>
        <v>32994.61</v>
      </c>
    </row>
    <row r="208" spans="1:11" x14ac:dyDescent="0.2">
      <c r="A208" s="18">
        <v>1</v>
      </c>
      <c r="B208" s="20">
        <v>45962</v>
      </c>
      <c r="C208" s="118" t="str">
        <f>LEFT(Table1[[#This Row],[Project No]],2)</f>
        <v>DJ</v>
      </c>
      <c r="D208" s="17" t="s">
        <v>1599</v>
      </c>
      <c r="E208" s="33" t="s">
        <v>34</v>
      </c>
      <c r="F208" s="18" t="s">
        <v>31</v>
      </c>
      <c r="G208" s="19">
        <v>20430.28</v>
      </c>
      <c r="H208" s="18">
        <v>210168840</v>
      </c>
      <c r="I208" s="18" t="s">
        <v>155</v>
      </c>
      <c r="J208" s="119">
        <f>SUMIF(OpenInvoices!C:C,Table1[[#This Row],[Invoice No]],OpenInvoices!N:N)</f>
        <v>0</v>
      </c>
      <c r="K208" s="119">
        <f>IF(Table1[[#This Row],[Outstanding]]=0,Table1[[#This Row],[Invoice Amount]],Table1[[#This Row],[Outstanding]]-Table1[[#This Row],[Invoice Amount]])</f>
        <v>20430.28</v>
      </c>
    </row>
    <row r="209" spans="1:11" x14ac:dyDescent="0.2">
      <c r="A209" s="18">
        <v>1</v>
      </c>
      <c r="B209" s="20">
        <v>45962</v>
      </c>
      <c r="C209" s="118" t="str">
        <f>LEFT(Table1[[#This Row],[Project No]],2)</f>
        <v>DJ</v>
      </c>
      <c r="D209" s="17" t="s">
        <v>2243</v>
      </c>
      <c r="E209" s="33" t="s">
        <v>54</v>
      </c>
      <c r="F209" s="18" t="s">
        <v>31</v>
      </c>
      <c r="G209" s="19">
        <v>66766.820000000007</v>
      </c>
      <c r="H209" s="18">
        <v>210168841</v>
      </c>
      <c r="I209" s="18" t="s">
        <v>155</v>
      </c>
      <c r="J209" s="119">
        <f>SUMIF(OpenInvoices!C:C,Table1[[#This Row],[Invoice No]],OpenInvoices!N:N)</f>
        <v>66766.820000000007</v>
      </c>
      <c r="K209" s="119">
        <f>IF(Table1[[#This Row],[Outstanding]]=0,Table1[[#This Row],[Invoice Amount]],Table1[[#This Row],[Outstanding]]-Table1[[#This Row],[Invoice Amount]])</f>
        <v>0</v>
      </c>
    </row>
    <row r="210" spans="1:11" x14ac:dyDescent="0.2">
      <c r="A210" s="18">
        <v>1</v>
      </c>
      <c r="B210" s="20">
        <v>45962</v>
      </c>
      <c r="C210" s="118" t="str">
        <f>LEFT(Table1[[#This Row],[Project No]],2)</f>
        <v>DK</v>
      </c>
      <c r="D210" s="17" t="s">
        <v>658</v>
      </c>
      <c r="E210" s="33" t="s">
        <v>471</v>
      </c>
      <c r="F210" s="18" t="s">
        <v>31</v>
      </c>
      <c r="G210" s="19">
        <v>1462.69</v>
      </c>
      <c r="H210" s="18">
        <v>210168842</v>
      </c>
      <c r="I210" s="18" t="s">
        <v>155</v>
      </c>
      <c r="J210" s="119">
        <f>SUMIF(OpenInvoices!C:C,Table1[[#This Row],[Invoice No]],OpenInvoices!N:N)</f>
        <v>0</v>
      </c>
      <c r="K210" s="119">
        <f>IF(Table1[[#This Row],[Outstanding]]=0,Table1[[#This Row],[Invoice Amount]],Table1[[#This Row],[Outstanding]]-Table1[[#This Row],[Invoice Amount]])</f>
        <v>1462.69</v>
      </c>
    </row>
    <row r="211" spans="1:11" x14ac:dyDescent="0.2">
      <c r="A211" s="18">
        <v>1</v>
      </c>
      <c r="B211" s="20">
        <v>45962</v>
      </c>
      <c r="C211" s="118" t="str">
        <f>LEFT(Table1[[#This Row],[Project No]],2)</f>
        <v>DM</v>
      </c>
      <c r="D211" s="17" t="s">
        <v>1239</v>
      </c>
      <c r="E211" s="33" t="s">
        <v>29</v>
      </c>
      <c r="F211" s="18" t="s">
        <v>31</v>
      </c>
      <c r="G211" s="19">
        <v>22292.55</v>
      </c>
      <c r="H211" s="18">
        <v>210168843</v>
      </c>
      <c r="I211" s="18" t="s">
        <v>155</v>
      </c>
      <c r="J211" s="119">
        <f>SUMIF(OpenInvoices!C:C,Table1[[#This Row],[Invoice No]],OpenInvoices!N:N)</f>
        <v>0</v>
      </c>
      <c r="K211" s="119">
        <f>IF(Table1[[#This Row],[Outstanding]]=0,Table1[[#This Row],[Invoice Amount]],Table1[[#This Row],[Outstanding]]-Table1[[#This Row],[Invoice Amount]])</f>
        <v>22292.55</v>
      </c>
    </row>
    <row r="212" spans="1:11" x14ac:dyDescent="0.2">
      <c r="A212" s="18">
        <v>1</v>
      </c>
      <c r="B212" s="20">
        <v>45962</v>
      </c>
      <c r="C212" s="118" t="str">
        <f>LEFT(Table1[[#This Row],[Project No]],2)</f>
        <v>DN</v>
      </c>
      <c r="D212" s="17" t="s">
        <v>655</v>
      </c>
      <c r="E212" s="33" t="s">
        <v>40</v>
      </c>
      <c r="F212" s="18" t="s">
        <v>31</v>
      </c>
      <c r="G212" s="19">
        <v>37339.54</v>
      </c>
      <c r="H212" s="18">
        <v>210168844</v>
      </c>
      <c r="I212" s="18" t="s">
        <v>155</v>
      </c>
      <c r="J212" s="119">
        <f>SUMIF(OpenInvoices!C:C,Table1[[#This Row],[Invoice No]],OpenInvoices!N:N)</f>
        <v>0</v>
      </c>
      <c r="K212" s="119">
        <f>IF(Table1[[#This Row],[Outstanding]]=0,Table1[[#This Row],[Invoice Amount]],Table1[[#This Row],[Outstanding]]-Table1[[#This Row],[Invoice Amount]])</f>
        <v>37339.54</v>
      </c>
    </row>
    <row r="213" spans="1:11" x14ac:dyDescent="0.2">
      <c r="A213" s="18">
        <v>1</v>
      </c>
      <c r="B213" s="20">
        <v>45962</v>
      </c>
      <c r="C213" s="118" t="str">
        <f>LEFT(Table1[[#This Row],[Project No]],2)</f>
        <v>ET</v>
      </c>
      <c r="D213" s="17" t="s">
        <v>3629</v>
      </c>
      <c r="E213" s="33" t="s">
        <v>37</v>
      </c>
      <c r="F213" s="18" t="s">
        <v>35</v>
      </c>
      <c r="G213" s="19">
        <v>3638</v>
      </c>
      <c r="H213" s="18">
        <v>210168845</v>
      </c>
      <c r="I213" s="18" t="s">
        <v>155</v>
      </c>
      <c r="J213" s="119">
        <f>SUMIF(OpenInvoices!C:C,Table1[[#This Row],[Invoice No]],OpenInvoices!N:N)</f>
        <v>0</v>
      </c>
      <c r="K213" s="119">
        <f>IF(Table1[[#This Row],[Outstanding]]=0,Table1[[#This Row],[Invoice Amount]],Table1[[#This Row],[Outstanding]]-Table1[[#This Row],[Invoice Amount]])</f>
        <v>3638</v>
      </c>
    </row>
    <row r="214" spans="1:11" x14ac:dyDescent="0.2">
      <c r="A214" s="18">
        <v>1</v>
      </c>
      <c r="B214" s="20">
        <v>45962</v>
      </c>
      <c r="C214" s="118" t="str">
        <f>LEFT(Table1[[#This Row],[Project No]],2)</f>
        <v>H5</v>
      </c>
      <c r="D214" s="17" t="s">
        <v>1240</v>
      </c>
      <c r="E214" s="18" t="s">
        <v>38</v>
      </c>
      <c r="F214" s="18" t="s">
        <v>48</v>
      </c>
      <c r="G214" s="19">
        <v>3544.39</v>
      </c>
      <c r="H214" s="18">
        <v>210168846</v>
      </c>
      <c r="I214" s="18" t="s">
        <v>155</v>
      </c>
      <c r="J214" s="119">
        <f>SUMIF(OpenInvoices!C:C,Table1[[#This Row],[Invoice No]],OpenInvoices!N:N)</f>
        <v>0</v>
      </c>
      <c r="K214" s="119">
        <f>IF(Table1[[#This Row],[Outstanding]]=0,Table1[[#This Row],[Invoice Amount]],Table1[[#This Row],[Outstanding]]-Table1[[#This Row],[Invoice Amount]])</f>
        <v>3544.39</v>
      </c>
    </row>
    <row r="215" spans="1:11" x14ac:dyDescent="0.2">
      <c r="A215" s="18">
        <v>1</v>
      </c>
      <c r="B215" s="20">
        <v>45962</v>
      </c>
      <c r="C215" s="118" t="str">
        <f>LEFT(Table1[[#This Row],[Project No]],2)</f>
        <v>HB</v>
      </c>
      <c r="D215" s="17" t="s">
        <v>3782</v>
      </c>
      <c r="E215" s="18" t="s">
        <v>415</v>
      </c>
      <c r="F215" s="18" t="s">
        <v>415</v>
      </c>
      <c r="G215" s="19">
        <v>9734</v>
      </c>
      <c r="H215" s="18">
        <v>210168847</v>
      </c>
      <c r="I215" s="18" t="s">
        <v>155</v>
      </c>
      <c r="J215" s="119">
        <f>SUMIF(OpenInvoices!C:C,Table1[[#This Row],[Invoice No]],OpenInvoices!N:N)</f>
        <v>0</v>
      </c>
      <c r="K215" s="119">
        <f>IF(Table1[[#This Row],[Outstanding]]=0,Table1[[#This Row],[Invoice Amount]],Table1[[#This Row],[Outstanding]]-Table1[[#This Row],[Invoice Amount]])</f>
        <v>9734</v>
      </c>
    </row>
    <row r="216" spans="1:11" x14ac:dyDescent="0.2">
      <c r="A216" s="18">
        <v>1</v>
      </c>
      <c r="B216" s="20">
        <v>45962</v>
      </c>
      <c r="C216" s="118" t="str">
        <f>LEFT(Table1[[#This Row],[Project No]],2)</f>
        <v>HE</v>
      </c>
      <c r="D216" s="17" t="s">
        <v>2863</v>
      </c>
      <c r="E216" s="18" t="s">
        <v>1197</v>
      </c>
      <c r="F216" s="18" t="s">
        <v>955</v>
      </c>
      <c r="G216" s="19">
        <v>21960.11</v>
      </c>
      <c r="H216" s="18">
        <v>210168848</v>
      </c>
      <c r="I216" s="18" t="s">
        <v>155</v>
      </c>
      <c r="J216" s="119">
        <f>SUMIF(OpenInvoices!C:C,Table1[[#This Row],[Invoice No]],OpenInvoices!N:N)</f>
        <v>0</v>
      </c>
      <c r="K216" s="119">
        <f>IF(Table1[[#This Row],[Outstanding]]=0,Table1[[#This Row],[Invoice Amount]],Table1[[#This Row],[Outstanding]]-Table1[[#This Row],[Invoice Amount]])</f>
        <v>21960.11</v>
      </c>
    </row>
    <row r="217" spans="1:11" x14ac:dyDescent="0.2">
      <c r="A217" s="18">
        <v>1</v>
      </c>
      <c r="B217" s="20">
        <v>45962</v>
      </c>
      <c r="C217" s="118" t="str">
        <f>LEFT(Table1[[#This Row],[Project No]],2)</f>
        <v>HM</v>
      </c>
      <c r="D217" s="17" t="s">
        <v>2210</v>
      </c>
      <c r="E217" s="18" t="s">
        <v>906</v>
      </c>
      <c r="F217" s="18" t="s">
        <v>906</v>
      </c>
      <c r="G217" s="19">
        <v>9305.36</v>
      </c>
      <c r="H217" s="18">
        <v>210168849</v>
      </c>
      <c r="I217" s="18" t="s">
        <v>155</v>
      </c>
      <c r="J217" s="119">
        <f>SUMIF(OpenInvoices!C:C,Table1[[#This Row],[Invoice No]],OpenInvoices!N:N)</f>
        <v>0</v>
      </c>
      <c r="K217" s="119">
        <f>IF(Table1[[#This Row],[Outstanding]]=0,Table1[[#This Row],[Invoice Amount]],Table1[[#This Row],[Outstanding]]-Table1[[#This Row],[Invoice Amount]])</f>
        <v>9305.36</v>
      </c>
    </row>
    <row r="218" spans="1:11" x14ac:dyDescent="0.2">
      <c r="A218" s="18">
        <v>1</v>
      </c>
      <c r="B218" s="20">
        <v>45962</v>
      </c>
      <c r="C218" s="118" t="str">
        <f>LEFT(Table1[[#This Row],[Project No]],2)</f>
        <v>HM</v>
      </c>
      <c r="D218" s="17" t="s">
        <v>3680</v>
      </c>
      <c r="E218" s="18" t="s">
        <v>3678</v>
      </c>
      <c r="F218" s="18" t="s">
        <v>3678</v>
      </c>
      <c r="G218" s="19">
        <v>6805.8</v>
      </c>
      <c r="H218" s="18">
        <v>210168850</v>
      </c>
      <c r="I218" s="18" t="s">
        <v>155</v>
      </c>
      <c r="J218" s="119">
        <f>SUMIF(OpenInvoices!C:C,Table1[[#This Row],[Invoice No]],OpenInvoices!N:N)</f>
        <v>0</v>
      </c>
      <c r="K218" s="119">
        <f>IF(Table1[[#This Row],[Outstanding]]=0,Table1[[#This Row],[Invoice Amount]],Table1[[#This Row],[Outstanding]]-Table1[[#This Row],[Invoice Amount]])</f>
        <v>6805.8</v>
      </c>
    </row>
    <row r="219" spans="1:11" x14ac:dyDescent="0.2">
      <c r="A219" s="18">
        <v>1</v>
      </c>
      <c r="B219" s="20">
        <v>45962</v>
      </c>
      <c r="C219" s="118" t="str">
        <f>LEFT(Table1[[#This Row],[Project No]],2)</f>
        <v>HM</v>
      </c>
      <c r="D219" s="17" t="s">
        <v>3668</v>
      </c>
      <c r="E219" s="18" t="s">
        <v>33</v>
      </c>
      <c r="F219" s="18" t="s">
        <v>48</v>
      </c>
      <c r="G219" s="19">
        <v>2638</v>
      </c>
      <c r="H219" s="18">
        <v>210168851</v>
      </c>
      <c r="I219" s="18" t="s">
        <v>155</v>
      </c>
      <c r="J219" s="119">
        <f>SUMIF(OpenInvoices!C:C,Table1[[#This Row],[Invoice No]],OpenInvoices!N:N)</f>
        <v>0</v>
      </c>
      <c r="K219" s="119">
        <f>IF(Table1[[#This Row],[Outstanding]]=0,Table1[[#This Row],[Invoice Amount]],Table1[[#This Row],[Outstanding]]-Table1[[#This Row],[Invoice Amount]])</f>
        <v>2638</v>
      </c>
    </row>
    <row r="220" spans="1:11" x14ac:dyDescent="0.2">
      <c r="A220" s="18">
        <v>1</v>
      </c>
      <c r="B220" s="20">
        <v>45962</v>
      </c>
      <c r="C220" s="118" t="str">
        <f>LEFT(Table1[[#This Row],[Project No]],2)</f>
        <v>HM</v>
      </c>
      <c r="D220" s="17" t="s">
        <v>3218</v>
      </c>
      <c r="E220" s="18" t="s">
        <v>3216</v>
      </c>
      <c r="F220" s="18" t="s">
        <v>27</v>
      </c>
      <c r="G220" s="19">
        <v>16745.28</v>
      </c>
      <c r="H220" s="18">
        <v>210168852</v>
      </c>
      <c r="I220" s="18" t="s">
        <v>155</v>
      </c>
      <c r="J220" s="119">
        <f>SUMIF(OpenInvoices!C:C,Table1[[#This Row],[Invoice No]],OpenInvoices!N:N)</f>
        <v>16745.28</v>
      </c>
      <c r="K220" s="119">
        <f>IF(Table1[[#This Row],[Outstanding]]=0,Table1[[#This Row],[Invoice Amount]],Table1[[#This Row],[Outstanding]]-Table1[[#This Row],[Invoice Amount]])</f>
        <v>0</v>
      </c>
    </row>
    <row r="221" spans="1:11" x14ac:dyDescent="0.2">
      <c r="A221" s="18">
        <v>1</v>
      </c>
      <c r="B221" s="20">
        <v>45962</v>
      </c>
      <c r="C221" s="118" t="str">
        <f>LEFT(Table1[[#This Row],[Project No]],2)</f>
        <v>HQ</v>
      </c>
      <c r="D221" s="17" t="s">
        <v>1159</v>
      </c>
      <c r="E221" s="18" t="s">
        <v>37</v>
      </c>
      <c r="F221" s="18" t="s">
        <v>27</v>
      </c>
      <c r="G221" s="19">
        <v>48127.11</v>
      </c>
      <c r="H221" s="18">
        <v>210168853</v>
      </c>
      <c r="I221" s="18" t="s">
        <v>155</v>
      </c>
      <c r="J221" s="119">
        <f>SUMIF(OpenInvoices!C:C,Table1[[#This Row],[Invoice No]],OpenInvoices!N:N)</f>
        <v>48127.11</v>
      </c>
      <c r="K221" s="119">
        <f>IF(Table1[[#This Row],[Outstanding]]=0,Table1[[#This Row],[Invoice Amount]],Table1[[#This Row],[Outstanding]]-Table1[[#This Row],[Invoice Amount]])</f>
        <v>0</v>
      </c>
    </row>
    <row r="222" spans="1:11" x14ac:dyDescent="0.2">
      <c r="A222" s="18">
        <v>1</v>
      </c>
      <c r="B222" s="20">
        <v>45962</v>
      </c>
      <c r="C222" s="118" t="str">
        <f>LEFT(Table1[[#This Row],[Project No]],2)</f>
        <v>M3</v>
      </c>
      <c r="D222" s="17" t="s">
        <v>1603</v>
      </c>
      <c r="E222" s="18" t="s">
        <v>54</v>
      </c>
      <c r="F222" s="18" t="s">
        <v>36</v>
      </c>
      <c r="G222" s="19">
        <v>29491.56</v>
      </c>
      <c r="H222" s="18">
        <v>210168854</v>
      </c>
      <c r="I222" s="18" t="s">
        <v>155</v>
      </c>
      <c r="J222" s="119">
        <f>SUMIF(OpenInvoices!C:C,Table1[[#This Row],[Invoice No]],OpenInvoices!N:N)</f>
        <v>29491.56</v>
      </c>
      <c r="K222" s="119">
        <f>IF(Table1[[#This Row],[Outstanding]]=0,Table1[[#This Row],[Invoice Amount]],Table1[[#This Row],[Outstanding]]-Table1[[#This Row],[Invoice Amount]])</f>
        <v>0</v>
      </c>
    </row>
    <row r="223" spans="1:11" x14ac:dyDescent="0.2">
      <c r="A223" s="18">
        <v>1</v>
      </c>
      <c r="B223" s="20">
        <v>45962</v>
      </c>
      <c r="C223" s="118" t="str">
        <f>LEFT(Table1[[#This Row],[Project No]],2)</f>
        <v>M3</v>
      </c>
      <c r="D223" s="17" t="s">
        <v>3783</v>
      </c>
      <c r="E223" s="18" t="s">
        <v>3785</v>
      </c>
      <c r="F223" s="18" t="s">
        <v>3786</v>
      </c>
      <c r="G223" s="19">
        <v>2497.3000000000002</v>
      </c>
      <c r="H223" s="18">
        <v>210168855</v>
      </c>
      <c r="I223" s="18" t="s">
        <v>155</v>
      </c>
      <c r="J223" s="119">
        <f>SUMIF(OpenInvoices!C:C,Table1[[#This Row],[Invoice No]],OpenInvoices!N:N)</f>
        <v>0</v>
      </c>
      <c r="K223" s="119">
        <f>IF(Table1[[#This Row],[Outstanding]]=0,Table1[[#This Row],[Invoice Amount]],Table1[[#This Row],[Outstanding]]-Table1[[#This Row],[Invoice Amount]])</f>
        <v>2497.3000000000002</v>
      </c>
    </row>
    <row r="224" spans="1:11" x14ac:dyDescent="0.2">
      <c r="A224" s="18">
        <v>1</v>
      </c>
      <c r="B224" s="20">
        <v>45992</v>
      </c>
      <c r="C224" s="118" t="str">
        <f>LEFT(Table1[[#This Row],[Project No]],2)</f>
        <v>HF</v>
      </c>
      <c r="D224" s="17" t="s">
        <v>2054</v>
      </c>
      <c r="E224" s="18" t="s">
        <v>10</v>
      </c>
      <c r="G224" s="19">
        <v>6794</v>
      </c>
      <c r="H224" s="18">
        <v>1210169837</v>
      </c>
      <c r="I224" s="18" t="s">
        <v>153</v>
      </c>
      <c r="J224" s="119">
        <f>SUMIF(OpenInvoices!C:C,Table1[[#This Row],[Invoice No]],OpenInvoices!N:N)</f>
        <v>0</v>
      </c>
      <c r="K224" s="119">
        <f>IF(Table1[[#This Row],[Outstanding]]=0,Table1[[#This Row],[Invoice Amount]],Table1[[#This Row],[Outstanding]]-Table1[[#This Row],[Invoice Amount]])</f>
        <v>6794</v>
      </c>
    </row>
    <row r="225" spans="1:11" x14ac:dyDescent="0.2">
      <c r="A225" s="18">
        <v>1</v>
      </c>
      <c r="B225" s="20">
        <v>45992</v>
      </c>
      <c r="C225" s="118" t="str">
        <f>LEFT(Table1[[#This Row],[Project No]],2)</f>
        <v>BB</v>
      </c>
      <c r="D225" s="17" t="s">
        <v>1614</v>
      </c>
      <c r="E225" s="18" t="s">
        <v>63</v>
      </c>
      <c r="G225" s="19">
        <v>125000</v>
      </c>
      <c r="H225" s="18">
        <v>210169832</v>
      </c>
      <c r="I225" s="18" t="s">
        <v>153</v>
      </c>
      <c r="J225" s="119">
        <f>SUMIF(OpenInvoices!C:C,Table1[[#This Row],[Invoice No]],OpenInvoices!N:N)</f>
        <v>0</v>
      </c>
      <c r="K225" s="119">
        <f>IF(Table1[[#This Row],[Outstanding]]=0,Table1[[#This Row],[Invoice Amount]],Table1[[#This Row],[Outstanding]]-Table1[[#This Row],[Invoice Amount]])</f>
        <v>125000</v>
      </c>
    </row>
    <row r="226" spans="1:11" x14ac:dyDescent="0.2">
      <c r="A226" s="18">
        <v>1</v>
      </c>
      <c r="B226" s="20">
        <v>45992</v>
      </c>
      <c r="C226" s="118" t="str">
        <f>LEFT(Table1[[#This Row],[Project No]],2)</f>
        <v>BZ</v>
      </c>
      <c r="D226" s="17" t="s">
        <v>2093</v>
      </c>
      <c r="E226" s="18" t="s">
        <v>2094</v>
      </c>
      <c r="G226" s="19">
        <v>2066.1799999999998</v>
      </c>
      <c r="H226" s="18">
        <v>210169833</v>
      </c>
      <c r="I226" s="18" t="s">
        <v>153</v>
      </c>
      <c r="J226" s="119">
        <f>SUMIF(OpenInvoices!C:C,Table1[[#This Row],[Invoice No]],OpenInvoices!N:N)</f>
        <v>2066.1799999999998</v>
      </c>
      <c r="K226" s="119">
        <f>IF(Table1[[#This Row],[Outstanding]]=0,Table1[[#This Row],[Invoice Amount]],Table1[[#This Row],[Outstanding]]-Table1[[#This Row],[Invoice Amount]])</f>
        <v>0</v>
      </c>
    </row>
    <row r="227" spans="1:11" x14ac:dyDescent="0.2">
      <c r="A227" s="18">
        <v>1</v>
      </c>
      <c r="B227" s="20">
        <v>45992</v>
      </c>
      <c r="C227" s="118" t="str">
        <f>LEFT(Table1[[#This Row],[Project No]],2)</f>
        <v>H7</v>
      </c>
      <c r="D227" s="17" t="s">
        <v>1506</v>
      </c>
      <c r="E227" s="18" t="s">
        <v>949</v>
      </c>
      <c r="G227" s="19">
        <v>20750.990000000002</v>
      </c>
      <c r="H227" s="18">
        <v>210169834</v>
      </c>
      <c r="I227" s="18" t="s">
        <v>153</v>
      </c>
      <c r="J227" s="119">
        <f>SUMIF(OpenInvoices!C:C,Table1[[#This Row],[Invoice No]],OpenInvoices!N:N)</f>
        <v>20750.990000000002</v>
      </c>
      <c r="K227" s="119">
        <f>IF(Table1[[#This Row],[Outstanding]]=0,Table1[[#This Row],[Invoice Amount]],Table1[[#This Row],[Outstanding]]-Table1[[#This Row],[Invoice Amount]])</f>
        <v>0</v>
      </c>
    </row>
    <row r="228" spans="1:11" x14ac:dyDescent="0.2">
      <c r="A228" s="18">
        <v>1</v>
      </c>
      <c r="B228" s="20">
        <v>45992</v>
      </c>
      <c r="C228" s="118" t="str">
        <f>LEFT(Table1[[#This Row],[Project No]],2)</f>
        <v>H7</v>
      </c>
      <c r="D228" s="17" t="s">
        <v>1146</v>
      </c>
      <c r="E228" s="18" t="s">
        <v>949</v>
      </c>
      <c r="G228" s="19">
        <v>29645.26</v>
      </c>
      <c r="H228" s="18">
        <v>210169835</v>
      </c>
      <c r="I228" s="18" t="s">
        <v>153</v>
      </c>
      <c r="J228" s="119">
        <f>SUMIF(OpenInvoices!C:C,Table1[[#This Row],[Invoice No]],OpenInvoices!N:N)</f>
        <v>0</v>
      </c>
      <c r="K228" s="119">
        <f>IF(Table1[[#This Row],[Outstanding]]=0,Table1[[#This Row],[Invoice Amount]],Table1[[#This Row],[Outstanding]]-Table1[[#This Row],[Invoice Amount]])</f>
        <v>29645.26</v>
      </c>
    </row>
    <row r="229" spans="1:11" x14ac:dyDescent="0.2">
      <c r="A229" s="18">
        <v>1</v>
      </c>
      <c r="B229" s="20">
        <v>45992</v>
      </c>
      <c r="C229" s="118" t="str">
        <f>LEFT(Table1[[#This Row],[Project No]],2)</f>
        <v>H7</v>
      </c>
      <c r="D229" s="17" t="s">
        <v>1524</v>
      </c>
      <c r="E229" s="18" t="s">
        <v>949</v>
      </c>
      <c r="G229" s="19">
        <v>120455.35</v>
      </c>
      <c r="H229" s="18">
        <v>210169836</v>
      </c>
      <c r="I229" s="18" t="s">
        <v>153</v>
      </c>
      <c r="J229" s="119">
        <f>SUMIF(OpenInvoices!C:C,Table1[[#This Row],[Invoice No]],OpenInvoices!N:N)</f>
        <v>0</v>
      </c>
      <c r="K229" s="119">
        <f>IF(Table1[[#This Row],[Outstanding]]=0,Table1[[#This Row],[Invoice Amount]],Table1[[#This Row],[Outstanding]]-Table1[[#This Row],[Invoice Amount]])</f>
        <v>120455.35</v>
      </c>
    </row>
    <row r="230" spans="1:11" x14ac:dyDescent="0.2">
      <c r="A230" s="18">
        <v>1</v>
      </c>
      <c r="B230" s="20">
        <v>45992</v>
      </c>
      <c r="C230" s="118" t="str">
        <f>LEFT(Table1[[#This Row],[Project No]],2)</f>
        <v>HF</v>
      </c>
      <c r="D230" s="17" t="s">
        <v>2096</v>
      </c>
      <c r="E230" s="18" t="s">
        <v>10</v>
      </c>
      <c r="G230" s="19">
        <v>74552</v>
      </c>
      <c r="H230" s="18">
        <v>210169838</v>
      </c>
      <c r="I230" s="18" t="s">
        <v>153</v>
      </c>
      <c r="J230" s="119">
        <f>SUMIF(OpenInvoices!C:C,Table1[[#This Row],[Invoice No]],OpenInvoices!N:N)</f>
        <v>0</v>
      </c>
      <c r="K230" s="119">
        <f>IF(Table1[[#This Row],[Outstanding]]=0,Table1[[#This Row],[Invoice Amount]],Table1[[#This Row],[Outstanding]]-Table1[[#This Row],[Invoice Amount]])</f>
        <v>74552</v>
      </c>
    </row>
    <row r="231" spans="1:11" x14ac:dyDescent="0.2">
      <c r="A231" s="18">
        <v>1</v>
      </c>
      <c r="B231" s="20">
        <v>45992</v>
      </c>
      <c r="C231" s="118" t="str">
        <f>LEFT(Table1[[#This Row],[Project No]],2)</f>
        <v>AL</v>
      </c>
      <c r="D231" s="17" t="s">
        <v>6505</v>
      </c>
      <c r="E231" s="18" t="s">
        <v>46</v>
      </c>
      <c r="F231" s="18" t="s">
        <v>27</v>
      </c>
      <c r="G231" s="19">
        <v>20.81</v>
      </c>
      <c r="H231" s="18">
        <v>210169841</v>
      </c>
      <c r="I231" s="18" t="s">
        <v>155</v>
      </c>
      <c r="J231" s="119">
        <f>SUMIF(OpenInvoices!C:C,Table1[[#This Row],[Invoice No]],OpenInvoices!N:N)</f>
        <v>0</v>
      </c>
      <c r="K231" s="119">
        <f>IF(Table1[[#This Row],[Outstanding]]=0,Table1[[#This Row],[Invoice Amount]],Table1[[#This Row],[Outstanding]]-Table1[[#This Row],[Invoice Amount]])</f>
        <v>20.81</v>
      </c>
    </row>
    <row r="232" spans="1:11" x14ac:dyDescent="0.2">
      <c r="A232" s="18">
        <v>1</v>
      </c>
      <c r="B232" s="20">
        <v>45992</v>
      </c>
      <c r="C232" s="118" t="str">
        <f>LEFT(Table1[[#This Row],[Project No]],2)</f>
        <v>EP</v>
      </c>
      <c r="D232" s="17" t="s">
        <v>3755</v>
      </c>
      <c r="E232" s="18" t="s">
        <v>3758</v>
      </c>
      <c r="F232" s="18" t="s">
        <v>1540</v>
      </c>
      <c r="G232" s="19">
        <v>7319.03</v>
      </c>
      <c r="H232" s="18">
        <v>210169869</v>
      </c>
      <c r="I232" s="18" t="s">
        <v>155</v>
      </c>
      <c r="J232" s="119">
        <f>SUMIF(OpenInvoices!C:C,Table1[[#This Row],[Invoice No]],OpenInvoices!N:N)</f>
        <v>0</v>
      </c>
      <c r="K232" s="119">
        <f>IF(Table1[[#This Row],[Outstanding]]=0,Table1[[#This Row],[Invoice Amount]],Table1[[#This Row],[Outstanding]]-Table1[[#This Row],[Invoice Amount]])</f>
        <v>7319.03</v>
      </c>
    </row>
    <row r="233" spans="1:11" x14ac:dyDescent="0.2">
      <c r="A233" s="18">
        <v>1</v>
      </c>
      <c r="B233" s="20">
        <v>45992</v>
      </c>
      <c r="C233" s="118" t="str">
        <f>LEFT(Table1[[#This Row],[Project No]],2)</f>
        <v>HF</v>
      </c>
      <c r="D233" s="17" t="s">
        <v>1536</v>
      </c>
      <c r="E233" s="18" t="s">
        <v>1543</v>
      </c>
      <c r="F233" s="18">
        <v>0</v>
      </c>
      <c r="G233" s="19">
        <v>45110.879999999997</v>
      </c>
      <c r="H233" s="18">
        <v>210169872</v>
      </c>
      <c r="I233" s="18" t="s">
        <v>155</v>
      </c>
      <c r="J233" s="119">
        <f>SUMIF(OpenInvoices!C:C,Table1[[#This Row],[Invoice No]],OpenInvoices!N:N)</f>
        <v>0</v>
      </c>
      <c r="K233" s="119">
        <f>IF(Table1[[#This Row],[Outstanding]]=0,Table1[[#This Row],[Invoice Amount]],Table1[[#This Row],[Outstanding]]-Table1[[#This Row],[Invoice Amount]])</f>
        <v>45110.879999999997</v>
      </c>
    </row>
    <row r="234" spans="1:11" x14ac:dyDescent="0.2">
      <c r="A234" s="18">
        <v>1</v>
      </c>
      <c r="B234" s="20">
        <v>45992</v>
      </c>
      <c r="C234" s="118" t="str">
        <f>LEFT(Table1[[#This Row],[Project No]],2)</f>
        <v>AL</v>
      </c>
      <c r="D234" s="17" t="s">
        <v>841</v>
      </c>
      <c r="E234" s="18" t="s">
        <v>69</v>
      </c>
      <c r="F234" s="18" t="s">
        <v>48</v>
      </c>
      <c r="G234" s="19">
        <v>71198.559999999998</v>
      </c>
      <c r="H234" s="18">
        <v>210169842</v>
      </c>
      <c r="I234" s="18" t="s">
        <v>155</v>
      </c>
      <c r="J234" s="119">
        <f>SUMIF(OpenInvoices!C:C,Table1[[#This Row],[Invoice No]],OpenInvoices!N:N)</f>
        <v>71198.559999999998</v>
      </c>
      <c r="K234" s="119">
        <f>IF(Table1[[#This Row],[Outstanding]]=0,Table1[[#This Row],[Invoice Amount]],Table1[[#This Row],[Outstanding]]-Table1[[#This Row],[Invoice Amount]])</f>
        <v>0</v>
      </c>
    </row>
    <row r="235" spans="1:11" x14ac:dyDescent="0.2">
      <c r="A235" s="18">
        <v>1</v>
      </c>
      <c r="B235" s="20">
        <v>45992</v>
      </c>
      <c r="C235" s="118" t="str">
        <f>LEFT(Table1[[#This Row],[Project No]],2)</f>
        <v>B9</v>
      </c>
      <c r="D235" s="17" t="s">
        <v>3420</v>
      </c>
      <c r="E235" s="18" t="s">
        <v>1065</v>
      </c>
      <c r="F235" s="18" t="s">
        <v>27</v>
      </c>
      <c r="G235" s="19">
        <v>56.4</v>
      </c>
      <c r="H235" s="18">
        <v>210169843</v>
      </c>
      <c r="I235" s="18" t="s">
        <v>155</v>
      </c>
      <c r="J235" s="119">
        <f>SUMIF(OpenInvoices!C:C,Table1[[#This Row],[Invoice No]],OpenInvoices!N:N)</f>
        <v>56.4</v>
      </c>
      <c r="K235" s="119">
        <f>IF(Table1[[#This Row],[Outstanding]]=0,Table1[[#This Row],[Invoice Amount]],Table1[[#This Row],[Outstanding]]-Table1[[#This Row],[Invoice Amount]])</f>
        <v>0</v>
      </c>
    </row>
    <row r="236" spans="1:11" x14ac:dyDescent="0.2">
      <c r="A236" s="18">
        <v>1</v>
      </c>
      <c r="B236" s="20">
        <v>45992</v>
      </c>
      <c r="C236" s="118" t="str">
        <f>LEFT(Table1[[#This Row],[Project No]],2)</f>
        <v>BK</v>
      </c>
      <c r="D236" s="17" t="s">
        <v>1464</v>
      </c>
      <c r="E236" s="18" t="s">
        <v>1463</v>
      </c>
      <c r="F236" s="18" t="s">
        <v>1539</v>
      </c>
      <c r="G236" s="19">
        <v>6544.95</v>
      </c>
      <c r="H236" s="18">
        <v>210169844</v>
      </c>
      <c r="I236" s="18" t="s">
        <v>155</v>
      </c>
      <c r="J236" s="119">
        <f>SUMIF(OpenInvoices!C:C,Table1[[#This Row],[Invoice No]],OpenInvoices!N:N)</f>
        <v>0</v>
      </c>
      <c r="K236" s="119">
        <f>IF(Table1[[#This Row],[Outstanding]]=0,Table1[[#This Row],[Invoice Amount]],Table1[[#This Row],[Outstanding]]-Table1[[#This Row],[Invoice Amount]])</f>
        <v>6544.95</v>
      </c>
    </row>
    <row r="237" spans="1:11" x14ac:dyDescent="0.2">
      <c r="A237" s="18">
        <v>1</v>
      </c>
      <c r="B237" s="20">
        <v>45992</v>
      </c>
      <c r="C237" s="118" t="str">
        <f>LEFT(Table1[[#This Row],[Project No]],2)</f>
        <v>BL</v>
      </c>
      <c r="D237" s="17" t="s">
        <v>1059</v>
      </c>
      <c r="E237" s="18" t="s">
        <v>469</v>
      </c>
      <c r="F237" s="18" t="s">
        <v>48</v>
      </c>
      <c r="G237" s="19">
        <v>19436.03</v>
      </c>
      <c r="H237" s="18">
        <v>210169845</v>
      </c>
      <c r="I237" s="18" t="s">
        <v>155</v>
      </c>
      <c r="J237" s="119">
        <f>SUMIF(OpenInvoices!C:C,Table1[[#This Row],[Invoice No]],OpenInvoices!N:N)</f>
        <v>0</v>
      </c>
      <c r="K237" s="119">
        <f>IF(Table1[[#This Row],[Outstanding]]=0,Table1[[#This Row],[Invoice Amount]],Table1[[#This Row],[Outstanding]]-Table1[[#This Row],[Invoice Amount]])</f>
        <v>19436.03</v>
      </c>
    </row>
    <row r="238" spans="1:11" x14ac:dyDescent="0.2">
      <c r="A238" s="18">
        <v>1</v>
      </c>
      <c r="B238" s="20">
        <v>45992</v>
      </c>
      <c r="C238" s="118" t="str">
        <f>LEFT(Table1[[#This Row],[Project No]],2)</f>
        <v>BL</v>
      </c>
      <c r="D238" s="17" t="s">
        <v>1527</v>
      </c>
      <c r="E238" s="18" t="s">
        <v>41</v>
      </c>
      <c r="F238" s="18" t="s">
        <v>30</v>
      </c>
      <c r="G238" s="19">
        <v>3687.54</v>
      </c>
      <c r="H238" s="18">
        <v>210169846</v>
      </c>
      <c r="I238" s="18" t="s">
        <v>155</v>
      </c>
      <c r="J238" s="119">
        <f>SUMIF(OpenInvoices!C:C,Table1[[#This Row],[Invoice No]],OpenInvoices!N:N)</f>
        <v>0</v>
      </c>
      <c r="K238" s="119">
        <f>IF(Table1[[#This Row],[Outstanding]]=0,Table1[[#This Row],[Invoice Amount]],Table1[[#This Row],[Outstanding]]-Table1[[#This Row],[Invoice Amount]])</f>
        <v>3687.54</v>
      </c>
    </row>
    <row r="239" spans="1:11" x14ac:dyDescent="0.2">
      <c r="A239" s="18">
        <v>1</v>
      </c>
      <c r="B239" s="20">
        <v>45992</v>
      </c>
      <c r="C239" s="118" t="str">
        <f>LEFT(Table1[[#This Row],[Project No]],2)</f>
        <v>BL</v>
      </c>
      <c r="D239" s="17" t="s">
        <v>1620</v>
      </c>
      <c r="E239" s="18" t="s">
        <v>40</v>
      </c>
      <c r="F239" s="18" t="s">
        <v>31</v>
      </c>
      <c r="G239" s="19">
        <v>104633.01</v>
      </c>
      <c r="H239" s="18">
        <v>210169847</v>
      </c>
      <c r="I239" s="18" t="s">
        <v>155</v>
      </c>
      <c r="J239" s="119">
        <f>SUMIF(OpenInvoices!C:C,Table1[[#This Row],[Invoice No]],OpenInvoices!N:N)</f>
        <v>0</v>
      </c>
      <c r="K239" s="119">
        <f>IF(Table1[[#This Row],[Outstanding]]=0,Table1[[#This Row],[Invoice Amount]],Table1[[#This Row],[Outstanding]]-Table1[[#This Row],[Invoice Amount]])</f>
        <v>104633.01</v>
      </c>
    </row>
    <row r="240" spans="1:11" x14ac:dyDescent="0.2">
      <c r="A240" s="18">
        <v>1</v>
      </c>
      <c r="B240" s="20">
        <v>45992</v>
      </c>
      <c r="C240" s="118" t="str">
        <f>LEFT(Table1[[#This Row],[Project No]],2)</f>
        <v>BW</v>
      </c>
      <c r="D240" s="17" t="s">
        <v>1060</v>
      </c>
      <c r="E240" s="18" t="s">
        <v>34</v>
      </c>
      <c r="F240" s="18" t="s">
        <v>337</v>
      </c>
      <c r="G240" s="19">
        <v>15459.13</v>
      </c>
      <c r="H240" s="18">
        <v>210169848</v>
      </c>
      <c r="I240" s="18" t="s">
        <v>155</v>
      </c>
      <c r="J240" s="119">
        <f>SUMIF(OpenInvoices!C:C,Table1[[#This Row],[Invoice No]],OpenInvoices!N:N)</f>
        <v>0</v>
      </c>
      <c r="K240" s="119">
        <f>IF(Table1[[#This Row],[Outstanding]]=0,Table1[[#This Row],[Invoice Amount]],Table1[[#This Row],[Outstanding]]-Table1[[#This Row],[Invoice Amount]])</f>
        <v>15459.13</v>
      </c>
    </row>
    <row r="241" spans="1:11" x14ac:dyDescent="0.2">
      <c r="A241" s="18">
        <v>1</v>
      </c>
      <c r="B241" s="20">
        <v>45992</v>
      </c>
      <c r="C241" s="118" t="str">
        <f>LEFT(Table1[[#This Row],[Project No]],2)</f>
        <v>BZ</v>
      </c>
      <c r="D241" s="17" t="s">
        <v>1528</v>
      </c>
      <c r="E241" s="18" t="s">
        <v>33</v>
      </c>
      <c r="F241" s="18" t="s">
        <v>1540</v>
      </c>
      <c r="G241" s="19">
        <v>5995.9</v>
      </c>
      <c r="H241" s="18">
        <v>210169849</v>
      </c>
      <c r="I241" s="18" t="s">
        <v>155</v>
      </c>
      <c r="J241" s="119">
        <f>SUMIF(OpenInvoices!C:C,Table1[[#This Row],[Invoice No]],OpenInvoices!N:N)</f>
        <v>0</v>
      </c>
      <c r="K241" s="119">
        <f>IF(Table1[[#This Row],[Outstanding]]=0,Table1[[#This Row],[Invoice Amount]],Table1[[#This Row],[Outstanding]]-Table1[[#This Row],[Invoice Amount]])</f>
        <v>5995.9</v>
      </c>
    </row>
    <row r="242" spans="1:11" x14ac:dyDescent="0.2">
      <c r="A242" s="18">
        <v>1</v>
      </c>
      <c r="B242" s="20">
        <v>45992</v>
      </c>
      <c r="C242" s="118" t="str">
        <f>LEFT(Table1[[#This Row],[Project No]],2)</f>
        <v>CB</v>
      </c>
      <c r="D242" s="17" t="s">
        <v>1228</v>
      </c>
      <c r="E242" s="18" t="s">
        <v>47</v>
      </c>
      <c r="F242" s="18" t="s">
        <v>53</v>
      </c>
      <c r="G242" s="19">
        <v>28030.36</v>
      </c>
      <c r="H242" s="18">
        <v>210169852</v>
      </c>
      <c r="I242" s="18" t="s">
        <v>155</v>
      </c>
      <c r="J242" s="119">
        <f>SUMIF(OpenInvoices!C:C,Table1[[#This Row],[Invoice No]],OpenInvoices!N:N)</f>
        <v>0</v>
      </c>
      <c r="K242" s="119">
        <f>IF(Table1[[#This Row],[Outstanding]]=0,Table1[[#This Row],[Invoice Amount]],Table1[[#This Row],[Outstanding]]-Table1[[#This Row],[Invoice Amount]])</f>
        <v>28030.36</v>
      </c>
    </row>
    <row r="243" spans="1:11" x14ac:dyDescent="0.2">
      <c r="A243" s="18">
        <v>1</v>
      </c>
      <c r="B243" s="20">
        <v>45992</v>
      </c>
      <c r="C243" s="118" t="str">
        <f>LEFT(Table1[[#This Row],[Project No]],2)</f>
        <v>CB</v>
      </c>
      <c r="D243" s="17" t="s">
        <v>1529</v>
      </c>
      <c r="E243" s="18" t="s">
        <v>829</v>
      </c>
      <c r="F243" s="18" t="s">
        <v>53</v>
      </c>
      <c r="G243" s="19">
        <v>936.71</v>
      </c>
      <c r="H243" s="18">
        <v>210169853</v>
      </c>
      <c r="I243" s="18" t="s">
        <v>155</v>
      </c>
      <c r="J243" s="119">
        <f>SUMIF(OpenInvoices!C:C,Table1[[#This Row],[Invoice No]],OpenInvoices!N:N)</f>
        <v>936.71</v>
      </c>
      <c r="K243" s="119">
        <f>IF(Table1[[#This Row],[Outstanding]]=0,Table1[[#This Row],[Invoice Amount]],Table1[[#This Row],[Outstanding]]-Table1[[#This Row],[Invoice Amount]])</f>
        <v>0</v>
      </c>
    </row>
    <row r="244" spans="1:11" x14ac:dyDescent="0.2">
      <c r="A244" s="18">
        <v>1</v>
      </c>
      <c r="B244" s="20">
        <v>45992</v>
      </c>
      <c r="C244" s="118" t="str">
        <f>LEFT(Table1[[#This Row],[Project No]],2)</f>
        <v>CQ</v>
      </c>
      <c r="D244" s="17" t="s">
        <v>7918</v>
      </c>
      <c r="E244" s="18" t="s">
        <v>702</v>
      </c>
      <c r="F244" s="18" t="s">
        <v>36</v>
      </c>
      <c r="G244" s="19">
        <v>11835.29</v>
      </c>
      <c r="H244" s="18">
        <v>210169855</v>
      </c>
      <c r="I244" s="18" t="s">
        <v>155</v>
      </c>
      <c r="J244" s="119">
        <f>SUMIF(OpenInvoices!C:C,Table1[[#This Row],[Invoice No]],OpenInvoices!N:N)</f>
        <v>0</v>
      </c>
      <c r="K244" s="119">
        <f>IF(Table1[[#This Row],[Outstanding]]=0,Table1[[#This Row],[Invoice Amount]],Table1[[#This Row],[Outstanding]]-Table1[[#This Row],[Invoice Amount]])</f>
        <v>11835.29</v>
      </c>
    </row>
    <row r="245" spans="1:11" x14ac:dyDescent="0.2">
      <c r="A245" s="18">
        <v>1</v>
      </c>
      <c r="B245" s="20">
        <v>45992</v>
      </c>
      <c r="C245" s="118" t="str">
        <f>LEFT(Table1[[#This Row],[Project No]],2)</f>
        <v>CY</v>
      </c>
      <c r="D245" s="17" t="s">
        <v>1530</v>
      </c>
      <c r="E245" s="18" t="s">
        <v>47</v>
      </c>
      <c r="F245" s="18" t="s">
        <v>36</v>
      </c>
      <c r="G245" s="19">
        <v>5462.17</v>
      </c>
      <c r="H245" s="18">
        <v>210169857</v>
      </c>
      <c r="I245" s="18" t="s">
        <v>155</v>
      </c>
      <c r="J245" s="119">
        <f>SUMIF(OpenInvoices!C:C,Table1[[#This Row],[Invoice No]],OpenInvoices!N:N)</f>
        <v>0</v>
      </c>
      <c r="K245" s="119">
        <f>IF(Table1[[#This Row],[Outstanding]]=0,Table1[[#This Row],[Invoice Amount]],Table1[[#This Row],[Outstanding]]-Table1[[#This Row],[Invoice Amount]])</f>
        <v>5462.17</v>
      </c>
    </row>
    <row r="246" spans="1:11" x14ac:dyDescent="0.2">
      <c r="A246" s="18">
        <v>1</v>
      </c>
      <c r="B246" s="20">
        <v>45992</v>
      </c>
      <c r="C246" s="118" t="str">
        <f>LEFT(Table1[[#This Row],[Project No]],2)</f>
        <v>DC</v>
      </c>
      <c r="D246" s="17" t="s">
        <v>1531</v>
      </c>
      <c r="E246" s="18" t="s">
        <v>21</v>
      </c>
      <c r="F246" s="18" t="s">
        <v>30</v>
      </c>
      <c r="G246" s="19">
        <v>20366.560000000001</v>
      </c>
      <c r="H246" s="18">
        <v>210169859</v>
      </c>
      <c r="I246" s="18" t="s">
        <v>155</v>
      </c>
      <c r="J246" s="119">
        <f>SUMIF(OpenInvoices!C:C,Table1[[#This Row],[Invoice No]],OpenInvoices!N:N)</f>
        <v>0</v>
      </c>
      <c r="K246" s="119">
        <f>IF(Table1[[#This Row],[Outstanding]]=0,Table1[[#This Row],[Invoice Amount]],Table1[[#This Row],[Outstanding]]-Table1[[#This Row],[Invoice Amount]])</f>
        <v>20366.560000000001</v>
      </c>
    </row>
    <row r="247" spans="1:11" x14ac:dyDescent="0.2">
      <c r="A247" s="18">
        <v>1</v>
      </c>
      <c r="B247" s="20">
        <v>45992</v>
      </c>
      <c r="C247" s="118" t="str">
        <f>LEFT(Table1[[#This Row],[Project No]],2)</f>
        <v>DF</v>
      </c>
      <c r="D247" s="17" t="s">
        <v>2100</v>
      </c>
      <c r="E247" s="18" t="s">
        <v>33</v>
      </c>
      <c r="F247" s="18" t="s">
        <v>27</v>
      </c>
      <c r="G247" s="19">
        <v>4107.4799999999996</v>
      </c>
      <c r="H247" s="18">
        <v>210169860</v>
      </c>
      <c r="I247" s="18" t="s">
        <v>155</v>
      </c>
      <c r="J247" s="119">
        <f>SUMIF(OpenInvoices!C:C,Table1[[#This Row],[Invoice No]],OpenInvoices!N:N)</f>
        <v>4107.4799999999996</v>
      </c>
      <c r="K247" s="119">
        <f>IF(Table1[[#This Row],[Outstanding]]=0,Table1[[#This Row],[Invoice Amount]],Table1[[#This Row],[Outstanding]]-Table1[[#This Row],[Invoice Amount]])</f>
        <v>0</v>
      </c>
    </row>
    <row r="248" spans="1:11" x14ac:dyDescent="0.2">
      <c r="A248" s="18">
        <v>1</v>
      </c>
      <c r="B248" s="20">
        <v>45992</v>
      </c>
      <c r="C248" s="118" t="str">
        <f>LEFT(Table1[[#This Row],[Project No]],2)</f>
        <v>DF</v>
      </c>
      <c r="D248" s="17" t="s">
        <v>3760</v>
      </c>
      <c r="E248" s="18" t="s">
        <v>454</v>
      </c>
      <c r="F248" s="18" t="s">
        <v>31</v>
      </c>
      <c r="G248" s="19">
        <v>27828.31</v>
      </c>
      <c r="H248" s="18">
        <v>210169861</v>
      </c>
      <c r="I248" s="18" t="s">
        <v>155</v>
      </c>
      <c r="J248" s="119">
        <f>SUMIF(OpenInvoices!C:C,Table1[[#This Row],[Invoice No]],OpenInvoices!N:N)</f>
        <v>0</v>
      </c>
      <c r="K248" s="119">
        <f>IF(Table1[[#This Row],[Outstanding]]=0,Table1[[#This Row],[Invoice Amount]],Table1[[#This Row],[Outstanding]]-Table1[[#This Row],[Invoice Amount]])</f>
        <v>27828.31</v>
      </c>
    </row>
    <row r="249" spans="1:11" x14ac:dyDescent="0.2">
      <c r="A249" s="18">
        <v>1</v>
      </c>
      <c r="B249" s="20">
        <v>45992</v>
      </c>
      <c r="C249" s="118" t="str">
        <f>LEFT(Table1[[#This Row],[Project No]],2)</f>
        <v>DF</v>
      </c>
      <c r="D249" s="17" t="s">
        <v>7826</v>
      </c>
      <c r="E249" s="18" t="s">
        <v>6334</v>
      </c>
      <c r="F249" s="18" t="s">
        <v>2303</v>
      </c>
      <c r="G249" s="19">
        <v>11250</v>
      </c>
      <c r="H249" s="18">
        <v>210169862</v>
      </c>
      <c r="I249" s="18" t="s">
        <v>155</v>
      </c>
      <c r="J249" s="119">
        <f>SUMIF(OpenInvoices!C:C,Table1[[#This Row],[Invoice No]],OpenInvoices!N:N)</f>
        <v>0</v>
      </c>
      <c r="K249" s="119">
        <f>IF(Table1[[#This Row],[Outstanding]]=0,Table1[[#This Row],[Invoice Amount]],Table1[[#This Row],[Outstanding]]-Table1[[#This Row],[Invoice Amount]])</f>
        <v>11250</v>
      </c>
    </row>
    <row r="250" spans="1:11" x14ac:dyDescent="0.2">
      <c r="A250" s="18">
        <v>1</v>
      </c>
      <c r="B250" s="20">
        <v>45992</v>
      </c>
      <c r="C250" s="118" t="str">
        <f>LEFT(Table1[[#This Row],[Project No]],2)</f>
        <v>DF</v>
      </c>
      <c r="D250" s="17" t="s">
        <v>7894</v>
      </c>
      <c r="E250" s="18" t="s">
        <v>6334</v>
      </c>
      <c r="F250" s="18" t="s">
        <v>2303</v>
      </c>
      <c r="G250" s="19">
        <v>11250</v>
      </c>
      <c r="H250" s="18">
        <v>210169863</v>
      </c>
      <c r="I250" s="18" t="s">
        <v>155</v>
      </c>
      <c r="J250" s="119">
        <f>SUMIF(OpenInvoices!C:C,Table1[[#This Row],[Invoice No]],OpenInvoices!N:N)</f>
        <v>0</v>
      </c>
      <c r="K250" s="119">
        <f>IF(Table1[[#This Row],[Outstanding]]=0,Table1[[#This Row],[Invoice Amount]],Table1[[#This Row],[Outstanding]]-Table1[[#This Row],[Invoice Amount]])</f>
        <v>11250</v>
      </c>
    </row>
    <row r="251" spans="1:11" x14ac:dyDescent="0.2">
      <c r="A251" s="18">
        <v>1</v>
      </c>
      <c r="B251" s="20">
        <v>45992</v>
      </c>
      <c r="C251" s="118" t="str">
        <f>LEFT(Table1[[#This Row],[Project No]],2)</f>
        <v>DG</v>
      </c>
      <c r="D251" s="17" t="s">
        <v>1532</v>
      </c>
      <c r="E251" s="18" t="s">
        <v>69</v>
      </c>
      <c r="F251" s="18" t="s">
        <v>30</v>
      </c>
      <c r="G251" s="19">
        <v>1083.0899999999999</v>
      </c>
      <c r="H251" s="18">
        <v>210169864</v>
      </c>
      <c r="I251" s="18" t="s">
        <v>155</v>
      </c>
      <c r="J251" s="119">
        <f>SUMIF(OpenInvoices!C:C,Table1[[#This Row],[Invoice No]],OpenInvoices!N:N)</f>
        <v>0</v>
      </c>
      <c r="K251" s="119">
        <f>IF(Table1[[#This Row],[Outstanding]]=0,Table1[[#This Row],[Invoice Amount]],Table1[[#This Row],[Outstanding]]-Table1[[#This Row],[Invoice Amount]])</f>
        <v>1083.0899999999999</v>
      </c>
    </row>
    <row r="252" spans="1:11" x14ac:dyDescent="0.2">
      <c r="A252" s="18">
        <v>1</v>
      </c>
      <c r="B252" s="20">
        <v>45992</v>
      </c>
      <c r="C252" s="118" t="str">
        <f>LEFT(Table1[[#This Row],[Project No]],2)</f>
        <v>DH</v>
      </c>
      <c r="D252" s="17" t="s">
        <v>1533</v>
      </c>
      <c r="E252" s="18" t="s">
        <v>25</v>
      </c>
      <c r="F252" s="18" t="s">
        <v>1541</v>
      </c>
      <c r="G252" s="19">
        <v>1633.98</v>
      </c>
      <c r="H252" s="18">
        <v>210169865</v>
      </c>
      <c r="I252" s="18" t="s">
        <v>155</v>
      </c>
      <c r="J252" s="119">
        <f>SUMIF(OpenInvoices!C:C,Table1[[#This Row],[Invoice No]],OpenInvoices!N:N)</f>
        <v>0</v>
      </c>
      <c r="K252" s="119">
        <f>IF(Table1[[#This Row],[Outstanding]]=0,Table1[[#This Row],[Invoice Amount]],Table1[[#This Row],[Outstanding]]-Table1[[#This Row],[Invoice Amount]])</f>
        <v>1633.98</v>
      </c>
    </row>
    <row r="253" spans="1:11" x14ac:dyDescent="0.2">
      <c r="A253" s="18">
        <v>1</v>
      </c>
      <c r="B253" s="20">
        <v>45992</v>
      </c>
      <c r="C253" s="118" t="str">
        <f>LEFT(Table1[[#This Row],[Project No]],2)</f>
        <v>DJ</v>
      </c>
      <c r="D253" s="17" t="s">
        <v>1534</v>
      </c>
      <c r="E253" s="18" t="s">
        <v>38</v>
      </c>
      <c r="F253" s="18" t="s">
        <v>31</v>
      </c>
      <c r="G253" s="19">
        <v>29784.02</v>
      </c>
      <c r="H253" s="18">
        <v>210169866</v>
      </c>
      <c r="I253" s="18" t="s">
        <v>155</v>
      </c>
      <c r="J253" s="119">
        <f>SUMIF(OpenInvoices!C:C,Table1[[#This Row],[Invoice No]],OpenInvoices!N:N)</f>
        <v>0</v>
      </c>
      <c r="K253" s="119">
        <f>IF(Table1[[#This Row],[Outstanding]]=0,Table1[[#This Row],[Invoice Amount]],Table1[[#This Row],[Outstanding]]-Table1[[#This Row],[Invoice Amount]])</f>
        <v>29784.02</v>
      </c>
    </row>
    <row r="254" spans="1:11" x14ac:dyDescent="0.2">
      <c r="A254" s="18">
        <v>1</v>
      </c>
      <c r="B254" s="20">
        <v>45992</v>
      </c>
      <c r="C254" s="118" t="str">
        <f>LEFT(Table1[[#This Row],[Project No]],2)</f>
        <v>DJ</v>
      </c>
      <c r="D254" s="17" t="s">
        <v>3272</v>
      </c>
      <c r="E254" s="18" t="s">
        <v>788</v>
      </c>
      <c r="F254" s="18" t="s">
        <v>31</v>
      </c>
      <c r="G254" s="19">
        <v>85298.21</v>
      </c>
      <c r="H254" s="18">
        <v>210169867</v>
      </c>
      <c r="I254" s="18" t="s">
        <v>155</v>
      </c>
      <c r="J254" s="119">
        <f>SUMIF(OpenInvoices!C:C,Table1[[#This Row],[Invoice No]],OpenInvoices!N:N)</f>
        <v>0</v>
      </c>
      <c r="K254" s="119">
        <f>IF(Table1[[#This Row],[Outstanding]]=0,Table1[[#This Row],[Invoice Amount]],Table1[[#This Row],[Outstanding]]-Table1[[#This Row],[Invoice Amount]])</f>
        <v>85298.21</v>
      </c>
    </row>
    <row r="255" spans="1:11" x14ac:dyDescent="0.2">
      <c r="A255" s="18">
        <v>1</v>
      </c>
      <c r="B255" s="20">
        <v>45992</v>
      </c>
      <c r="C255" s="118" t="str">
        <f>LEFT(Table1[[#This Row],[Project No]],2)</f>
        <v>DM</v>
      </c>
      <c r="D255" s="17" t="s">
        <v>7899</v>
      </c>
      <c r="E255" s="18" t="s">
        <v>6526</v>
      </c>
      <c r="F255" s="18">
        <v>0</v>
      </c>
      <c r="G255" s="19">
        <v>374.87</v>
      </c>
      <c r="H255" s="18">
        <v>210169868</v>
      </c>
      <c r="I255" s="18" t="s">
        <v>155</v>
      </c>
      <c r="J255" s="119">
        <f>SUMIF(OpenInvoices!C:C,Table1[[#This Row],[Invoice No]],OpenInvoices!N:N)</f>
        <v>0</v>
      </c>
      <c r="K255" s="119">
        <f>IF(Table1[[#This Row],[Outstanding]]=0,Table1[[#This Row],[Invoice Amount]],Table1[[#This Row],[Outstanding]]-Table1[[#This Row],[Invoice Amount]])</f>
        <v>374.87</v>
      </c>
    </row>
    <row r="256" spans="1:11" x14ac:dyDescent="0.2">
      <c r="A256" s="18">
        <v>1</v>
      </c>
      <c r="B256" s="20">
        <v>45992</v>
      </c>
      <c r="C256" s="118" t="str">
        <f>LEFT(Table1[[#This Row],[Project No]],2)</f>
        <v>H4</v>
      </c>
      <c r="D256" s="17" t="s">
        <v>1621</v>
      </c>
      <c r="E256" s="18" t="s">
        <v>16</v>
      </c>
      <c r="F256" s="18" t="s">
        <v>10</v>
      </c>
      <c r="G256" s="19">
        <v>11746.13</v>
      </c>
      <c r="H256" s="18">
        <v>210169870</v>
      </c>
      <c r="I256" s="18" t="s">
        <v>155</v>
      </c>
      <c r="J256" s="119">
        <f>SUMIF(OpenInvoices!C:C,Table1[[#This Row],[Invoice No]],OpenInvoices!N:N)</f>
        <v>11746.13</v>
      </c>
      <c r="K256" s="119">
        <f>IF(Table1[[#This Row],[Outstanding]]=0,Table1[[#This Row],[Invoice Amount]],Table1[[#This Row],[Outstanding]]-Table1[[#This Row],[Invoice Amount]])</f>
        <v>0</v>
      </c>
    </row>
    <row r="257" spans="1:11" x14ac:dyDescent="0.2">
      <c r="A257" s="18">
        <v>1</v>
      </c>
      <c r="B257" s="20">
        <v>45992</v>
      </c>
      <c r="C257" s="118" t="str">
        <f>LEFT(Table1[[#This Row],[Project No]],2)</f>
        <v>HJ</v>
      </c>
      <c r="D257" s="17" t="s">
        <v>2061</v>
      </c>
      <c r="E257" s="18" t="s">
        <v>54</v>
      </c>
      <c r="F257" s="18" t="s">
        <v>339</v>
      </c>
      <c r="G257" s="19">
        <v>27375.41</v>
      </c>
      <c r="H257" s="18">
        <v>210169873</v>
      </c>
      <c r="I257" s="18" t="s">
        <v>155</v>
      </c>
      <c r="J257" s="119">
        <f>SUMIF(OpenInvoices!C:C,Table1[[#This Row],[Invoice No]],OpenInvoices!N:N)</f>
        <v>27375.41</v>
      </c>
      <c r="K257" s="119">
        <f>IF(Table1[[#This Row],[Outstanding]]=0,Table1[[#This Row],[Invoice Amount]],Table1[[#This Row],[Outstanding]]-Table1[[#This Row],[Invoice Amount]])</f>
        <v>0</v>
      </c>
    </row>
    <row r="258" spans="1:11" x14ac:dyDescent="0.2">
      <c r="A258" s="18">
        <v>1</v>
      </c>
      <c r="B258" s="20">
        <v>45992</v>
      </c>
      <c r="C258" s="118" t="str">
        <f>LEFT(Table1[[#This Row],[Project No]],2)</f>
        <v>HM</v>
      </c>
      <c r="D258" s="17" t="s">
        <v>1623</v>
      </c>
      <c r="E258" s="18" t="s">
        <v>1588</v>
      </c>
      <c r="F258" s="18">
        <v>0</v>
      </c>
      <c r="G258" s="19">
        <v>15847.51</v>
      </c>
      <c r="H258" s="18">
        <v>210169874</v>
      </c>
      <c r="I258" s="18" t="s">
        <v>155</v>
      </c>
      <c r="J258" s="119">
        <f>SUMIF(OpenInvoices!C:C,Table1[[#This Row],[Invoice No]],OpenInvoices!N:N)</f>
        <v>0</v>
      </c>
      <c r="K258" s="119">
        <f>IF(Table1[[#This Row],[Outstanding]]=0,Table1[[#This Row],[Invoice Amount]],Table1[[#This Row],[Outstanding]]-Table1[[#This Row],[Invoice Amount]])</f>
        <v>15847.51</v>
      </c>
    </row>
    <row r="259" spans="1:11" x14ac:dyDescent="0.2">
      <c r="A259" s="18">
        <v>1</v>
      </c>
      <c r="B259" s="20">
        <v>45992</v>
      </c>
      <c r="C259" s="118" t="str">
        <f>LEFT(Table1[[#This Row],[Project No]],2)</f>
        <v>HM</v>
      </c>
      <c r="D259" s="17" t="s">
        <v>6661</v>
      </c>
      <c r="E259" s="18" t="s">
        <v>45</v>
      </c>
      <c r="F259" s="18">
        <v>0</v>
      </c>
      <c r="G259" s="19">
        <v>13951.93</v>
      </c>
      <c r="H259" s="18">
        <v>210169875</v>
      </c>
      <c r="I259" s="18" t="s">
        <v>155</v>
      </c>
      <c r="J259" s="119">
        <f>SUMIF(OpenInvoices!C:C,Table1[[#This Row],[Invoice No]],OpenInvoices!N:N)</f>
        <v>0</v>
      </c>
      <c r="K259" s="119">
        <f>IF(Table1[[#This Row],[Outstanding]]=0,Table1[[#This Row],[Invoice Amount]],Table1[[#This Row],[Outstanding]]-Table1[[#This Row],[Invoice Amount]])</f>
        <v>13951.93</v>
      </c>
    </row>
    <row r="260" spans="1:11" x14ac:dyDescent="0.2">
      <c r="A260" s="18">
        <v>1</v>
      </c>
      <c r="B260" s="20">
        <v>45992</v>
      </c>
      <c r="C260" s="118" t="str">
        <f>LEFT(Table1[[#This Row],[Project No]],2)</f>
        <v>HM</v>
      </c>
      <c r="D260" s="17" t="s">
        <v>4875</v>
      </c>
      <c r="E260" s="18" t="s">
        <v>3702</v>
      </c>
      <c r="F260" s="18">
        <v>0</v>
      </c>
      <c r="G260" s="19">
        <v>19332.080000000002</v>
      </c>
      <c r="H260" s="18">
        <v>210169876</v>
      </c>
      <c r="I260" s="18" t="s">
        <v>155</v>
      </c>
      <c r="J260" s="119">
        <f>SUMIF(OpenInvoices!C:C,Table1[[#This Row],[Invoice No]],OpenInvoices!N:N)</f>
        <v>19332.080000000002</v>
      </c>
      <c r="K260" s="119">
        <f>IF(Table1[[#This Row],[Outstanding]]=0,Table1[[#This Row],[Invoice Amount]],Table1[[#This Row],[Outstanding]]-Table1[[#This Row],[Invoice Amount]])</f>
        <v>0</v>
      </c>
    </row>
    <row r="261" spans="1:11" x14ac:dyDescent="0.2">
      <c r="A261" s="18">
        <v>1</v>
      </c>
      <c r="B261" s="20">
        <v>45992</v>
      </c>
      <c r="C261" s="118" t="str">
        <f>LEFT(Table1[[#This Row],[Project No]],2)</f>
        <v>LD</v>
      </c>
      <c r="D261" s="17" t="s">
        <v>8169</v>
      </c>
      <c r="E261" s="18" t="s">
        <v>6870</v>
      </c>
      <c r="F261" s="18" t="s">
        <v>27</v>
      </c>
      <c r="G261" s="19">
        <v>13197.16</v>
      </c>
      <c r="H261" s="18">
        <v>210169877</v>
      </c>
      <c r="I261" s="18" t="s">
        <v>155</v>
      </c>
      <c r="J261" s="119">
        <f>SUMIF(OpenInvoices!C:C,Table1[[#This Row],[Invoice No]],OpenInvoices!N:N)</f>
        <v>0</v>
      </c>
      <c r="K261" s="119">
        <f>IF(Table1[[#This Row],[Outstanding]]=0,Table1[[#This Row],[Invoice Amount]],Table1[[#This Row],[Outstanding]]-Table1[[#This Row],[Invoice Amount]])</f>
        <v>13197.16</v>
      </c>
    </row>
    <row r="262" spans="1:11" x14ac:dyDescent="0.2">
      <c r="A262" s="18">
        <v>1</v>
      </c>
      <c r="B262" s="20">
        <v>45992</v>
      </c>
      <c r="C262" s="118" t="str">
        <f>LEFT(Table1[[#This Row],[Project No]],2)</f>
        <v>HF</v>
      </c>
      <c r="D262" s="17" t="s">
        <v>1408</v>
      </c>
      <c r="E262" s="18" t="s">
        <v>1406</v>
      </c>
      <c r="F262" s="18" t="s">
        <v>10</v>
      </c>
      <c r="G262" s="19">
        <v>940.94</v>
      </c>
      <c r="H262" s="18">
        <v>210169871</v>
      </c>
      <c r="I262" s="18" t="s">
        <v>155</v>
      </c>
      <c r="J262" s="119">
        <f>SUMIF(OpenInvoices!C:C,Table1[[#This Row],[Invoice No]],OpenInvoices!N:N)</f>
        <v>0</v>
      </c>
      <c r="K262" s="119">
        <f>IF(Table1[[#This Row],[Outstanding]]=0,Table1[[#This Row],[Invoice Amount]],Table1[[#This Row],[Outstanding]]-Table1[[#This Row],[Invoice Amount]])</f>
        <v>940.94</v>
      </c>
    </row>
    <row r="263" spans="1:11" x14ac:dyDescent="0.2">
      <c r="A263" s="18">
        <v>1</v>
      </c>
      <c r="B263" s="20">
        <v>46023</v>
      </c>
      <c r="C263" s="118" t="str">
        <f>LEFT(Table1[[#This Row],[Project No]],2)</f>
        <v>AJ</v>
      </c>
      <c r="D263" s="17" t="s">
        <v>2037</v>
      </c>
      <c r="E263" s="18" t="s">
        <v>2038</v>
      </c>
      <c r="F263" s="18" t="s">
        <v>2038</v>
      </c>
      <c r="G263" s="19">
        <v>71064.5</v>
      </c>
      <c r="H263" s="18">
        <v>210171035</v>
      </c>
      <c r="I263" s="18" t="s">
        <v>153</v>
      </c>
      <c r="J263" s="119">
        <f>SUMIF(OpenInvoices!C:C,Table1[[#This Row],[Invoice No]],OpenInvoices!N:N)</f>
        <v>0</v>
      </c>
      <c r="K263" s="119">
        <f>IF(Table1[[#This Row],[Outstanding]]=0,Table1[[#This Row],[Invoice Amount]],Table1[[#This Row],[Outstanding]]-Table1[[#This Row],[Invoice Amount]])</f>
        <v>71064.5</v>
      </c>
    </row>
    <row r="264" spans="1:11" x14ac:dyDescent="0.2">
      <c r="A264" s="18">
        <v>1</v>
      </c>
      <c r="B264" s="20">
        <v>46023</v>
      </c>
      <c r="C264" s="118" t="str">
        <f>LEFT(Table1[[#This Row],[Project No]],2)</f>
        <v>AM</v>
      </c>
      <c r="D264" s="17" t="s">
        <v>5400</v>
      </c>
      <c r="E264" s="18" t="s">
        <v>49</v>
      </c>
      <c r="F264" s="18" t="s">
        <v>49</v>
      </c>
      <c r="G264" s="19">
        <v>204251.08</v>
      </c>
      <c r="H264" s="18">
        <v>210171036</v>
      </c>
      <c r="I264" s="18" t="s">
        <v>153</v>
      </c>
      <c r="J264" s="119">
        <f>SUMIF(OpenInvoices!C:C,Table1[[#This Row],[Invoice No]],OpenInvoices!N:N)</f>
        <v>204251.08</v>
      </c>
      <c r="K264" s="119">
        <f>IF(Table1[[#This Row],[Outstanding]]=0,Table1[[#This Row],[Invoice Amount]],Table1[[#This Row],[Outstanding]]-Table1[[#This Row],[Invoice Amount]])</f>
        <v>0</v>
      </c>
    </row>
    <row r="265" spans="1:11" x14ac:dyDescent="0.2">
      <c r="A265" s="18">
        <v>1</v>
      </c>
      <c r="B265" s="20">
        <v>46023</v>
      </c>
      <c r="C265" s="118" t="str">
        <f>LEFT(Table1[[#This Row],[Project No]],2)</f>
        <v>AZ</v>
      </c>
      <c r="D265" s="17" t="s">
        <v>2102</v>
      </c>
      <c r="E265" s="18" t="s">
        <v>2103</v>
      </c>
      <c r="F265" s="18" t="s">
        <v>2103</v>
      </c>
      <c r="G265" s="19">
        <v>106197.3</v>
      </c>
      <c r="H265" s="18">
        <v>210171037</v>
      </c>
      <c r="I265" s="18" t="s">
        <v>153</v>
      </c>
      <c r="J265" s="119">
        <f>SUMIF(OpenInvoices!C:C,Table1[[#This Row],[Invoice No]],OpenInvoices!N:N)</f>
        <v>0</v>
      </c>
      <c r="K265" s="119">
        <f>IF(Table1[[#This Row],[Outstanding]]=0,Table1[[#This Row],[Invoice Amount]],Table1[[#This Row],[Outstanding]]-Table1[[#This Row],[Invoice Amount]])</f>
        <v>106197.3</v>
      </c>
    </row>
    <row r="266" spans="1:11" x14ac:dyDescent="0.2">
      <c r="A266" s="18">
        <v>1</v>
      </c>
      <c r="B266" s="20">
        <v>46023</v>
      </c>
      <c r="C266" s="118" t="str">
        <f>LEFT(Table1[[#This Row],[Project No]],2)</f>
        <v>B9</v>
      </c>
      <c r="D266" s="17" t="s">
        <v>631</v>
      </c>
      <c r="E266" s="18" t="s">
        <v>632</v>
      </c>
      <c r="F266" s="18" t="s">
        <v>632</v>
      </c>
      <c r="G266" s="19">
        <v>84000</v>
      </c>
      <c r="H266" s="18">
        <v>210171038</v>
      </c>
      <c r="I266" s="18" t="s">
        <v>153</v>
      </c>
      <c r="J266" s="119">
        <f>SUMIF(OpenInvoices!C:C,Table1[[#This Row],[Invoice No]],OpenInvoices!N:N)</f>
        <v>0</v>
      </c>
      <c r="K266" s="119">
        <f>IF(Table1[[#This Row],[Outstanding]]=0,Table1[[#This Row],[Invoice Amount]],Table1[[#This Row],[Outstanding]]-Table1[[#This Row],[Invoice Amount]])</f>
        <v>84000</v>
      </c>
    </row>
    <row r="267" spans="1:11" x14ac:dyDescent="0.2">
      <c r="A267" s="18">
        <v>1</v>
      </c>
      <c r="B267" s="20">
        <v>46023</v>
      </c>
      <c r="C267" s="118" t="str">
        <f>LEFT(Table1[[#This Row],[Project No]],2)</f>
        <v>BX</v>
      </c>
      <c r="D267" s="17" t="s">
        <v>2039</v>
      </c>
      <c r="E267" s="18" t="s">
        <v>2040</v>
      </c>
      <c r="F267" s="18" t="s">
        <v>10</v>
      </c>
      <c r="G267" s="19">
        <v>13916.06</v>
      </c>
      <c r="H267" s="18">
        <v>210171039</v>
      </c>
      <c r="I267" s="18" t="s">
        <v>153</v>
      </c>
      <c r="J267" s="119">
        <f>SUMIF(OpenInvoices!C:C,Table1[[#This Row],[Invoice No]],OpenInvoices!N:N)</f>
        <v>0</v>
      </c>
      <c r="K267" s="119">
        <f>IF(Table1[[#This Row],[Outstanding]]=0,Table1[[#This Row],[Invoice Amount]],Table1[[#This Row],[Outstanding]]-Table1[[#This Row],[Invoice Amount]])</f>
        <v>13916.06</v>
      </c>
    </row>
    <row r="268" spans="1:11" x14ac:dyDescent="0.2">
      <c r="A268" s="18">
        <v>1</v>
      </c>
      <c r="B268" s="20">
        <v>46023</v>
      </c>
      <c r="C268" s="118" t="str">
        <f>LEFT(Table1[[#This Row],[Project No]],2)</f>
        <v>BZ</v>
      </c>
      <c r="D268" s="17" t="s">
        <v>2104</v>
      </c>
      <c r="E268" s="18" t="s">
        <v>26</v>
      </c>
      <c r="F268" s="18" t="s">
        <v>10</v>
      </c>
      <c r="G268" s="19">
        <v>23124.75</v>
      </c>
      <c r="H268" s="18">
        <v>210171040</v>
      </c>
      <c r="I268" s="18" t="s">
        <v>153</v>
      </c>
      <c r="J268" s="119">
        <f>SUMIF(OpenInvoices!C:C,Table1[[#This Row],[Invoice No]],OpenInvoices!N:N)</f>
        <v>0</v>
      </c>
      <c r="K268" s="119">
        <f>IF(Table1[[#This Row],[Outstanding]]=0,Table1[[#This Row],[Invoice Amount]],Table1[[#This Row],[Outstanding]]-Table1[[#This Row],[Invoice Amount]])</f>
        <v>23124.75</v>
      </c>
    </row>
    <row r="269" spans="1:11" x14ac:dyDescent="0.2">
      <c r="A269" s="18">
        <v>1</v>
      </c>
      <c r="B269" s="20">
        <v>46023</v>
      </c>
      <c r="C269" s="118" t="str">
        <f>LEFT(Table1[[#This Row],[Project No]],2)</f>
        <v>BZ</v>
      </c>
      <c r="D269" s="17" t="s">
        <v>693</v>
      </c>
      <c r="E269" s="18" t="s">
        <v>64</v>
      </c>
      <c r="F269" s="18" t="s">
        <v>10</v>
      </c>
      <c r="G269" s="19">
        <v>1104</v>
      </c>
      <c r="H269" s="18">
        <v>210171041</v>
      </c>
      <c r="I269" s="18" t="s">
        <v>153</v>
      </c>
      <c r="J269" s="119">
        <f>SUMIF(OpenInvoices!C:C,Table1[[#This Row],[Invoice No]],OpenInvoices!N:N)</f>
        <v>0</v>
      </c>
      <c r="K269" s="119">
        <f>IF(Table1[[#This Row],[Outstanding]]=0,Table1[[#This Row],[Invoice Amount]],Table1[[#This Row],[Outstanding]]-Table1[[#This Row],[Invoice Amount]])</f>
        <v>1104</v>
      </c>
    </row>
    <row r="270" spans="1:11" x14ac:dyDescent="0.2">
      <c r="A270" s="18">
        <v>1</v>
      </c>
      <c r="B270" s="20">
        <v>46023</v>
      </c>
      <c r="C270" s="118" t="str">
        <f>LEFT(Table1[[#This Row],[Project No]],2)</f>
        <v>BZ</v>
      </c>
      <c r="D270" s="17" t="s">
        <v>5387</v>
      </c>
      <c r="E270" s="18" t="s">
        <v>5384</v>
      </c>
      <c r="F270" s="18" t="s">
        <v>10</v>
      </c>
      <c r="G270" s="19">
        <v>5372.18</v>
      </c>
      <c r="H270" s="18">
        <v>210171042</v>
      </c>
      <c r="I270" s="18" t="s">
        <v>153</v>
      </c>
      <c r="J270" s="119">
        <f>SUMIF(OpenInvoices!C:C,Table1[[#This Row],[Invoice No]],OpenInvoices!N:N)</f>
        <v>5372.18</v>
      </c>
      <c r="K270" s="119">
        <f>IF(Table1[[#This Row],[Outstanding]]=0,Table1[[#This Row],[Invoice Amount]],Table1[[#This Row],[Outstanding]]-Table1[[#This Row],[Invoice Amount]])</f>
        <v>0</v>
      </c>
    </row>
    <row r="271" spans="1:11" x14ac:dyDescent="0.2">
      <c r="A271" s="18">
        <v>1</v>
      </c>
      <c r="B271" s="20">
        <v>46023</v>
      </c>
      <c r="C271" s="118" t="str">
        <f>LEFT(Table1[[#This Row],[Project No]],2)</f>
        <v>BZ</v>
      </c>
      <c r="D271" s="17" t="s">
        <v>2105</v>
      </c>
      <c r="E271" s="18" t="s">
        <v>1241</v>
      </c>
      <c r="F271" s="18" t="s">
        <v>10</v>
      </c>
      <c r="G271" s="19">
        <v>22700</v>
      </c>
      <c r="H271" s="18">
        <v>210171043</v>
      </c>
      <c r="I271" s="18" t="s">
        <v>153</v>
      </c>
      <c r="J271" s="119">
        <f>SUMIF(OpenInvoices!C:C,Table1[[#This Row],[Invoice No]],OpenInvoices!N:N)</f>
        <v>22700</v>
      </c>
      <c r="K271" s="119">
        <f>IF(Table1[[#This Row],[Outstanding]]=0,Table1[[#This Row],[Invoice Amount]],Table1[[#This Row],[Outstanding]]-Table1[[#This Row],[Invoice Amount]])</f>
        <v>0</v>
      </c>
    </row>
    <row r="272" spans="1:11" x14ac:dyDescent="0.2">
      <c r="A272" s="18">
        <v>1</v>
      </c>
      <c r="B272" s="20">
        <v>46023</v>
      </c>
      <c r="C272" s="118" t="str">
        <f>LEFT(Table1[[#This Row],[Project No]],2)</f>
        <v>CB</v>
      </c>
      <c r="D272" s="17" t="s">
        <v>2107</v>
      </c>
      <c r="E272" s="18" t="s">
        <v>2108</v>
      </c>
      <c r="F272" s="18" t="s">
        <v>2108</v>
      </c>
      <c r="G272" s="19">
        <v>22952.7</v>
      </c>
      <c r="H272" s="18">
        <v>210171044</v>
      </c>
      <c r="I272" s="18" t="s">
        <v>153</v>
      </c>
      <c r="J272" s="119">
        <f>SUMIF(OpenInvoices!C:C,Table1[[#This Row],[Invoice No]],OpenInvoices!N:N)</f>
        <v>22952.7</v>
      </c>
      <c r="K272" s="119">
        <f>IF(Table1[[#This Row],[Outstanding]]=0,Table1[[#This Row],[Invoice Amount]],Table1[[#This Row],[Outstanding]]-Table1[[#This Row],[Invoice Amount]])</f>
        <v>0</v>
      </c>
    </row>
    <row r="273" spans="1:11" x14ac:dyDescent="0.2">
      <c r="A273" s="18">
        <v>1</v>
      </c>
      <c r="B273" s="20">
        <v>46023</v>
      </c>
      <c r="C273" s="118" t="str">
        <f>LEFT(Table1[[#This Row],[Project No]],2)</f>
        <v>CF</v>
      </c>
      <c r="D273" s="17" t="s">
        <v>1553</v>
      </c>
      <c r="E273" s="18" t="s">
        <v>48</v>
      </c>
      <c r="F273" s="18" t="s">
        <v>48</v>
      </c>
      <c r="G273" s="19">
        <v>773750</v>
      </c>
      <c r="H273" s="18">
        <v>210171045</v>
      </c>
      <c r="I273" s="18" t="s">
        <v>153</v>
      </c>
      <c r="J273" s="119">
        <f>SUMIF(OpenInvoices!C:C,Table1[[#This Row],[Invoice No]],OpenInvoices!N:N)</f>
        <v>0</v>
      </c>
      <c r="K273" s="119">
        <f>IF(Table1[[#This Row],[Outstanding]]=0,Table1[[#This Row],[Invoice Amount]],Table1[[#This Row],[Outstanding]]-Table1[[#This Row],[Invoice Amount]])</f>
        <v>773750</v>
      </c>
    </row>
    <row r="274" spans="1:11" x14ac:dyDescent="0.2">
      <c r="A274" s="18">
        <v>1</v>
      </c>
      <c r="B274" s="20">
        <v>46023</v>
      </c>
      <c r="C274" s="118" t="str">
        <f>LEFT(Table1[[#This Row],[Project No]],2)</f>
        <v>CN</v>
      </c>
      <c r="D274" s="17" t="s">
        <v>2109</v>
      </c>
      <c r="E274" s="18" t="s">
        <v>1871</v>
      </c>
      <c r="F274" s="18" t="s">
        <v>1871</v>
      </c>
      <c r="G274" s="19">
        <v>22445.47</v>
      </c>
      <c r="H274" s="18">
        <v>210171046</v>
      </c>
      <c r="I274" s="18" t="s">
        <v>153</v>
      </c>
      <c r="J274" s="119">
        <f>SUMIF(OpenInvoices!C:C,Table1[[#This Row],[Invoice No]],OpenInvoices!N:N)</f>
        <v>22445.47</v>
      </c>
      <c r="K274" s="119">
        <f>IF(Table1[[#This Row],[Outstanding]]=0,Table1[[#This Row],[Invoice Amount]],Table1[[#This Row],[Outstanding]]-Table1[[#This Row],[Invoice Amount]])</f>
        <v>0</v>
      </c>
    </row>
    <row r="275" spans="1:11" x14ac:dyDescent="0.2">
      <c r="A275" s="18">
        <v>1</v>
      </c>
      <c r="B275" s="20">
        <v>46023</v>
      </c>
      <c r="C275" s="118" t="str">
        <f>LEFT(Table1[[#This Row],[Project No]],2)</f>
        <v>CW</v>
      </c>
      <c r="D275" s="17" t="s">
        <v>3369</v>
      </c>
      <c r="E275" s="18" t="s">
        <v>3367</v>
      </c>
      <c r="F275" s="18" t="s">
        <v>3367</v>
      </c>
      <c r="G275" s="19">
        <v>4228.5</v>
      </c>
      <c r="H275" s="18">
        <v>210171047</v>
      </c>
      <c r="I275" s="18" t="s">
        <v>153</v>
      </c>
      <c r="J275" s="119">
        <f>SUMIF(OpenInvoices!C:C,Table1[[#This Row],[Invoice No]],OpenInvoices!N:N)</f>
        <v>4228.5</v>
      </c>
      <c r="K275" s="119">
        <f>IF(Table1[[#This Row],[Outstanding]]=0,Table1[[#This Row],[Invoice Amount]],Table1[[#This Row],[Outstanding]]-Table1[[#This Row],[Invoice Amount]])</f>
        <v>0</v>
      </c>
    </row>
    <row r="276" spans="1:11" x14ac:dyDescent="0.2">
      <c r="A276" s="18">
        <v>1</v>
      </c>
      <c r="B276" s="20">
        <v>46023</v>
      </c>
      <c r="C276" s="118" t="str">
        <f>LEFT(Table1[[#This Row],[Project No]],2)</f>
        <v>DC</v>
      </c>
      <c r="D276" s="17" t="s">
        <v>6337</v>
      </c>
      <c r="E276" s="18" t="s">
        <v>6334</v>
      </c>
      <c r="F276" s="18" t="s">
        <v>2303</v>
      </c>
      <c r="G276" s="19">
        <v>3750</v>
      </c>
      <c r="H276" s="18">
        <v>210171048</v>
      </c>
      <c r="I276" s="18" t="s">
        <v>153</v>
      </c>
      <c r="J276" s="119">
        <f>SUMIF(OpenInvoices!C:C,Table1[[#This Row],[Invoice No]],OpenInvoices!N:N)</f>
        <v>0</v>
      </c>
      <c r="K276" s="119">
        <f>IF(Table1[[#This Row],[Outstanding]]=0,Table1[[#This Row],[Invoice Amount]],Table1[[#This Row],[Outstanding]]-Table1[[#This Row],[Invoice Amount]])</f>
        <v>3750</v>
      </c>
    </row>
    <row r="277" spans="1:11" x14ac:dyDescent="0.2">
      <c r="A277" s="18">
        <v>1</v>
      </c>
      <c r="B277" s="20">
        <v>46023</v>
      </c>
      <c r="C277" s="118" t="str">
        <f>LEFT(Table1[[#This Row],[Project No]],2)</f>
        <v>DF</v>
      </c>
      <c r="D277" s="17" t="s">
        <v>1517</v>
      </c>
      <c r="E277" s="18" t="s">
        <v>1518</v>
      </c>
      <c r="F277" s="18" t="s">
        <v>1518</v>
      </c>
      <c r="G277" s="19">
        <v>3750.13</v>
      </c>
      <c r="H277" s="18">
        <v>210171049</v>
      </c>
      <c r="I277" s="18" t="s">
        <v>153</v>
      </c>
      <c r="J277" s="119">
        <f>SUMIF(OpenInvoices!C:C,Table1[[#This Row],[Invoice No]],OpenInvoices!N:N)</f>
        <v>0</v>
      </c>
      <c r="K277" s="119">
        <f>IF(Table1[[#This Row],[Outstanding]]=0,Table1[[#This Row],[Invoice Amount]],Table1[[#This Row],[Outstanding]]-Table1[[#This Row],[Invoice Amount]])</f>
        <v>3750.13</v>
      </c>
    </row>
    <row r="278" spans="1:11" x14ac:dyDescent="0.2">
      <c r="A278" s="18">
        <v>1</v>
      </c>
      <c r="B278" s="20">
        <v>46023</v>
      </c>
      <c r="C278" s="118" t="str">
        <f>LEFT(Table1[[#This Row],[Project No]],2)</f>
        <v>DF</v>
      </c>
      <c r="D278" s="17" t="s">
        <v>5413</v>
      </c>
      <c r="E278" s="18" t="s">
        <v>3753</v>
      </c>
      <c r="F278" s="18" t="s">
        <v>3753</v>
      </c>
      <c r="G278" s="19">
        <v>250000</v>
      </c>
      <c r="H278" s="18">
        <v>210171050</v>
      </c>
      <c r="I278" s="18" t="s">
        <v>153</v>
      </c>
      <c r="J278" s="119">
        <f>SUMIF(OpenInvoices!C:C,Table1[[#This Row],[Invoice No]],OpenInvoices!N:N)</f>
        <v>250000</v>
      </c>
      <c r="K278" s="119">
        <f>IF(Table1[[#This Row],[Outstanding]]=0,Table1[[#This Row],[Invoice Amount]],Table1[[#This Row],[Outstanding]]-Table1[[#This Row],[Invoice Amount]])</f>
        <v>0</v>
      </c>
    </row>
    <row r="279" spans="1:11" x14ac:dyDescent="0.2">
      <c r="A279" s="18">
        <v>1</v>
      </c>
      <c r="B279" s="20">
        <v>46023</v>
      </c>
      <c r="C279" s="118" t="str">
        <f>LEFT(Table1[[#This Row],[Project No]],2)</f>
        <v>DF</v>
      </c>
      <c r="D279" s="17" t="s">
        <v>8170</v>
      </c>
      <c r="E279" s="18" t="s">
        <v>1518</v>
      </c>
      <c r="F279" s="18" t="s">
        <v>1518</v>
      </c>
      <c r="G279" s="19">
        <v>40027.94</v>
      </c>
      <c r="H279" s="18">
        <v>210171051</v>
      </c>
      <c r="I279" s="18" t="s">
        <v>153</v>
      </c>
      <c r="J279" s="119">
        <f>SUMIF(OpenInvoices!C:C,Table1[[#This Row],[Invoice No]],OpenInvoices!N:N)</f>
        <v>0</v>
      </c>
      <c r="K279" s="119">
        <f>IF(Table1[[#This Row],[Outstanding]]=0,Table1[[#This Row],[Invoice Amount]],Table1[[#This Row],[Outstanding]]-Table1[[#This Row],[Invoice Amount]])</f>
        <v>40027.94</v>
      </c>
    </row>
    <row r="280" spans="1:11" x14ac:dyDescent="0.2">
      <c r="A280" s="18">
        <v>1</v>
      </c>
      <c r="B280" s="20">
        <v>46023</v>
      </c>
      <c r="C280" s="118" t="str">
        <f>LEFT(Table1[[#This Row],[Project No]],2)</f>
        <v>DF</v>
      </c>
      <c r="D280" s="17" t="s">
        <v>8171</v>
      </c>
      <c r="E280" s="18" t="s">
        <v>1518</v>
      </c>
      <c r="F280" s="18" t="s">
        <v>1518</v>
      </c>
      <c r="G280" s="19">
        <v>25096.560000000001</v>
      </c>
      <c r="H280" s="18">
        <v>210171052</v>
      </c>
      <c r="I280" s="18" t="s">
        <v>153</v>
      </c>
      <c r="J280" s="119">
        <f>SUMIF(OpenInvoices!C:C,Table1[[#This Row],[Invoice No]],OpenInvoices!N:N)</f>
        <v>0</v>
      </c>
      <c r="K280" s="119">
        <f>IF(Table1[[#This Row],[Outstanding]]=0,Table1[[#This Row],[Invoice Amount]],Table1[[#This Row],[Outstanding]]-Table1[[#This Row],[Invoice Amount]])</f>
        <v>25096.560000000001</v>
      </c>
    </row>
    <row r="281" spans="1:11" x14ac:dyDescent="0.2">
      <c r="A281" s="18">
        <v>1</v>
      </c>
      <c r="B281" s="20">
        <v>46023</v>
      </c>
      <c r="C281" s="118" t="str">
        <f>LEFT(Table1[[#This Row],[Project No]],2)</f>
        <v>DF</v>
      </c>
      <c r="D281" s="17" t="s">
        <v>7638</v>
      </c>
      <c r="E281" s="18" t="s">
        <v>1518</v>
      </c>
      <c r="F281" s="18" t="s">
        <v>1518</v>
      </c>
      <c r="G281" s="19">
        <v>8759.75</v>
      </c>
      <c r="H281" s="18">
        <v>210171053</v>
      </c>
      <c r="I281" s="18" t="s">
        <v>153</v>
      </c>
      <c r="J281" s="119">
        <f>SUMIF(OpenInvoices!C:C,Table1[[#This Row],[Invoice No]],OpenInvoices!N:N)</f>
        <v>0</v>
      </c>
      <c r="K281" s="119">
        <f>IF(Table1[[#This Row],[Outstanding]]=0,Table1[[#This Row],[Invoice Amount]],Table1[[#This Row],[Outstanding]]-Table1[[#This Row],[Invoice Amount]])</f>
        <v>8759.75</v>
      </c>
    </row>
    <row r="282" spans="1:11" x14ac:dyDescent="0.2">
      <c r="A282" s="18">
        <v>1</v>
      </c>
      <c r="B282" s="20">
        <v>46023</v>
      </c>
      <c r="C282" s="118" t="str">
        <f>LEFT(Table1[[#This Row],[Project No]],2)</f>
        <v>DU</v>
      </c>
      <c r="D282" s="17" t="s">
        <v>3779</v>
      </c>
      <c r="E282" s="18" t="s">
        <v>1518</v>
      </c>
      <c r="F282" s="18" t="s">
        <v>1518</v>
      </c>
      <c r="G282" s="19">
        <v>20879.95</v>
      </c>
      <c r="H282" s="18">
        <v>210171054</v>
      </c>
      <c r="I282" s="18" t="s">
        <v>153</v>
      </c>
      <c r="J282" s="119">
        <f>SUMIF(OpenInvoices!C:C,Table1[[#This Row],[Invoice No]],OpenInvoices!N:N)</f>
        <v>0</v>
      </c>
      <c r="K282" s="119">
        <f>IF(Table1[[#This Row],[Outstanding]]=0,Table1[[#This Row],[Invoice Amount]],Table1[[#This Row],[Outstanding]]-Table1[[#This Row],[Invoice Amount]])</f>
        <v>20879.95</v>
      </c>
    </row>
    <row r="283" spans="1:11" x14ac:dyDescent="0.2">
      <c r="A283" s="18">
        <v>1</v>
      </c>
      <c r="B283" s="20">
        <v>46023</v>
      </c>
      <c r="C283" s="118" t="str">
        <f>LEFT(Table1[[#This Row],[Project No]],2)</f>
        <v>DU</v>
      </c>
      <c r="D283" s="17" t="s">
        <v>5380</v>
      </c>
      <c r="E283" s="18" t="s">
        <v>1518</v>
      </c>
      <c r="F283" s="18" t="s">
        <v>1518</v>
      </c>
      <c r="G283" s="19">
        <v>42583.62</v>
      </c>
      <c r="H283" s="18">
        <v>210171055</v>
      </c>
      <c r="I283" s="18" t="s">
        <v>153</v>
      </c>
      <c r="J283" s="119">
        <f>SUMIF(OpenInvoices!C:C,Table1[[#This Row],[Invoice No]],OpenInvoices!N:N)</f>
        <v>42583.62</v>
      </c>
      <c r="K283" s="119">
        <f>IF(Table1[[#This Row],[Outstanding]]=0,Table1[[#This Row],[Invoice Amount]],Table1[[#This Row],[Outstanding]]-Table1[[#This Row],[Invoice Amount]])</f>
        <v>0</v>
      </c>
    </row>
    <row r="284" spans="1:11" x14ac:dyDescent="0.2">
      <c r="A284" s="18">
        <v>1</v>
      </c>
      <c r="B284" s="20">
        <v>46023</v>
      </c>
      <c r="C284" s="118" t="str">
        <f>LEFT(Table1[[#This Row],[Project No]],2)</f>
        <v>H4</v>
      </c>
      <c r="D284" s="17" t="s">
        <v>2110</v>
      </c>
      <c r="E284" s="18" t="s">
        <v>48</v>
      </c>
      <c r="F284" s="18" t="s">
        <v>48</v>
      </c>
      <c r="G284" s="19">
        <v>1383500</v>
      </c>
      <c r="H284" s="18">
        <v>210171056</v>
      </c>
      <c r="I284" s="18" t="s">
        <v>153</v>
      </c>
      <c r="J284" s="119">
        <f>SUMIF(OpenInvoices!C:C,Table1[[#This Row],[Invoice No]],OpenInvoices!N:N)</f>
        <v>1383500</v>
      </c>
      <c r="K284" s="119">
        <f>IF(Table1[[#This Row],[Outstanding]]=0,Table1[[#This Row],[Invoice Amount]],Table1[[#This Row],[Outstanding]]-Table1[[#This Row],[Invoice Amount]])</f>
        <v>0</v>
      </c>
    </row>
    <row r="285" spans="1:11" x14ac:dyDescent="0.2">
      <c r="A285" s="18">
        <v>1</v>
      </c>
      <c r="B285" s="20">
        <v>46023</v>
      </c>
      <c r="C285" s="118" t="str">
        <f>LEFT(Table1[[#This Row],[Project No]],2)</f>
        <v>H6</v>
      </c>
      <c r="D285" s="17" t="s">
        <v>1559</v>
      </c>
      <c r="E285" s="18" t="s">
        <v>12</v>
      </c>
      <c r="F285" s="18" t="s">
        <v>12</v>
      </c>
      <c r="G285" s="19">
        <v>673545</v>
      </c>
      <c r="H285" s="18">
        <v>210171057</v>
      </c>
      <c r="I285" s="18" t="s">
        <v>153</v>
      </c>
      <c r="J285" s="119">
        <f>SUMIF(OpenInvoices!C:C,Table1[[#This Row],[Invoice No]],OpenInvoices!N:N)</f>
        <v>0</v>
      </c>
      <c r="K285" s="119">
        <f>IF(Table1[[#This Row],[Outstanding]]=0,Table1[[#This Row],[Invoice Amount]],Table1[[#This Row],[Outstanding]]-Table1[[#This Row],[Invoice Amount]])</f>
        <v>673545</v>
      </c>
    </row>
    <row r="286" spans="1:11" x14ac:dyDescent="0.2">
      <c r="A286" s="18">
        <v>1</v>
      </c>
      <c r="B286" s="20">
        <v>46023</v>
      </c>
      <c r="C286" s="118" t="str">
        <f>LEFT(Table1[[#This Row],[Project No]],2)</f>
        <v>H7</v>
      </c>
      <c r="D286" s="17" t="s">
        <v>1523</v>
      </c>
      <c r="E286" s="18" t="s">
        <v>949</v>
      </c>
      <c r="F286" s="18" t="s">
        <v>949</v>
      </c>
      <c r="G286" s="19">
        <v>29714.15</v>
      </c>
      <c r="H286" s="18">
        <v>210171058</v>
      </c>
      <c r="I286" s="18" t="s">
        <v>153</v>
      </c>
      <c r="J286" s="119">
        <f>SUMIF(OpenInvoices!C:C,Table1[[#This Row],[Invoice No]],OpenInvoices!N:N)</f>
        <v>29714.15</v>
      </c>
      <c r="K286" s="119">
        <f>IF(Table1[[#This Row],[Outstanding]]=0,Table1[[#This Row],[Invoice Amount]],Table1[[#This Row],[Outstanding]]-Table1[[#This Row],[Invoice Amount]])</f>
        <v>0</v>
      </c>
    </row>
    <row r="287" spans="1:11" x14ac:dyDescent="0.2">
      <c r="A287" s="18">
        <v>1</v>
      </c>
      <c r="B287" s="20">
        <v>46023</v>
      </c>
      <c r="C287" s="118" t="str">
        <f>LEFT(Table1[[#This Row],[Project No]],2)</f>
        <v>HF</v>
      </c>
      <c r="D287" s="17" t="s">
        <v>820</v>
      </c>
      <c r="E287" s="18" t="s">
        <v>821</v>
      </c>
      <c r="F287" s="18" t="s">
        <v>10</v>
      </c>
      <c r="G287" s="19">
        <v>1940.46</v>
      </c>
      <c r="H287" s="18">
        <v>210171059</v>
      </c>
      <c r="I287" s="18" t="s">
        <v>153</v>
      </c>
      <c r="J287" s="119">
        <f>SUMIF(OpenInvoices!C:C,Table1[[#This Row],[Invoice No]],OpenInvoices!N:N)</f>
        <v>0</v>
      </c>
      <c r="K287" s="119">
        <f>IF(Table1[[#This Row],[Outstanding]]=0,Table1[[#This Row],[Invoice Amount]],Table1[[#This Row],[Outstanding]]-Table1[[#This Row],[Invoice Amount]])</f>
        <v>1940.46</v>
      </c>
    </row>
    <row r="288" spans="1:11" x14ac:dyDescent="0.2">
      <c r="A288" s="18">
        <v>1</v>
      </c>
      <c r="B288" s="20">
        <v>46023</v>
      </c>
      <c r="C288" s="118" t="str">
        <f>LEFT(Table1[[#This Row],[Project No]],2)</f>
        <v>HF</v>
      </c>
      <c r="D288" s="17" t="s">
        <v>2045</v>
      </c>
      <c r="E288" s="18" t="s">
        <v>2040</v>
      </c>
      <c r="F288" s="18" t="s">
        <v>10</v>
      </c>
      <c r="G288" s="19">
        <v>46182.29</v>
      </c>
      <c r="H288" s="18">
        <v>210171061</v>
      </c>
      <c r="I288" s="18" t="s">
        <v>153</v>
      </c>
      <c r="J288" s="119">
        <f>SUMIF(OpenInvoices!C:C,Table1[[#This Row],[Invoice No]],OpenInvoices!N:N)</f>
        <v>0</v>
      </c>
      <c r="K288" s="119">
        <f>IF(Table1[[#This Row],[Outstanding]]=0,Table1[[#This Row],[Invoice Amount]],Table1[[#This Row],[Outstanding]]-Table1[[#This Row],[Invoice Amount]])</f>
        <v>46182.29</v>
      </c>
    </row>
    <row r="289" spans="1:11" x14ac:dyDescent="0.2">
      <c r="A289" s="18">
        <v>1</v>
      </c>
      <c r="B289" s="20">
        <v>46023</v>
      </c>
      <c r="C289" s="118" t="str">
        <f>LEFT(Table1[[#This Row],[Project No]],2)</f>
        <v>HF</v>
      </c>
      <c r="D289" s="17" t="s">
        <v>1561</v>
      </c>
      <c r="E289" s="18" t="s">
        <v>52</v>
      </c>
      <c r="F289" s="18" t="s">
        <v>10</v>
      </c>
      <c r="G289" s="19">
        <v>612.36</v>
      </c>
      <c r="H289" s="18">
        <v>210171063</v>
      </c>
      <c r="I289" s="18" t="s">
        <v>153</v>
      </c>
      <c r="J289" s="119">
        <f>SUMIF(OpenInvoices!C:C,Table1[[#This Row],[Invoice No]],OpenInvoices!N:N)</f>
        <v>0</v>
      </c>
      <c r="K289" s="119">
        <f>IF(Table1[[#This Row],[Outstanding]]=0,Table1[[#This Row],[Invoice Amount]],Table1[[#This Row],[Outstanding]]-Table1[[#This Row],[Invoice Amount]])</f>
        <v>612.36</v>
      </c>
    </row>
    <row r="290" spans="1:11" x14ac:dyDescent="0.2">
      <c r="A290" s="18">
        <v>1</v>
      </c>
      <c r="B290" s="20">
        <v>46023</v>
      </c>
      <c r="C290" s="118" t="str">
        <f>LEFT(Table1[[#This Row],[Project No]],2)</f>
        <v>HF</v>
      </c>
      <c r="D290" s="17" t="s">
        <v>2065</v>
      </c>
      <c r="E290" s="18" t="s">
        <v>2066</v>
      </c>
      <c r="F290" s="18" t="s">
        <v>2066</v>
      </c>
      <c r="G290" s="19">
        <v>323680.27</v>
      </c>
      <c r="H290" s="18">
        <v>210171064</v>
      </c>
      <c r="I290" s="18" t="s">
        <v>153</v>
      </c>
      <c r="J290" s="119">
        <f>SUMIF(OpenInvoices!C:C,Table1[[#This Row],[Invoice No]],OpenInvoices!N:N)</f>
        <v>0</v>
      </c>
      <c r="K290" s="119">
        <f>IF(Table1[[#This Row],[Outstanding]]=0,Table1[[#This Row],[Invoice Amount]],Table1[[#This Row],[Outstanding]]-Table1[[#This Row],[Invoice Amount]])</f>
        <v>323680.27</v>
      </c>
    </row>
    <row r="291" spans="1:11" x14ac:dyDescent="0.2">
      <c r="A291" s="18">
        <v>1</v>
      </c>
      <c r="B291" s="20">
        <v>46023</v>
      </c>
      <c r="C291" s="118" t="str">
        <f>LEFT(Table1[[#This Row],[Project No]],2)</f>
        <v>HF</v>
      </c>
      <c r="D291" s="17" t="s">
        <v>5361</v>
      </c>
      <c r="E291" s="18" t="s">
        <v>5358</v>
      </c>
      <c r="F291" s="18" t="s">
        <v>10</v>
      </c>
      <c r="G291" s="19">
        <v>11566.58</v>
      </c>
      <c r="H291" s="18">
        <v>210171065</v>
      </c>
      <c r="I291" s="18" t="s">
        <v>153</v>
      </c>
      <c r="J291" s="119">
        <f>SUMIF(OpenInvoices!C:C,Table1[[#This Row],[Invoice No]],OpenInvoices!N:N)</f>
        <v>11566.58</v>
      </c>
      <c r="K291" s="119">
        <f>IF(Table1[[#This Row],[Outstanding]]=0,Table1[[#This Row],[Invoice Amount]],Table1[[#This Row],[Outstanding]]-Table1[[#This Row],[Invoice Amount]])</f>
        <v>0</v>
      </c>
    </row>
    <row r="292" spans="1:11" x14ac:dyDescent="0.2">
      <c r="A292" s="18">
        <v>1</v>
      </c>
      <c r="B292" s="20">
        <v>46023</v>
      </c>
      <c r="C292" s="118" t="str">
        <f>LEFT(Table1[[#This Row],[Project No]],2)</f>
        <v>HJ</v>
      </c>
      <c r="D292" s="17" t="s">
        <v>799</v>
      </c>
      <c r="E292" s="18" t="s">
        <v>800</v>
      </c>
      <c r="F292" s="18" t="s">
        <v>800</v>
      </c>
      <c r="G292" s="19">
        <v>15867.1</v>
      </c>
      <c r="H292" s="18">
        <v>210171066</v>
      </c>
      <c r="I292" s="18" t="s">
        <v>153</v>
      </c>
      <c r="J292" s="119">
        <f>SUMIF(OpenInvoices!C:C,Table1[[#This Row],[Invoice No]],OpenInvoices!N:N)</f>
        <v>15867.1</v>
      </c>
      <c r="K292" s="119">
        <f>IF(Table1[[#This Row],[Outstanding]]=0,Table1[[#This Row],[Invoice Amount]],Table1[[#This Row],[Outstanding]]-Table1[[#This Row],[Invoice Amount]])</f>
        <v>0</v>
      </c>
    </row>
    <row r="293" spans="1:11" x14ac:dyDescent="0.2">
      <c r="A293" s="18">
        <v>1</v>
      </c>
      <c r="B293" s="20">
        <v>46023</v>
      </c>
      <c r="C293" s="118" t="str">
        <f>LEFT(Table1[[#This Row],[Project No]],2)</f>
        <v>HM</v>
      </c>
      <c r="D293" s="17" t="s">
        <v>1618</v>
      </c>
      <c r="E293" s="18" t="s">
        <v>1619</v>
      </c>
      <c r="F293" s="18" t="s">
        <v>1619</v>
      </c>
      <c r="G293" s="19">
        <v>440288.34</v>
      </c>
      <c r="H293" s="18">
        <v>210171067</v>
      </c>
      <c r="I293" s="18" t="s">
        <v>153</v>
      </c>
      <c r="J293" s="119">
        <f>SUMIF(OpenInvoices!C:C,Table1[[#This Row],[Invoice No]],OpenInvoices!N:N)</f>
        <v>0</v>
      </c>
      <c r="K293" s="119">
        <f>IF(Table1[[#This Row],[Outstanding]]=0,Table1[[#This Row],[Invoice Amount]],Table1[[#This Row],[Outstanding]]-Table1[[#This Row],[Invoice Amount]])</f>
        <v>440288.34</v>
      </c>
    </row>
    <row r="294" spans="1:11" x14ac:dyDescent="0.2">
      <c r="A294" s="18">
        <v>1</v>
      </c>
      <c r="B294" s="20">
        <v>46023</v>
      </c>
      <c r="C294" s="118" t="str">
        <f>LEFT(Table1[[#This Row],[Project No]],2)</f>
        <v>BW</v>
      </c>
      <c r="D294" s="17" t="s">
        <v>2048</v>
      </c>
      <c r="E294" s="18" t="s">
        <v>770</v>
      </c>
      <c r="F294" s="18" t="s">
        <v>770</v>
      </c>
      <c r="G294" s="19">
        <v>244983.81</v>
      </c>
      <c r="H294" s="18">
        <v>210172466</v>
      </c>
      <c r="I294" s="18" t="s">
        <v>154</v>
      </c>
      <c r="J294" s="119">
        <f>SUMIF(OpenInvoices!C:C,Table1[[#This Row],[Invoice No]],OpenInvoices!N:N)</f>
        <v>0</v>
      </c>
      <c r="K294" s="119">
        <f>IF(Table1[[#This Row],[Outstanding]]=0,Table1[[#This Row],[Invoice Amount]],Table1[[#This Row],[Outstanding]]-Table1[[#This Row],[Invoice Amount]])</f>
        <v>244983.81</v>
      </c>
    </row>
    <row r="295" spans="1:11" x14ac:dyDescent="0.2">
      <c r="A295" s="18">
        <v>1</v>
      </c>
      <c r="B295" s="20">
        <v>46023</v>
      </c>
      <c r="C295" s="118" t="str">
        <f>LEFT(Table1[[#This Row],[Project No]],2)</f>
        <v>DF</v>
      </c>
      <c r="D295" s="17" t="s">
        <v>6032</v>
      </c>
      <c r="E295" s="18" t="s">
        <v>957</v>
      </c>
      <c r="F295" s="18" t="s">
        <v>957</v>
      </c>
      <c r="G295" s="19">
        <v>57680</v>
      </c>
      <c r="H295" s="18">
        <v>210172467</v>
      </c>
      <c r="I295" s="18" t="s">
        <v>154</v>
      </c>
      <c r="J295" s="119">
        <f>SUMIF(OpenInvoices!C:C,Table1[[#This Row],[Invoice No]],OpenInvoices!N:N)</f>
        <v>57680</v>
      </c>
      <c r="K295" s="119">
        <f>IF(Table1[[#This Row],[Outstanding]]=0,Table1[[#This Row],[Invoice Amount]],Table1[[#This Row],[Outstanding]]-Table1[[#This Row],[Invoice Amount]])</f>
        <v>0</v>
      </c>
    </row>
    <row r="296" spans="1:11" x14ac:dyDescent="0.2">
      <c r="A296" s="18">
        <v>1</v>
      </c>
      <c r="B296" s="20">
        <v>46023</v>
      </c>
      <c r="C296" s="118" t="str">
        <f>LEFT(Table1[[#This Row],[Project No]],2)</f>
        <v>HN</v>
      </c>
      <c r="D296" s="17" t="s">
        <v>1547</v>
      </c>
      <c r="E296" s="18" t="s">
        <v>815</v>
      </c>
      <c r="F296" s="18" t="s">
        <v>48</v>
      </c>
      <c r="G296" s="19">
        <v>11162.75</v>
      </c>
      <c r="H296" s="18">
        <v>210172468</v>
      </c>
      <c r="I296" s="18" t="s">
        <v>154</v>
      </c>
      <c r="J296" s="119">
        <f>SUMIF(OpenInvoices!C:C,Table1[[#This Row],[Invoice No]],OpenInvoices!N:N)</f>
        <v>11162.75</v>
      </c>
      <c r="K296" s="119">
        <f>IF(Table1[[#This Row],[Outstanding]]=0,Table1[[#This Row],[Invoice Amount]],Table1[[#This Row],[Outstanding]]-Table1[[#This Row],[Invoice Amount]])</f>
        <v>0</v>
      </c>
    </row>
    <row r="297" spans="1:11" x14ac:dyDescent="0.2">
      <c r="A297" s="18">
        <v>1</v>
      </c>
      <c r="B297" s="20">
        <v>46023</v>
      </c>
      <c r="C297" s="118" t="str">
        <f>LEFT(Table1[[#This Row],[Project No]],2)</f>
        <v>A5</v>
      </c>
      <c r="D297" s="17" t="s">
        <v>5612</v>
      </c>
      <c r="E297" s="18" t="s">
        <v>37</v>
      </c>
      <c r="F297" s="18" t="s">
        <v>31</v>
      </c>
      <c r="G297" s="19">
        <v>63016.83</v>
      </c>
      <c r="H297" s="18">
        <v>210171704</v>
      </c>
      <c r="I297" s="18" t="s">
        <v>155</v>
      </c>
      <c r="J297" s="119">
        <f>SUMIF(OpenInvoices!C:C,Table1[[#This Row],[Invoice No]],OpenInvoices!N:N)</f>
        <v>63016.83</v>
      </c>
      <c r="K297" s="119">
        <f>IF(Table1[[#This Row],[Outstanding]]=0,Table1[[#This Row],[Invoice Amount]],Table1[[#This Row],[Outstanding]]-Table1[[#This Row],[Invoice Amount]])</f>
        <v>0</v>
      </c>
    </row>
    <row r="298" spans="1:11" x14ac:dyDescent="0.2">
      <c r="A298" s="18">
        <v>1</v>
      </c>
      <c r="B298" s="20">
        <v>46023</v>
      </c>
      <c r="C298" s="118" t="str">
        <f>LEFT(Table1[[#This Row],[Project No]],2)</f>
        <v>A5</v>
      </c>
      <c r="D298" s="17" t="s">
        <v>3771</v>
      </c>
      <c r="E298" s="18" t="s">
        <v>26</v>
      </c>
      <c r="F298" s="18" t="s">
        <v>2303</v>
      </c>
      <c r="G298" s="19">
        <v>65585.259999999995</v>
      </c>
      <c r="H298" s="18">
        <v>210171705</v>
      </c>
      <c r="I298" s="18" t="s">
        <v>155</v>
      </c>
      <c r="J298" s="119">
        <f>SUMIF(OpenInvoices!C:C,Table1[[#This Row],[Invoice No]],OpenInvoices!N:N)</f>
        <v>0</v>
      </c>
      <c r="K298" s="119">
        <f>IF(Table1[[#This Row],[Outstanding]]=0,Table1[[#This Row],[Invoice Amount]],Table1[[#This Row],[Outstanding]]-Table1[[#This Row],[Invoice Amount]])</f>
        <v>65585.259999999995</v>
      </c>
    </row>
    <row r="299" spans="1:11" x14ac:dyDescent="0.2">
      <c r="A299" s="18">
        <v>1</v>
      </c>
      <c r="B299" s="20">
        <v>46023</v>
      </c>
      <c r="C299" s="118" t="str">
        <f>LEFT(Table1[[#This Row],[Project No]],2)</f>
        <v>AV</v>
      </c>
      <c r="D299" s="17" t="s">
        <v>1999</v>
      </c>
      <c r="E299" s="18" t="s">
        <v>22</v>
      </c>
      <c r="F299" s="18" t="s">
        <v>22</v>
      </c>
      <c r="G299" s="19">
        <v>35201.61</v>
      </c>
      <c r="H299" s="18">
        <v>210171707</v>
      </c>
      <c r="I299" s="18" t="s">
        <v>155</v>
      </c>
      <c r="J299" s="119">
        <f>SUMIF(OpenInvoices!C:C,Table1[[#This Row],[Invoice No]],OpenInvoices!N:N)</f>
        <v>0</v>
      </c>
      <c r="K299" s="119">
        <f>IF(Table1[[#This Row],[Outstanding]]=0,Table1[[#This Row],[Invoice Amount]],Table1[[#This Row],[Outstanding]]-Table1[[#This Row],[Invoice Amount]])</f>
        <v>35201.61</v>
      </c>
    </row>
    <row r="300" spans="1:11" x14ac:dyDescent="0.2">
      <c r="A300" s="18">
        <v>1</v>
      </c>
      <c r="B300" s="20">
        <v>46023</v>
      </c>
      <c r="C300" s="118" t="str">
        <f>LEFT(Table1[[#This Row],[Project No]],2)</f>
        <v>AV</v>
      </c>
      <c r="D300" s="17" t="s">
        <v>1449</v>
      </c>
      <c r="E300" s="18" t="s">
        <v>65</v>
      </c>
      <c r="F300" s="18" t="s">
        <v>65</v>
      </c>
      <c r="G300" s="19">
        <v>28521.38</v>
      </c>
      <c r="H300" s="18">
        <v>210171708</v>
      </c>
      <c r="I300" s="18" t="s">
        <v>155</v>
      </c>
      <c r="J300" s="119">
        <f>SUMIF(OpenInvoices!C:C,Table1[[#This Row],[Invoice No]],OpenInvoices!N:N)</f>
        <v>0</v>
      </c>
      <c r="K300" s="119">
        <f>IF(Table1[[#This Row],[Outstanding]]=0,Table1[[#This Row],[Invoice Amount]],Table1[[#This Row],[Outstanding]]-Table1[[#This Row],[Invoice Amount]])</f>
        <v>28521.38</v>
      </c>
    </row>
    <row r="301" spans="1:11" x14ac:dyDescent="0.2">
      <c r="A301" s="18">
        <v>1</v>
      </c>
      <c r="B301" s="20">
        <v>46023</v>
      </c>
      <c r="C301" s="118" t="str">
        <f>LEFT(Table1[[#This Row],[Project No]],2)</f>
        <v>AV</v>
      </c>
      <c r="D301" s="17" t="s">
        <v>1563</v>
      </c>
      <c r="E301" s="18" t="s">
        <v>1584</v>
      </c>
      <c r="F301" s="18" t="s">
        <v>1584</v>
      </c>
      <c r="G301" s="19">
        <v>22301.91</v>
      </c>
      <c r="H301" s="18">
        <v>210171709</v>
      </c>
      <c r="I301" s="18" t="s">
        <v>155</v>
      </c>
      <c r="J301" s="119">
        <f>SUMIF(OpenInvoices!C:C,Table1[[#This Row],[Invoice No]],OpenInvoices!N:N)</f>
        <v>0</v>
      </c>
      <c r="K301" s="119">
        <f>IF(Table1[[#This Row],[Outstanding]]=0,Table1[[#This Row],[Invoice Amount]],Table1[[#This Row],[Outstanding]]-Table1[[#This Row],[Invoice Amount]])</f>
        <v>22301.91</v>
      </c>
    </row>
    <row r="302" spans="1:11" x14ac:dyDescent="0.2">
      <c r="A302" s="18">
        <v>1</v>
      </c>
      <c r="B302" s="20">
        <v>46023</v>
      </c>
      <c r="C302" s="118" t="str">
        <f>LEFT(Table1[[#This Row],[Project No]],2)</f>
        <v>AZ</v>
      </c>
      <c r="D302" s="17" t="s">
        <v>60</v>
      </c>
      <c r="E302" s="18" t="s">
        <v>6803</v>
      </c>
      <c r="F302" s="18" t="s">
        <v>6803</v>
      </c>
      <c r="G302" s="19">
        <v>14485.61</v>
      </c>
      <c r="H302" s="18">
        <v>210171710</v>
      </c>
      <c r="I302" s="18" t="s">
        <v>155</v>
      </c>
      <c r="J302" s="119">
        <f>SUMIF(OpenInvoices!C:C,Table1[[#This Row],[Invoice No]],OpenInvoices!N:N)</f>
        <v>0</v>
      </c>
      <c r="K302" s="119">
        <f>IF(Table1[[#This Row],[Outstanding]]=0,Table1[[#This Row],[Invoice Amount]],Table1[[#This Row],[Outstanding]]-Table1[[#This Row],[Invoice Amount]])</f>
        <v>14485.61</v>
      </c>
    </row>
    <row r="303" spans="1:11" x14ac:dyDescent="0.2">
      <c r="A303" s="18">
        <v>1</v>
      </c>
      <c r="B303" s="20">
        <v>46023</v>
      </c>
      <c r="C303" s="118" t="str">
        <f>LEFT(Table1[[#This Row],[Project No]],2)</f>
        <v>AZ</v>
      </c>
      <c r="D303" s="17" t="s">
        <v>2068</v>
      </c>
      <c r="E303" s="18" t="s">
        <v>41</v>
      </c>
      <c r="F303" s="18" t="s">
        <v>6803</v>
      </c>
      <c r="G303" s="19">
        <v>21388.48</v>
      </c>
      <c r="H303" s="18">
        <v>210171711</v>
      </c>
      <c r="I303" s="18" t="s">
        <v>155</v>
      </c>
      <c r="J303" s="119">
        <f>SUMIF(OpenInvoices!C:C,Table1[[#This Row],[Invoice No]],OpenInvoices!N:N)</f>
        <v>21388.48</v>
      </c>
      <c r="K303" s="119">
        <f>IF(Table1[[#This Row],[Outstanding]]=0,Table1[[#This Row],[Invoice Amount]],Table1[[#This Row],[Outstanding]]-Table1[[#This Row],[Invoice Amount]])</f>
        <v>0</v>
      </c>
    </row>
    <row r="304" spans="1:11" x14ac:dyDescent="0.2">
      <c r="A304" s="18">
        <v>1</v>
      </c>
      <c r="B304" s="20">
        <v>46023</v>
      </c>
      <c r="C304" s="118" t="str">
        <f>LEFT(Table1[[#This Row],[Project No]],2)</f>
        <v>B5</v>
      </c>
      <c r="D304" s="17" t="s">
        <v>5596</v>
      </c>
      <c r="E304" s="18" t="s">
        <v>1542</v>
      </c>
      <c r="F304" s="18" t="s">
        <v>53</v>
      </c>
      <c r="G304" s="19">
        <v>15361.22</v>
      </c>
      <c r="H304" s="18">
        <v>210171712</v>
      </c>
      <c r="I304" s="18" t="s">
        <v>155</v>
      </c>
      <c r="J304" s="119">
        <f>SUMIF(OpenInvoices!C:C,Table1[[#This Row],[Invoice No]],OpenInvoices!N:N)</f>
        <v>15361.22</v>
      </c>
      <c r="K304" s="119">
        <f>IF(Table1[[#This Row],[Outstanding]]=0,Table1[[#This Row],[Invoice Amount]],Table1[[#This Row],[Outstanding]]-Table1[[#This Row],[Invoice Amount]])</f>
        <v>0</v>
      </c>
    </row>
    <row r="305" spans="1:11" x14ac:dyDescent="0.2">
      <c r="A305" s="18">
        <v>1</v>
      </c>
      <c r="B305" s="20">
        <v>46023</v>
      </c>
      <c r="C305" s="118" t="str">
        <f>LEFT(Table1[[#This Row],[Project No]],2)</f>
        <v>B9</v>
      </c>
      <c r="D305" s="17" t="s">
        <v>1564</v>
      </c>
      <c r="E305" s="18" t="s">
        <v>1718</v>
      </c>
      <c r="F305" s="18" t="s">
        <v>2079</v>
      </c>
      <c r="G305" s="19">
        <v>14872.02</v>
      </c>
      <c r="H305" s="18">
        <v>210171713</v>
      </c>
      <c r="I305" s="18" t="s">
        <v>155</v>
      </c>
      <c r="J305" s="119">
        <f>SUMIF(OpenInvoices!C:C,Table1[[#This Row],[Invoice No]],OpenInvoices!N:N)</f>
        <v>14872.02</v>
      </c>
      <c r="K305" s="119">
        <f>IF(Table1[[#This Row],[Outstanding]]=0,Table1[[#This Row],[Invoice Amount]],Table1[[#This Row],[Outstanding]]-Table1[[#This Row],[Invoice Amount]])</f>
        <v>0</v>
      </c>
    </row>
    <row r="306" spans="1:11" x14ac:dyDescent="0.2">
      <c r="A306" s="18">
        <v>1</v>
      </c>
      <c r="B306" s="20">
        <v>46023</v>
      </c>
      <c r="C306" s="118" t="str">
        <f>LEFT(Table1[[#This Row],[Project No]],2)</f>
        <v>B9</v>
      </c>
      <c r="D306" s="17" t="s">
        <v>1062</v>
      </c>
      <c r="E306" s="18" t="s">
        <v>1065</v>
      </c>
      <c r="F306" s="18" t="s">
        <v>27</v>
      </c>
      <c r="G306" s="19">
        <v>4845.04</v>
      </c>
      <c r="H306" s="18">
        <v>210171714</v>
      </c>
      <c r="I306" s="18" t="s">
        <v>155</v>
      </c>
      <c r="J306" s="119">
        <f>SUMIF(OpenInvoices!C:C,Table1[[#This Row],[Invoice No]],OpenInvoices!N:N)</f>
        <v>0</v>
      </c>
      <c r="K306" s="119">
        <f>IF(Table1[[#This Row],[Outstanding]]=0,Table1[[#This Row],[Invoice Amount]],Table1[[#This Row],[Outstanding]]-Table1[[#This Row],[Invoice Amount]])</f>
        <v>4845.04</v>
      </c>
    </row>
    <row r="307" spans="1:11" x14ac:dyDescent="0.2">
      <c r="A307" s="18">
        <v>1</v>
      </c>
      <c r="B307" s="20">
        <v>46023</v>
      </c>
      <c r="C307" s="118" t="str">
        <f>LEFT(Table1[[#This Row],[Project No]],2)</f>
        <v>B9</v>
      </c>
      <c r="D307" s="17" t="s">
        <v>1854</v>
      </c>
      <c r="E307" s="18" t="s">
        <v>624</v>
      </c>
      <c r="F307" s="18" t="s">
        <v>27</v>
      </c>
      <c r="G307" s="19">
        <v>34990.18</v>
      </c>
      <c r="H307" s="18">
        <v>210171715</v>
      </c>
      <c r="I307" s="18" t="s">
        <v>155</v>
      </c>
      <c r="J307" s="119">
        <f>SUMIF(OpenInvoices!C:C,Table1[[#This Row],[Invoice No]],OpenInvoices!N:N)</f>
        <v>34990.18</v>
      </c>
      <c r="K307" s="119">
        <f>IF(Table1[[#This Row],[Outstanding]]=0,Table1[[#This Row],[Invoice Amount]],Table1[[#This Row],[Outstanding]]-Table1[[#This Row],[Invoice Amount]])</f>
        <v>0</v>
      </c>
    </row>
    <row r="308" spans="1:11" x14ac:dyDescent="0.2">
      <c r="A308" s="18">
        <v>1</v>
      </c>
      <c r="B308" s="20">
        <v>46023</v>
      </c>
      <c r="C308" s="118" t="str">
        <f>LEFT(Table1[[#This Row],[Project No]],2)</f>
        <v>BB</v>
      </c>
      <c r="D308" s="17" t="s">
        <v>8172</v>
      </c>
      <c r="E308" s="18" t="s">
        <v>8177</v>
      </c>
      <c r="F308" s="18" t="s">
        <v>339</v>
      </c>
      <c r="G308" s="19">
        <v>1299.5</v>
      </c>
      <c r="H308" s="18">
        <v>210171716</v>
      </c>
      <c r="I308" s="18" t="s">
        <v>155</v>
      </c>
      <c r="J308" s="119">
        <f>SUMIF(OpenInvoices!C:C,Table1[[#This Row],[Invoice No]],OpenInvoices!N:N)</f>
        <v>0</v>
      </c>
      <c r="K308" s="119">
        <f>IF(Table1[[#This Row],[Outstanding]]=0,Table1[[#This Row],[Invoice Amount]],Table1[[#This Row],[Outstanding]]-Table1[[#This Row],[Invoice Amount]])</f>
        <v>1299.5</v>
      </c>
    </row>
    <row r="309" spans="1:11" x14ac:dyDescent="0.2">
      <c r="A309" s="18">
        <v>1</v>
      </c>
      <c r="B309" s="20">
        <v>46023</v>
      </c>
      <c r="C309" s="118" t="str">
        <f>LEFT(Table1[[#This Row],[Project No]],2)</f>
        <v>BV</v>
      </c>
      <c r="D309" s="17" t="s">
        <v>1565</v>
      </c>
      <c r="E309" s="18" t="s">
        <v>471</v>
      </c>
      <c r="F309" s="18" t="s">
        <v>53</v>
      </c>
      <c r="G309" s="19">
        <v>64188.77</v>
      </c>
      <c r="H309" s="18">
        <v>210171717</v>
      </c>
      <c r="I309" s="18" t="s">
        <v>155</v>
      </c>
      <c r="J309" s="119">
        <f>SUMIF(OpenInvoices!C:C,Table1[[#This Row],[Invoice No]],OpenInvoices!N:N)</f>
        <v>0</v>
      </c>
      <c r="K309" s="119">
        <f>IF(Table1[[#This Row],[Outstanding]]=0,Table1[[#This Row],[Invoice Amount]],Table1[[#This Row],[Outstanding]]-Table1[[#This Row],[Invoice Amount]])</f>
        <v>64188.77</v>
      </c>
    </row>
    <row r="310" spans="1:11" x14ac:dyDescent="0.2">
      <c r="A310" s="18">
        <v>1</v>
      </c>
      <c r="B310" s="20">
        <v>46023</v>
      </c>
      <c r="C310" s="118" t="str">
        <f>LEFT(Table1[[#This Row],[Project No]],2)</f>
        <v>BZ</v>
      </c>
      <c r="D310" s="17" t="s">
        <v>1566</v>
      </c>
      <c r="E310" s="18" t="s">
        <v>38</v>
      </c>
      <c r="F310" s="18" t="s">
        <v>10</v>
      </c>
      <c r="G310" s="19">
        <v>1515.2</v>
      </c>
      <c r="H310" s="18">
        <v>210171718</v>
      </c>
      <c r="I310" s="18" t="s">
        <v>155</v>
      </c>
      <c r="J310" s="119">
        <f>SUMIF(OpenInvoices!C:C,Table1[[#This Row],[Invoice No]],OpenInvoices!N:N)</f>
        <v>0</v>
      </c>
      <c r="K310" s="119">
        <f>IF(Table1[[#This Row],[Outstanding]]=0,Table1[[#This Row],[Invoice Amount]],Table1[[#This Row],[Outstanding]]-Table1[[#This Row],[Invoice Amount]])</f>
        <v>1515.2</v>
      </c>
    </row>
    <row r="311" spans="1:11" x14ac:dyDescent="0.2">
      <c r="A311" s="18">
        <v>1</v>
      </c>
      <c r="B311" s="20">
        <v>46023</v>
      </c>
      <c r="C311" s="118" t="str">
        <f>LEFT(Table1[[#This Row],[Project No]],2)</f>
        <v>BZ</v>
      </c>
      <c r="D311" s="17" t="s">
        <v>1567</v>
      </c>
      <c r="E311" s="18" t="s">
        <v>52</v>
      </c>
      <c r="F311" s="18" t="s">
        <v>10</v>
      </c>
      <c r="G311" s="19">
        <v>30983.22</v>
      </c>
      <c r="H311" s="18">
        <v>210171719</v>
      </c>
      <c r="I311" s="18" t="s">
        <v>155</v>
      </c>
      <c r="J311" s="119">
        <f>SUMIF(OpenInvoices!C:C,Table1[[#This Row],[Invoice No]],OpenInvoices!N:N)</f>
        <v>0</v>
      </c>
      <c r="K311" s="119">
        <f>IF(Table1[[#This Row],[Outstanding]]=0,Table1[[#This Row],[Invoice Amount]],Table1[[#This Row],[Outstanding]]-Table1[[#This Row],[Invoice Amount]])</f>
        <v>30983.22</v>
      </c>
    </row>
    <row r="312" spans="1:11" x14ac:dyDescent="0.2">
      <c r="A312" s="18">
        <v>1</v>
      </c>
      <c r="B312" s="20">
        <v>46023</v>
      </c>
      <c r="C312" s="118" t="str">
        <f>LEFT(Table1[[#This Row],[Project No]],2)</f>
        <v>BZ</v>
      </c>
      <c r="D312" s="17" t="s">
        <v>2069</v>
      </c>
      <c r="E312" s="18" t="s">
        <v>34</v>
      </c>
      <c r="F312" s="18" t="s">
        <v>10</v>
      </c>
      <c r="G312" s="19">
        <v>23840.15</v>
      </c>
      <c r="H312" s="18">
        <v>210171720</v>
      </c>
      <c r="I312" s="18" t="s">
        <v>155</v>
      </c>
      <c r="J312" s="119">
        <f>SUMIF(OpenInvoices!C:C,Table1[[#This Row],[Invoice No]],OpenInvoices!N:N)</f>
        <v>23840.15</v>
      </c>
      <c r="K312" s="119">
        <f>IF(Table1[[#This Row],[Outstanding]]=0,Table1[[#This Row],[Invoice Amount]],Table1[[#This Row],[Outstanding]]-Table1[[#This Row],[Invoice Amount]])</f>
        <v>0</v>
      </c>
    </row>
    <row r="313" spans="1:11" x14ac:dyDescent="0.2">
      <c r="A313" s="18">
        <v>1</v>
      </c>
      <c r="B313" s="20">
        <v>46023</v>
      </c>
      <c r="C313" s="118" t="str">
        <f>LEFT(Table1[[#This Row],[Project No]],2)</f>
        <v>BZ</v>
      </c>
      <c r="D313" s="17" t="s">
        <v>2070</v>
      </c>
      <c r="E313" s="18" t="s">
        <v>42</v>
      </c>
      <c r="F313" s="18" t="s">
        <v>10</v>
      </c>
      <c r="G313" s="19">
        <v>3324.32</v>
      </c>
      <c r="H313" s="18">
        <v>210171721</v>
      </c>
      <c r="I313" s="18" t="s">
        <v>155</v>
      </c>
      <c r="J313" s="119">
        <f>SUMIF(OpenInvoices!C:C,Table1[[#This Row],[Invoice No]],OpenInvoices!N:N)</f>
        <v>0</v>
      </c>
      <c r="K313" s="119">
        <f>IF(Table1[[#This Row],[Outstanding]]=0,Table1[[#This Row],[Invoice Amount]],Table1[[#This Row],[Outstanding]]-Table1[[#This Row],[Invoice Amount]])</f>
        <v>3324.32</v>
      </c>
    </row>
    <row r="314" spans="1:11" x14ac:dyDescent="0.2">
      <c r="A314" s="18">
        <v>1</v>
      </c>
      <c r="B314" s="20">
        <v>46023</v>
      </c>
      <c r="C314" s="118" t="str">
        <f>LEFT(Table1[[#This Row],[Project No]],2)</f>
        <v>BZ</v>
      </c>
      <c r="D314" s="17" t="s">
        <v>2089</v>
      </c>
      <c r="E314" s="18" t="s">
        <v>412</v>
      </c>
      <c r="F314" s="18" t="s">
        <v>10</v>
      </c>
      <c r="G314" s="19">
        <v>117596.64</v>
      </c>
      <c r="H314" s="18">
        <v>210171722</v>
      </c>
      <c r="I314" s="18" t="s">
        <v>155</v>
      </c>
      <c r="J314" s="119">
        <f>SUMIF(OpenInvoices!C:C,Table1[[#This Row],[Invoice No]],OpenInvoices!N:N)</f>
        <v>0</v>
      </c>
      <c r="K314" s="119">
        <f>IF(Table1[[#This Row],[Outstanding]]=0,Table1[[#This Row],[Invoice Amount]],Table1[[#This Row],[Outstanding]]-Table1[[#This Row],[Invoice Amount]])</f>
        <v>117596.64</v>
      </c>
    </row>
    <row r="315" spans="1:11" x14ac:dyDescent="0.2">
      <c r="A315" s="18">
        <v>1</v>
      </c>
      <c r="B315" s="20">
        <v>46023</v>
      </c>
      <c r="C315" s="118" t="str">
        <f>LEFT(Table1[[#This Row],[Project No]],2)</f>
        <v>BZ</v>
      </c>
      <c r="D315" s="17" t="s">
        <v>3059</v>
      </c>
      <c r="E315" s="18" t="s">
        <v>796</v>
      </c>
      <c r="F315" s="18" t="s">
        <v>10</v>
      </c>
      <c r="G315" s="19">
        <v>21571.84</v>
      </c>
      <c r="H315" s="18">
        <v>210171723</v>
      </c>
      <c r="I315" s="18" t="s">
        <v>155</v>
      </c>
      <c r="J315" s="119">
        <f>SUMIF(OpenInvoices!C:C,Table1[[#This Row],[Invoice No]],OpenInvoices!N:N)</f>
        <v>0</v>
      </c>
      <c r="K315" s="119">
        <f>IF(Table1[[#This Row],[Outstanding]]=0,Table1[[#This Row],[Invoice Amount]],Table1[[#This Row],[Outstanding]]-Table1[[#This Row],[Invoice Amount]])</f>
        <v>21571.84</v>
      </c>
    </row>
    <row r="316" spans="1:11" x14ac:dyDescent="0.2">
      <c r="A316" s="18">
        <v>1</v>
      </c>
      <c r="B316" s="20">
        <v>46023</v>
      </c>
      <c r="C316" s="118" t="str">
        <f>LEFT(Table1[[#This Row],[Project No]],2)</f>
        <v>BZ</v>
      </c>
      <c r="D316" s="17" t="s">
        <v>3606</v>
      </c>
      <c r="E316" s="18" t="s">
        <v>42</v>
      </c>
      <c r="F316" s="18" t="s">
        <v>10</v>
      </c>
      <c r="G316" s="19">
        <v>2174.4</v>
      </c>
      <c r="H316" s="18">
        <v>210171724</v>
      </c>
      <c r="I316" s="18" t="s">
        <v>155</v>
      </c>
      <c r="J316" s="119">
        <f>SUMIF(OpenInvoices!C:C,Table1[[#This Row],[Invoice No]],OpenInvoices!N:N)</f>
        <v>0</v>
      </c>
      <c r="K316" s="119">
        <f>IF(Table1[[#This Row],[Outstanding]]=0,Table1[[#This Row],[Invoice Amount]],Table1[[#This Row],[Outstanding]]-Table1[[#This Row],[Invoice Amount]])</f>
        <v>2174.4</v>
      </c>
    </row>
    <row r="317" spans="1:11" x14ac:dyDescent="0.2">
      <c r="A317" s="18">
        <v>1</v>
      </c>
      <c r="B317" s="20">
        <v>46023</v>
      </c>
      <c r="C317" s="118" t="str">
        <f>LEFT(Table1[[#This Row],[Project No]],2)</f>
        <v>BZ</v>
      </c>
      <c r="D317" s="17" t="s">
        <v>8173</v>
      </c>
      <c r="E317" s="18" t="s">
        <v>1543</v>
      </c>
      <c r="F317" s="18" t="s">
        <v>1543</v>
      </c>
      <c r="G317" s="19">
        <v>129221.2</v>
      </c>
      <c r="H317" s="18">
        <v>210171725</v>
      </c>
      <c r="I317" s="18" t="s">
        <v>155</v>
      </c>
      <c r="J317" s="119">
        <f>SUMIF(OpenInvoices!C:C,Table1[[#This Row],[Invoice No]],OpenInvoices!N:N)</f>
        <v>0</v>
      </c>
      <c r="K317" s="119">
        <f>IF(Table1[[#This Row],[Outstanding]]=0,Table1[[#This Row],[Invoice Amount]],Table1[[#This Row],[Outstanding]]-Table1[[#This Row],[Invoice Amount]])</f>
        <v>129221.2</v>
      </c>
    </row>
    <row r="318" spans="1:11" x14ac:dyDescent="0.2">
      <c r="A318" s="18">
        <v>1</v>
      </c>
      <c r="B318" s="20">
        <v>46023</v>
      </c>
      <c r="C318" s="118" t="str">
        <f>LEFT(Table1[[#This Row],[Project No]],2)</f>
        <v>BZ</v>
      </c>
      <c r="D318" s="17" t="s">
        <v>5602</v>
      </c>
      <c r="E318" s="18" t="s">
        <v>5599</v>
      </c>
      <c r="F318" s="18" t="s">
        <v>10</v>
      </c>
      <c r="G318" s="19">
        <v>2524.34</v>
      </c>
      <c r="H318" s="18">
        <v>210171726</v>
      </c>
      <c r="I318" s="18" t="s">
        <v>155</v>
      </c>
      <c r="J318" s="119">
        <f>SUMIF(OpenInvoices!C:C,Table1[[#This Row],[Invoice No]],OpenInvoices!N:N)</f>
        <v>2524.34</v>
      </c>
      <c r="K318" s="119">
        <f>IF(Table1[[#This Row],[Outstanding]]=0,Table1[[#This Row],[Invoice Amount]],Table1[[#This Row],[Outstanding]]-Table1[[#This Row],[Invoice Amount]])</f>
        <v>0</v>
      </c>
    </row>
    <row r="319" spans="1:11" x14ac:dyDescent="0.2">
      <c r="A319" s="18">
        <v>1</v>
      </c>
      <c r="B319" s="20">
        <v>46023</v>
      </c>
      <c r="C319" s="118" t="str">
        <f>LEFT(Table1[[#This Row],[Project No]],2)</f>
        <v>BZ</v>
      </c>
      <c r="D319" s="17" t="s">
        <v>5592</v>
      </c>
      <c r="E319" s="18" t="s">
        <v>2094</v>
      </c>
      <c r="F319" s="18" t="s">
        <v>10</v>
      </c>
      <c r="G319" s="19">
        <v>2415.38</v>
      </c>
      <c r="H319" s="18">
        <v>210171727</v>
      </c>
      <c r="I319" s="18" t="s">
        <v>155</v>
      </c>
      <c r="J319" s="119">
        <f>SUMIF(OpenInvoices!C:C,Table1[[#This Row],[Invoice No]],OpenInvoices!N:N)</f>
        <v>2415.38</v>
      </c>
      <c r="K319" s="119">
        <f>IF(Table1[[#This Row],[Outstanding]]=0,Table1[[#This Row],[Invoice Amount]],Table1[[#This Row],[Outstanding]]-Table1[[#This Row],[Invoice Amount]])</f>
        <v>0</v>
      </c>
    </row>
    <row r="320" spans="1:11" x14ac:dyDescent="0.2">
      <c r="A320" s="18">
        <v>1</v>
      </c>
      <c r="B320" s="20">
        <v>46023</v>
      </c>
      <c r="C320" s="118" t="str">
        <f>LEFT(Table1[[#This Row],[Project No]],2)</f>
        <v>CF</v>
      </c>
      <c r="D320" s="17" t="s">
        <v>1569</v>
      </c>
      <c r="E320" s="18" t="s">
        <v>1586</v>
      </c>
      <c r="F320" s="18" t="s">
        <v>48</v>
      </c>
      <c r="G320" s="19">
        <v>7730.64</v>
      </c>
      <c r="H320" s="18">
        <v>210171728</v>
      </c>
      <c r="I320" s="18" t="s">
        <v>155</v>
      </c>
      <c r="J320" s="119">
        <f>SUMIF(OpenInvoices!C:C,Table1[[#This Row],[Invoice No]],OpenInvoices!N:N)</f>
        <v>0</v>
      </c>
      <c r="K320" s="119">
        <f>IF(Table1[[#This Row],[Outstanding]]=0,Table1[[#This Row],[Invoice Amount]],Table1[[#This Row],[Outstanding]]-Table1[[#This Row],[Invoice Amount]])</f>
        <v>7730.64</v>
      </c>
    </row>
    <row r="321" spans="1:11" x14ac:dyDescent="0.2">
      <c r="A321" s="18">
        <v>1</v>
      </c>
      <c r="B321" s="20">
        <v>46023</v>
      </c>
      <c r="C321" s="118" t="str">
        <f>LEFT(Table1[[#This Row],[Project No]],2)</f>
        <v>CS</v>
      </c>
      <c r="D321" s="17" t="s">
        <v>1570</v>
      </c>
      <c r="E321" s="18" t="s">
        <v>1543</v>
      </c>
      <c r="F321" s="18" t="s">
        <v>1543</v>
      </c>
      <c r="G321" s="19">
        <v>26589.37</v>
      </c>
      <c r="H321" s="18">
        <v>210171729</v>
      </c>
      <c r="I321" s="18" t="s">
        <v>155</v>
      </c>
      <c r="J321" s="119">
        <f>SUMIF(OpenInvoices!C:C,Table1[[#This Row],[Invoice No]],OpenInvoices!N:N)</f>
        <v>0</v>
      </c>
      <c r="K321" s="119">
        <f>IF(Table1[[#This Row],[Outstanding]]=0,Table1[[#This Row],[Invoice Amount]],Table1[[#This Row],[Outstanding]]-Table1[[#This Row],[Invoice Amount]])</f>
        <v>26589.37</v>
      </c>
    </row>
    <row r="322" spans="1:11" x14ac:dyDescent="0.2">
      <c r="A322" s="18">
        <v>1</v>
      </c>
      <c r="B322" s="20">
        <v>46023</v>
      </c>
      <c r="C322" s="118" t="str">
        <f>LEFT(Table1[[#This Row],[Project No]],2)</f>
        <v>CV</v>
      </c>
      <c r="D322" s="17" t="s">
        <v>2050</v>
      </c>
      <c r="E322" s="18" t="s">
        <v>37</v>
      </c>
      <c r="F322" s="18" t="s">
        <v>36</v>
      </c>
      <c r="G322" s="19">
        <v>6674.69</v>
      </c>
      <c r="H322" s="18">
        <v>210171730</v>
      </c>
      <c r="I322" s="18" t="s">
        <v>155</v>
      </c>
      <c r="J322" s="119">
        <f>SUMIF(OpenInvoices!C:C,Table1[[#This Row],[Invoice No]],OpenInvoices!N:N)</f>
        <v>0</v>
      </c>
      <c r="K322" s="119">
        <f>IF(Table1[[#This Row],[Outstanding]]=0,Table1[[#This Row],[Invoice Amount]],Table1[[#This Row],[Outstanding]]-Table1[[#This Row],[Invoice Amount]])</f>
        <v>6674.69</v>
      </c>
    </row>
    <row r="323" spans="1:11" x14ac:dyDescent="0.2">
      <c r="A323" s="18">
        <v>1</v>
      </c>
      <c r="B323" s="20">
        <v>46023</v>
      </c>
      <c r="C323" s="118" t="str">
        <f>LEFT(Table1[[#This Row],[Project No]],2)</f>
        <v>CY</v>
      </c>
      <c r="D323" s="17" t="s">
        <v>1571</v>
      </c>
      <c r="E323" s="18" t="s">
        <v>63</v>
      </c>
      <c r="F323" s="18" t="s">
        <v>36</v>
      </c>
      <c r="G323" s="19">
        <v>24414.2</v>
      </c>
      <c r="H323" s="18">
        <v>210171731</v>
      </c>
      <c r="I323" s="18" t="s">
        <v>155</v>
      </c>
      <c r="J323" s="119">
        <f>SUMIF(OpenInvoices!C:C,Table1[[#This Row],[Invoice No]],OpenInvoices!N:N)</f>
        <v>24414.2</v>
      </c>
      <c r="K323" s="119">
        <f>IF(Table1[[#This Row],[Outstanding]]=0,Table1[[#This Row],[Invoice Amount]],Table1[[#This Row],[Outstanding]]-Table1[[#This Row],[Invoice Amount]])</f>
        <v>0</v>
      </c>
    </row>
    <row r="324" spans="1:11" x14ac:dyDescent="0.2">
      <c r="A324" s="18">
        <v>1</v>
      </c>
      <c r="B324" s="20">
        <v>46023</v>
      </c>
      <c r="C324" s="118" t="str">
        <f>LEFT(Table1[[#This Row],[Project No]],2)</f>
        <v>DB</v>
      </c>
      <c r="D324" s="17" t="s">
        <v>1572</v>
      </c>
      <c r="E324" s="18" t="s">
        <v>1587</v>
      </c>
      <c r="F324" s="18" t="s">
        <v>1587</v>
      </c>
      <c r="G324" s="19">
        <v>8839.32</v>
      </c>
      <c r="H324" s="18">
        <v>210171732</v>
      </c>
      <c r="I324" s="18" t="s">
        <v>155</v>
      </c>
      <c r="J324" s="119">
        <f>SUMIF(OpenInvoices!C:C,Table1[[#This Row],[Invoice No]],OpenInvoices!N:N)</f>
        <v>0</v>
      </c>
      <c r="K324" s="119">
        <f>IF(Table1[[#This Row],[Outstanding]]=0,Table1[[#This Row],[Invoice Amount]],Table1[[#This Row],[Outstanding]]-Table1[[#This Row],[Invoice Amount]])</f>
        <v>8839.32</v>
      </c>
    </row>
    <row r="325" spans="1:11" x14ac:dyDescent="0.2">
      <c r="A325" s="18">
        <v>1</v>
      </c>
      <c r="B325" s="20">
        <v>46023</v>
      </c>
      <c r="C325" s="118" t="str">
        <f>LEFT(Table1[[#This Row],[Project No]],2)</f>
        <v>DB</v>
      </c>
      <c r="D325" s="17" t="s">
        <v>5547</v>
      </c>
      <c r="E325" s="18" t="s">
        <v>71</v>
      </c>
      <c r="F325" s="18" t="s">
        <v>444</v>
      </c>
      <c r="G325" s="19">
        <v>20393.12</v>
      </c>
      <c r="H325" s="18">
        <v>210171733</v>
      </c>
      <c r="I325" s="18" t="s">
        <v>155</v>
      </c>
      <c r="J325" s="119">
        <f>SUMIF(OpenInvoices!C:C,Table1[[#This Row],[Invoice No]],OpenInvoices!N:N)</f>
        <v>20393.12</v>
      </c>
      <c r="K325" s="119">
        <f>IF(Table1[[#This Row],[Outstanding]]=0,Table1[[#This Row],[Invoice Amount]],Table1[[#This Row],[Outstanding]]-Table1[[#This Row],[Invoice Amount]])</f>
        <v>0</v>
      </c>
    </row>
    <row r="326" spans="1:11" x14ac:dyDescent="0.2">
      <c r="A326" s="18">
        <v>1</v>
      </c>
      <c r="B326" s="20">
        <v>46023</v>
      </c>
      <c r="C326" s="118" t="str">
        <f>LEFT(Table1[[#This Row],[Project No]],2)</f>
        <v>DB</v>
      </c>
      <c r="D326" s="17" t="s">
        <v>1573</v>
      </c>
      <c r="E326" s="18" t="s">
        <v>656</v>
      </c>
      <c r="F326" s="18" t="s">
        <v>444</v>
      </c>
      <c r="G326" s="19">
        <v>15199.26</v>
      </c>
      <c r="H326" s="18">
        <v>210171734</v>
      </c>
      <c r="I326" s="18" t="s">
        <v>155</v>
      </c>
      <c r="J326" s="119">
        <f>SUMIF(OpenInvoices!C:C,Table1[[#This Row],[Invoice No]],OpenInvoices!N:N)</f>
        <v>15199.26</v>
      </c>
      <c r="K326" s="119">
        <f>IF(Table1[[#This Row],[Outstanding]]=0,Table1[[#This Row],[Invoice Amount]],Table1[[#This Row],[Outstanding]]-Table1[[#This Row],[Invoice Amount]])</f>
        <v>0</v>
      </c>
    </row>
    <row r="327" spans="1:11" x14ac:dyDescent="0.2">
      <c r="A327" s="18">
        <v>1</v>
      </c>
      <c r="B327" s="20">
        <v>46023</v>
      </c>
      <c r="C327" s="118" t="str">
        <f>LEFT(Table1[[#This Row],[Project No]],2)</f>
        <v>DB</v>
      </c>
      <c r="D327" s="17" t="s">
        <v>7836</v>
      </c>
      <c r="E327" s="18" t="s">
        <v>41</v>
      </c>
      <c r="F327" s="18" t="s">
        <v>444</v>
      </c>
      <c r="G327" s="19">
        <v>42951.01</v>
      </c>
      <c r="H327" s="18">
        <v>210171735</v>
      </c>
      <c r="I327" s="18" t="s">
        <v>155</v>
      </c>
      <c r="J327" s="119">
        <f>SUMIF(OpenInvoices!C:C,Table1[[#This Row],[Invoice No]],OpenInvoices!N:N)</f>
        <v>0</v>
      </c>
      <c r="K327" s="119">
        <f>IF(Table1[[#This Row],[Outstanding]]=0,Table1[[#This Row],[Invoice Amount]],Table1[[#This Row],[Outstanding]]-Table1[[#This Row],[Invoice Amount]])</f>
        <v>42951.01</v>
      </c>
    </row>
    <row r="328" spans="1:11" x14ac:dyDescent="0.2">
      <c r="A328" s="18">
        <v>1</v>
      </c>
      <c r="B328" s="20">
        <v>46023</v>
      </c>
      <c r="C328" s="118" t="str">
        <f>LEFT(Table1[[#This Row],[Project No]],2)</f>
        <v>DF</v>
      </c>
      <c r="D328" s="17" t="s">
        <v>1575</v>
      </c>
      <c r="E328" s="18" t="s">
        <v>37</v>
      </c>
      <c r="F328" s="18" t="s">
        <v>31</v>
      </c>
      <c r="G328" s="19">
        <v>317915.27</v>
      </c>
      <c r="H328" s="18">
        <v>210171736</v>
      </c>
      <c r="I328" s="18" t="s">
        <v>155</v>
      </c>
      <c r="J328" s="119">
        <f>SUMIF(OpenInvoices!C:C,Table1[[#This Row],[Invoice No]],OpenInvoices!N:N)</f>
        <v>317915.27</v>
      </c>
      <c r="K328" s="119">
        <f>IF(Table1[[#This Row],[Outstanding]]=0,Table1[[#This Row],[Invoice Amount]],Table1[[#This Row],[Outstanding]]-Table1[[#This Row],[Invoice Amount]])</f>
        <v>0</v>
      </c>
    </row>
    <row r="329" spans="1:11" x14ac:dyDescent="0.2">
      <c r="A329" s="18">
        <v>1</v>
      </c>
      <c r="B329" s="20">
        <v>46023</v>
      </c>
      <c r="C329" s="118" t="str">
        <f>LEFT(Table1[[#This Row],[Project No]],2)</f>
        <v>DF</v>
      </c>
      <c r="D329" s="17" t="s">
        <v>1576</v>
      </c>
      <c r="E329" s="18" t="s">
        <v>1070</v>
      </c>
      <c r="F329" s="18" t="s">
        <v>31</v>
      </c>
      <c r="G329" s="19">
        <v>108799.22</v>
      </c>
      <c r="H329" s="18">
        <v>210171737</v>
      </c>
      <c r="I329" s="18" t="s">
        <v>155</v>
      </c>
      <c r="J329" s="119">
        <f>SUMIF(OpenInvoices!C:C,Table1[[#This Row],[Invoice No]],OpenInvoices!N:N)</f>
        <v>0</v>
      </c>
      <c r="K329" s="119">
        <f>IF(Table1[[#This Row],[Outstanding]]=0,Table1[[#This Row],[Invoice Amount]],Table1[[#This Row],[Outstanding]]-Table1[[#This Row],[Invoice Amount]])</f>
        <v>108799.22</v>
      </c>
    </row>
    <row r="330" spans="1:11" x14ac:dyDescent="0.2">
      <c r="A330" s="18">
        <v>1</v>
      </c>
      <c r="B330" s="20">
        <v>46023</v>
      </c>
      <c r="C330" s="118" t="str">
        <f>LEFT(Table1[[#This Row],[Project No]],2)</f>
        <v>DF</v>
      </c>
      <c r="D330" s="17" t="s">
        <v>1465</v>
      </c>
      <c r="E330" s="18" t="s">
        <v>467</v>
      </c>
      <c r="F330" s="18" t="s">
        <v>31</v>
      </c>
      <c r="G330" s="19">
        <v>3886.82</v>
      </c>
      <c r="H330" s="18">
        <v>210171738</v>
      </c>
      <c r="I330" s="18" t="s">
        <v>155</v>
      </c>
      <c r="J330" s="119">
        <f>SUMIF(OpenInvoices!C:C,Table1[[#This Row],[Invoice No]],OpenInvoices!N:N)</f>
        <v>0</v>
      </c>
      <c r="K330" s="119">
        <f>IF(Table1[[#This Row],[Outstanding]]=0,Table1[[#This Row],[Invoice Amount]],Table1[[#This Row],[Outstanding]]-Table1[[#This Row],[Invoice Amount]])</f>
        <v>3886.82</v>
      </c>
    </row>
    <row r="331" spans="1:11" x14ac:dyDescent="0.2">
      <c r="A331" s="18">
        <v>1</v>
      </c>
      <c r="B331" s="20">
        <v>46023</v>
      </c>
      <c r="C331" s="118" t="str">
        <f>LEFT(Table1[[#This Row],[Project No]],2)</f>
        <v>DF</v>
      </c>
      <c r="D331" s="17" t="s">
        <v>2071</v>
      </c>
      <c r="E331" s="18" t="s">
        <v>52</v>
      </c>
      <c r="F331" s="18" t="s">
        <v>31</v>
      </c>
      <c r="G331" s="19">
        <v>3493.59</v>
      </c>
      <c r="H331" s="18">
        <v>210171739</v>
      </c>
      <c r="I331" s="18" t="s">
        <v>155</v>
      </c>
      <c r="J331" s="119">
        <f>SUMIF(OpenInvoices!C:C,Table1[[#This Row],[Invoice No]],OpenInvoices!N:N)</f>
        <v>0</v>
      </c>
      <c r="K331" s="119">
        <f>IF(Table1[[#This Row],[Outstanding]]=0,Table1[[#This Row],[Invoice Amount]],Table1[[#This Row],[Outstanding]]-Table1[[#This Row],[Invoice Amount]])</f>
        <v>3493.59</v>
      </c>
    </row>
    <row r="332" spans="1:11" x14ac:dyDescent="0.2">
      <c r="A332" s="18">
        <v>1</v>
      </c>
      <c r="B332" s="20">
        <v>46023</v>
      </c>
      <c r="C332" s="118" t="str">
        <f>LEFT(Table1[[#This Row],[Project No]],2)</f>
        <v>DF</v>
      </c>
      <c r="D332" s="17" t="s">
        <v>3578</v>
      </c>
      <c r="E332" s="18" t="s">
        <v>41</v>
      </c>
      <c r="F332" s="18" t="s">
        <v>30</v>
      </c>
      <c r="G332" s="19">
        <v>42754.89</v>
      </c>
      <c r="H332" s="18">
        <v>210171740</v>
      </c>
      <c r="I332" s="18" t="s">
        <v>155</v>
      </c>
      <c r="J332" s="119">
        <f>SUMIF(OpenInvoices!C:C,Table1[[#This Row],[Invoice No]],OpenInvoices!N:N)</f>
        <v>0</v>
      </c>
      <c r="K332" s="119">
        <f>IF(Table1[[#This Row],[Outstanding]]=0,Table1[[#This Row],[Invoice Amount]],Table1[[#This Row],[Outstanding]]-Table1[[#This Row],[Invoice Amount]])</f>
        <v>42754.89</v>
      </c>
    </row>
    <row r="333" spans="1:11" x14ac:dyDescent="0.2">
      <c r="A333" s="18">
        <v>1</v>
      </c>
      <c r="B333" s="20">
        <v>46023</v>
      </c>
      <c r="C333" s="118" t="str">
        <f>LEFT(Table1[[#This Row],[Project No]],2)</f>
        <v>DG</v>
      </c>
      <c r="D333" s="17" t="s">
        <v>8174</v>
      </c>
      <c r="E333" s="18" t="s">
        <v>47</v>
      </c>
      <c r="F333" s="18" t="s">
        <v>53</v>
      </c>
      <c r="G333" s="19">
        <v>3479.33</v>
      </c>
      <c r="H333" s="18">
        <v>210171741</v>
      </c>
      <c r="I333" s="18" t="s">
        <v>155</v>
      </c>
      <c r="J333" s="119">
        <f>SUMIF(OpenInvoices!C:C,Table1[[#This Row],[Invoice No]],OpenInvoices!N:N)</f>
        <v>0</v>
      </c>
      <c r="K333" s="119">
        <f>IF(Table1[[#This Row],[Outstanding]]=0,Table1[[#This Row],[Invoice Amount]],Table1[[#This Row],[Outstanding]]-Table1[[#This Row],[Invoice Amount]])</f>
        <v>3479.33</v>
      </c>
    </row>
    <row r="334" spans="1:11" x14ac:dyDescent="0.2">
      <c r="A334" s="18">
        <v>1</v>
      </c>
      <c r="B334" s="20">
        <v>46023</v>
      </c>
      <c r="C334" s="118" t="str">
        <f>LEFT(Table1[[#This Row],[Project No]],2)</f>
        <v>DH</v>
      </c>
      <c r="D334" s="17" t="s">
        <v>654</v>
      </c>
      <c r="E334" s="18" t="s">
        <v>25</v>
      </c>
      <c r="F334" s="18" t="s">
        <v>31</v>
      </c>
      <c r="G334" s="19">
        <v>48130.36</v>
      </c>
      <c r="H334" s="18">
        <v>210171742</v>
      </c>
      <c r="I334" s="18" t="s">
        <v>155</v>
      </c>
      <c r="J334" s="119">
        <f>SUMIF(OpenInvoices!C:C,Table1[[#This Row],[Invoice No]],OpenInvoices!N:N)</f>
        <v>0</v>
      </c>
      <c r="K334" s="119">
        <f>IF(Table1[[#This Row],[Outstanding]]=0,Table1[[#This Row],[Invoice Amount]],Table1[[#This Row],[Outstanding]]-Table1[[#This Row],[Invoice Amount]])</f>
        <v>48130.36</v>
      </c>
    </row>
    <row r="335" spans="1:11" x14ac:dyDescent="0.2">
      <c r="A335" s="18">
        <v>1</v>
      </c>
      <c r="B335" s="20">
        <v>46023</v>
      </c>
      <c r="C335" s="118" t="str">
        <f>LEFT(Table1[[#This Row],[Project No]],2)</f>
        <v>DJ</v>
      </c>
      <c r="D335" s="17" t="s">
        <v>5555</v>
      </c>
      <c r="E335" s="18" t="s">
        <v>34</v>
      </c>
      <c r="F335" s="18" t="s">
        <v>31</v>
      </c>
      <c r="G335" s="19">
        <v>1894.39</v>
      </c>
      <c r="H335" s="18">
        <v>210171743</v>
      </c>
      <c r="I335" s="18" t="s">
        <v>155</v>
      </c>
      <c r="J335" s="119">
        <f>SUMIF(OpenInvoices!C:C,Table1[[#This Row],[Invoice No]],OpenInvoices!N:N)</f>
        <v>1894.39</v>
      </c>
      <c r="K335" s="119">
        <f>IF(Table1[[#This Row],[Outstanding]]=0,Table1[[#This Row],[Invoice Amount]],Table1[[#This Row],[Outstanding]]-Table1[[#This Row],[Invoice Amount]])</f>
        <v>0</v>
      </c>
    </row>
    <row r="336" spans="1:11" x14ac:dyDescent="0.2">
      <c r="A336" s="18">
        <v>1</v>
      </c>
      <c r="B336" s="20">
        <v>46023</v>
      </c>
      <c r="C336" s="118" t="str">
        <f>LEFT(Table1[[#This Row],[Project No]],2)</f>
        <v>DU</v>
      </c>
      <c r="D336" s="17" t="s">
        <v>3774</v>
      </c>
      <c r="E336" s="18" t="s">
        <v>1542</v>
      </c>
      <c r="F336" s="18" t="s">
        <v>31</v>
      </c>
      <c r="G336" s="19">
        <v>30562.73</v>
      </c>
      <c r="H336" s="18">
        <v>210171744</v>
      </c>
      <c r="I336" s="18" t="s">
        <v>155</v>
      </c>
      <c r="J336" s="119">
        <f>SUMIF(OpenInvoices!C:C,Table1[[#This Row],[Invoice No]],OpenInvoices!N:N)</f>
        <v>0</v>
      </c>
      <c r="K336" s="119">
        <f>IF(Table1[[#This Row],[Outstanding]]=0,Table1[[#This Row],[Invoice Amount]],Table1[[#This Row],[Outstanding]]-Table1[[#This Row],[Invoice Amount]])</f>
        <v>30562.73</v>
      </c>
    </row>
    <row r="337" spans="1:11" x14ac:dyDescent="0.2">
      <c r="A337" s="18">
        <v>1</v>
      </c>
      <c r="B337" s="20">
        <v>46023</v>
      </c>
      <c r="C337" s="118" t="str">
        <f>LEFT(Table1[[#This Row],[Project No]],2)</f>
        <v>EB</v>
      </c>
      <c r="D337" s="17" t="s">
        <v>2060</v>
      </c>
      <c r="E337" s="18" t="s">
        <v>2062</v>
      </c>
      <c r="F337" s="18" t="s">
        <v>30</v>
      </c>
      <c r="G337" s="19">
        <v>14932.77</v>
      </c>
      <c r="H337" s="18">
        <v>210171745</v>
      </c>
      <c r="I337" s="18" t="s">
        <v>155</v>
      </c>
      <c r="J337" s="119">
        <f>SUMIF(OpenInvoices!C:C,Table1[[#This Row],[Invoice No]],OpenInvoices!N:N)</f>
        <v>14932.77</v>
      </c>
      <c r="K337" s="119">
        <f>IF(Table1[[#This Row],[Outstanding]]=0,Table1[[#This Row],[Invoice Amount]],Table1[[#This Row],[Outstanding]]-Table1[[#This Row],[Invoice Amount]])</f>
        <v>0</v>
      </c>
    </row>
    <row r="338" spans="1:11" x14ac:dyDescent="0.2">
      <c r="A338" s="18">
        <v>1</v>
      </c>
      <c r="B338" s="20">
        <v>46023</v>
      </c>
      <c r="C338" s="118" t="str">
        <f>LEFT(Table1[[#This Row],[Project No]],2)</f>
        <v>H4</v>
      </c>
      <c r="D338" s="17" t="s">
        <v>1368</v>
      </c>
      <c r="E338" s="18" t="s">
        <v>16</v>
      </c>
      <c r="F338" s="18" t="s">
        <v>16</v>
      </c>
      <c r="G338" s="19">
        <v>676.46</v>
      </c>
      <c r="H338" s="18">
        <v>210171746</v>
      </c>
      <c r="I338" s="18" t="s">
        <v>155</v>
      </c>
      <c r="J338" s="119">
        <f>SUMIF(OpenInvoices!C:C,Table1[[#This Row],[Invoice No]],OpenInvoices!N:N)</f>
        <v>676.46</v>
      </c>
      <c r="K338" s="119">
        <f>IF(Table1[[#This Row],[Outstanding]]=0,Table1[[#This Row],[Invoice Amount]],Table1[[#This Row],[Outstanding]]-Table1[[#This Row],[Invoice Amount]])</f>
        <v>0</v>
      </c>
    </row>
    <row r="339" spans="1:11" x14ac:dyDescent="0.2">
      <c r="A339" s="18">
        <v>1</v>
      </c>
      <c r="B339" s="20">
        <v>46023</v>
      </c>
      <c r="C339" s="118" t="str">
        <f>LEFT(Table1[[#This Row],[Project No]],2)</f>
        <v>H4</v>
      </c>
      <c r="D339" s="17" t="s">
        <v>2072</v>
      </c>
      <c r="E339" s="18" t="s">
        <v>2080</v>
      </c>
      <c r="F339" s="18" t="s">
        <v>28</v>
      </c>
      <c r="G339" s="19">
        <v>6031.48</v>
      </c>
      <c r="H339" s="18">
        <v>210171747</v>
      </c>
      <c r="I339" s="18" t="s">
        <v>155</v>
      </c>
      <c r="J339" s="119">
        <f>SUMIF(OpenInvoices!C:C,Table1[[#This Row],[Invoice No]],OpenInvoices!N:N)</f>
        <v>6031.48</v>
      </c>
      <c r="K339" s="119">
        <f>IF(Table1[[#This Row],[Outstanding]]=0,Table1[[#This Row],[Invoice Amount]],Table1[[#This Row],[Outstanding]]-Table1[[#This Row],[Invoice Amount]])</f>
        <v>0</v>
      </c>
    </row>
    <row r="340" spans="1:11" x14ac:dyDescent="0.2">
      <c r="A340" s="18">
        <v>1</v>
      </c>
      <c r="B340" s="20">
        <v>46023</v>
      </c>
      <c r="C340" s="118" t="str">
        <f>LEFT(Table1[[#This Row],[Project No]],2)</f>
        <v>H6</v>
      </c>
      <c r="D340" s="17" t="s">
        <v>2073</v>
      </c>
      <c r="E340" s="18" t="s">
        <v>721</v>
      </c>
      <c r="F340" s="18" t="s">
        <v>721</v>
      </c>
      <c r="G340" s="19">
        <v>14458.16</v>
      </c>
      <c r="H340" s="18">
        <v>210171748</v>
      </c>
      <c r="I340" s="18" t="s">
        <v>155</v>
      </c>
      <c r="J340" s="119">
        <f>SUMIF(OpenInvoices!C:C,Table1[[#This Row],[Invoice No]],OpenInvoices!N:N)</f>
        <v>14458.16</v>
      </c>
      <c r="K340" s="119">
        <f>IF(Table1[[#This Row],[Outstanding]]=0,Table1[[#This Row],[Invoice Amount]],Table1[[#This Row],[Outstanding]]-Table1[[#This Row],[Invoice Amount]])</f>
        <v>0</v>
      </c>
    </row>
    <row r="341" spans="1:11" x14ac:dyDescent="0.2">
      <c r="A341" s="18">
        <v>1</v>
      </c>
      <c r="B341" s="20">
        <v>46023</v>
      </c>
      <c r="C341" s="118" t="str">
        <f>LEFT(Table1[[#This Row],[Project No]],2)</f>
        <v>HB</v>
      </c>
      <c r="D341" s="17" t="s">
        <v>2074</v>
      </c>
      <c r="E341" s="18" t="s">
        <v>1066</v>
      </c>
      <c r="F341" s="18" t="s">
        <v>1066</v>
      </c>
      <c r="G341" s="19">
        <v>18417.099999999999</v>
      </c>
      <c r="H341" s="18">
        <v>210171749</v>
      </c>
      <c r="I341" s="18" t="s">
        <v>155</v>
      </c>
      <c r="J341" s="119">
        <f>SUMIF(OpenInvoices!C:C,Table1[[#This Row],[Invoice No]],OpenInvoices!N:N)</f>
        <v>18417.099999999999</v>
      </c>
      <c r="K341" s="119">
        <f>IF(Table1[[#This Row],[Outstanding]]=0,Table1[[#This Row],[Invoice Amount]],Table1[[#This Row],[Outstanding]]-Table1[[#This Row],[Invoice Amount]])</f>
        <v>0</v>
      </c>
    </row>
    <row r="342" spans="1:11" x14ac:dyDescent="0.2">
      <c r="A342" s="18">
        <v>1</v>
      </c>
      <c r="B342" s="20">
        <v>46023</v>
      </c>
      <c r="C342" s="118" t="str">
        <f>LEFT(Table1[[#This Row],[Project No]],2)</f>
        <v>HB</v>
      </c>
      <c r="D342" s="17" t="s">
        <v>1577</v>
      </c>
      <c r="E342" s="18" t="s">
        <v>1066</v>
      </c>
      <c r="F342" s="18" t="s">
        <v>1066</v>
      </c>
      <c r="G342" s="19">
        <v>17215.05</v>
      </c>
      <c r="H342" s="18">
        <v>210171750</v>
      </c>
      <c r="I342" s="18" t="s">
        <v>155</v>
      </c>
      <c r="J342" s="119">
        <f>SUMIF(OpenInvoices!C:C,Table1[[#This Row],[Invoice No]],OpenInvoices!N:N)</f>
        <v>0</v>
      </c>
      <c r="K342" s="119">
        <f>IF(Table1[[#This Row],[Outstanding]]=0,Table1[[#This Row],[Invoice Amount]],Table1[[#This Row],[Outstanding]]-Table1[[#This Row],[Invoice Amount]])</f>
        <v>17215.05</v>
      </c>
    </row>
    <row r="343" spans="1:11" x14ac:dyDescent="0.2">
      <c r="A343" s="18">
        <v>1</v>
      </c>
      <c r="B343" s="20">
        <v>46023</v>
      </c>
      <c r="C343" s="118" t="str">
        <f>LEFT(Table1[[#This Row],[Project No]],2)</f>
        <v>HB</v>
      </c>
      <c r="D343" s="17" t="s">
        <v>8175</v>
      </c>
      <c r="E343" s="18" t="s">
        <v>415</v>
      </c>
      <c r="F343" s="18" t="s">
        <v>415</v>
      </c>
      <c r="G343" s="19">
        <v>5706.74</v>
      </c>
      <c r="H343" s="18">
        <v>210171751</v>
      </c>
      <c r="I343" s="18" t="s">
        <v>155</v>
      </c>
      <c r="J343" s="119">
        <f>SUMIF(OpenInvoices!C:C,Table1[[#This Row],[Invoice No]],OpenInvoices!N:N)</f>
        <v>0</v>
      </c>
      <c r="K343" s="119">
        <f>IF(Table1[[#This Row],[Outstanding]]=0,Table1[[#This Row],[Invoice Amount]],Table1[[#This Row],[Outstanding]]-Table1[[#This Row],[Invoice Amount]])</f>
        <v>5706.74</v>
      </c>
    </row>
    <row r="344" spans="1:11" x14ac:dyDescent="0.2">
      <c r="A344" s="18">
        <v>1</v>
      </c>
      <c r="B344" s="20">
        <v>46023</v>
      </c>
      <c r="C344" s="118" t="str">
        <f>LEFT(Table1[[#This Row],[Project No]],2)</f>
        <v>HE</v>
      </c>
      <c r="D344" s="17" t="s">
        <v>2863</v>
      </c>
      <c r="E344" s="18" t="s">
        <v>1197</v>
      </c>
      <c r="F344" s="18" t="s">
        <v>955</v>
      </c>
      <c r="G344" s="19">
        <v>7776.47</v>
      </c>
      <c r="H344" s="18">
        <v>210171752</v>
      </c>
      <c r="I344" s="18" t="s">
        <v>155</v>
      </c>
      <c r="J344" s="119">
        <f>SUMIF(OpenInvoices!C:C,Table1[[#This Row],[Invoice No]],OpenInvoices!N:N)</f>
        <v>0</v>
      </c>
      <c r="K344" s="119">
        <f>IF(Table1[[#This Row],[Outstanding]]=0,Table1[[#This Row],[Invoice Amount]],Table1[[#This Row],[Outstanding]]-Table1[[#This Row],[Invoice Amount]])</f>
        <v>7776.47</v>
      </c>
    </row>
    <row r="345" spans="1:11" x14ac:dyDescent="0.2">
      <c r="A345" s="18">
        <v>1</v>
      </c>
      <c r="B345" s="20">
        <v>46023</v>
      </c>
      <c r="C345" s="118" t="str">
        <f>LEFT(Table1[[#This Row],[Project No]],2)</f>
        <v>HF</v>
      </c>
      <c r="D345" s="17" t="s">
        <v>1063</v>
      </c>
      <c r="E345" s="18" t="s">
        <v>41</v>
      </c>
      <c r="F345" s="18" t="s">
        <v>10</v>
      </c>
      <c r="G345" s="19">
        <v>427.74</v>
      </c>
      <c r="H345" s="18">
        <v>210171753</v>
      </c>
      <c r="I345" s="18" t="s">
        <v>155</v>
      </c>
      <c r="J345" s="119">
        <f>SUMIF(OpenInvoices!C:C,Table1[[#This Row],[Invoice No]],OpenInvoices!N:N)</f>
        <v>0</v>
      </c>
      <c r="K345" s="119">
        <f>IF(Table1[[#This Row],[Outstanding]]=0,Table1[[#This Row],[Invoice Amount]],Table1[[#This Row],[Outstanding]]-Table1[[#This Row],[Invoice Amount]])</f>
        <v>427.74</v>
      </c>
    </row>
    <row r="346" spans="1:11" x14ac:dyDescent="0.2">
      <c r="A346" s="18">
        <v>1</v>
      </c>
      <c r="B346" s="20">
        <v>46023</v>
      </c>
      <c r="C346" s="118" t="str">
        <f>LEFT(Table1[[#This Row],[Project No]],2)</f>
        <v>HF</v>
      </c>
      <c r="D346" s="17" t="s">
        <v>1578</v>
      </c>
      <c r="E346" s="18" t="s">
        <v>1148</v>
      </c>
      <c r="F346" s="18" t="s">
        <v>10</v>
      </c>
      <c r="G346" s="19">
        <v>74232.399999999994</v>
      </c>
      <c r="H346" s="18">
        <v>210171754</v>
      </c>
      <c r="I346" s="18" t="s">
        <v>155</v>
      </c>
      <c r="J346" s="119">
        <f>SUMIF(OpenInvoices!C:C,Table1[[#This Row],[Invoice No]],OpenInvoices!N:N)</f>
        <v>0</v>
      </c>
      <c r="K346" s="119">
        <f>IF(Table1[[#This Row],[Outstanding]]=0,Table1[[#This Row],[Invoice Amount]],Table1[[#This Row],[Outstanding]]-Table1[[#This Row],[Invoice Amount]])</f>
        <v>74232.399999999994</v>
      </c>
    </row>
    <row r="347" spans="1:11" x14ac:dyDescent="0.2">
      <c r="A347" s="18">
        <v>1</v>
      </c>
      <c r="B347" s="20">
        <v>46023</v>
      </c>
      <c r="C347" s="118" t="str">
        <f>LEFT(Table1[[#This Row],[Project No]],2)</f>
        <v>HF</v>
      </c>
      <c r="D347" s="17" t="s">
        <v>1998</v>
      </c>
      <c r="E347" s="18" t="s">
        <v>1070</v>
      </c>
      <c r="F347" s="18" t="s">
        <v>10</v>
      </c>
      <c r="G347" s="19">
        <v>978.72</v>
      </c>
      <c r="H347" s="18">
        <v>210171755</v>
      </c>
      <c r="I347" s="18" t="s">
        <v>155</v>
      </c>
      <c r="J347" s="119">
        <f>SUMIF(OpenInvoices!C:C,Table1[[#This Row],[Invoice No]],OpenInvoices!N:N)</f>
        <v>0</v>
      </c>
      <c r="K347" s="119">
        <f>IF(Table1[[#This Row],[Outstanding]]=0,Table1[[#This Row],[Invoice Amount]],Table1[[#This Row],[Outstanding]]-Table1[[#This Row],[Invoice Amount]])</f>
        <v>978.72</v>
      </c>
    </row>
    <row r="348" spans="1:11" x14ac:dyDescent="0.2">
      <c r="A348" s="18">
        <v>1</v>
      </c>
      <c r="B348" s="20">
        <v>46023</v>
      </c>
      <c r="C348" s="118" t="str">
        <f>LEFT(Table1[[#This Row],[Project No]],2)</f>
        <v>HF</v>
      </c>
      <c r="D348" s="17" t="s">
        <v>2075</v>
      </c>
      <c r="E348" s="18" t="s">
        <v>21</v>
      </c>
      <c r="F348" s="18" t="s">
        <v>31</v>
      </c>
      <c r="G348" s="19">
        <v>2753.75</v>
      </c>
      <c r="H348" s="18">
        <v>210171756</v>
      </c>
      <c r="I348" s="18" t="s">
        <v>155</v>
      </c>
      <c r="J348" s="119">
        <f>SUMIF(OpenInvoices!C:C,Table1[[#This Row],[Invoice No]],OpenInvoices!N:N)</f>
        <v>2753.75</v>
      </c>
      <c r="K348" s="119">
        <f>IF(Table1[[#This Row],[Outstanding]]=0,Table1[[#This Row],[Invoice Amount]],Table1[[#This Row],[Outstanding]]-Table1[[#This Row],[Invoice Amount]])</f>
        <v>0</v>
      </c>
    </row>
    <row r="349" spans="1:11" x14ac:dyDescent="0.2">
      <c r="A349" s="18">
        <v>1</v>
      </c>
      <c r="B349" s="20">
        <v>46023</v>
      </c>
      <c r="C349" s="118" t="str">
        <f>LEFT(Table1[[#This Row],[Project No]],2)</f>
        <v>HJ</v>
      </c>
      <c r="D349" s="17" t="s">
        <v>1369</v>
      </c>
      <c r="E349" s="18" t="s">
        <v>624</v>
      </c>
      <c r="F349" s="18" t="s">
        <v>10</v>
      </c>
      <c r="G349" s="19">
        <v>43268.38</v>
      </c>
      <c r="H349" s="18">
        <v>210171757</v>
      </c>
      <c r="I349" s="18" t="s">
        <v>155</v>
      </c>
      <c r="J349" s="119">
        <f>SUMIF(OpenInvoices!C:C,Table1[[#This Row],[Invoice No]],OpenInvoices!N:N)</f>
        <v>43268.38</v>
      </c>
      <c r="K349" s="119">
        <f>IF(Table1[[#This Row],[Outstanding]]=0,Table1[[#This Row],[Invoice Amount]],Table1[[#This Row],[Outstanding]]-Table1[[#This Row],[Invoice Amount]])</f>
        <v>0</v>
      </c>
    </row>
    <row r="350" spans="1:11" x14ac:dyDescent="0.2">
      <c r="A350" s="18">
        <v>1</v>
      </c>
      <c r="B350" s="20">
        <v>46023</v>
      </c>
      <c r="C350" s="118" t="str">
        <f>LEFT(Table1[[#This Row],[Project No]],2)</f>
        <v>HM</v>
      </c>
      <c r="D350" s="17" t="s">
        <v>1579</v>
      </c>
      <c r="E350" s="18" t="s">
        <v>25</v>
      </c>
      <c r="F350" s="18" t="s">
        <v>10</v>
      </c>
      <c r="G350" s="19">
        <v>370.9</v>
      </c>
      <c r="H350" s="18">
        <v>210171758</v>
      </c>
      <c r="I350" s="18" t="s">
        <v>155</v>
      </c>
      <c r="J350" s="119">
        <f>SUMIF(OpenInvoices!C:C,Table1[[#This Row],[Invoice No]],OpenInvoices!N:N)</f>
        <v>0</v>
      </c>
      <c r="K350" s="119">
        <f>IF(Table1[[#This Row],[Outstanding]]=0,Table1[[#This Row],[Invoice Amount]],Table1[[#This Row],[Outstanding]]-Table1[[#This Row],[Invoice Amount]])</f>
        <v>370.9</v>
      </c>
    </row>
    <row r="351" spans="1:11" x14ac:dyDescent="0.2">
      <c r="A351" s="18">
        <v>1</v>
      </c>
      <c r="B351" s="20">
        <v>46023</v>
      </c>
      <c r="C351" s="118" t="str">
        <f>LEFT(Table1[[#This Row],[Project No]],2)</f>
        <v>HM</v>
      </c>
      <c r="D351" s="17" t="s">
        <v>1580</v>
      </c>
      <c r="E351" s="18" t="s">
        <v>1588</v>
      </c>
      <c r="F351" s="18" t="s">
        <v>1588</v>
      </c>
      <c r="G351" s="26">
        <v>11091.72</v>
      </c>
      <c r="H351" s="18">
        <v>210171759</v>
      </c>
      <c r="I351" s="18" t="s">
        <v>155</v>
      </c>
      <c r="J351" s="119">
        <f>SUMIF(OpenInvoices!C:C,Table1[[#This Row],[Invoice No]],OpenInvoices!N:N)</f>
        <v>0</v>
      </c>
      <c r="K351" s="119">
        <f>IF(Table1[[#This Row],[Outstanding]]=0,Table1[[#This Row],[Invoice Amount]],Table1[[#This Row],[Outstanding]]-Table1[[#This Row],[Invoice Amount]])</f>
        <v>11091.72</v>
      </c>
    </row>
    <row r="352" spans="1:11" x14ac:dyDescent="0.2">
      <c r="A352" s="18">
        <v>1</v>
      </c>
      <c r="B352" s="20">
        <v>46023</v>
      </c>
      <c r="C352" s="118" t="str">
        <f>LEFT(Table1[[#This Row],[Project No]],2)</f>
        <v>HM</v>
      </c>
      <c r="D352" s="17" t="s">
        <v>2076</v>
      </c>
      <c r="E352" s="18" t="s">
        <v>461</v>
      </c>
      <c r="F352" s="18" t="s">
        <v>27</v>
      </c>
      <c r="G352" s="26">
        <v>19433.419999999998</v>
      </c>
      <c r="H352" s="18">
        <v>210171760</v>
      </c>
      <c r="I352" s="18" t="s">
        <v>155</v>
      </c>
      <c r="J352" s="119">
        <f>SUMIF(OpenInvoices!C:C,Table1[[#This Row],[Invoice No]],OpenInvoices!N:N)</f>
        <v>19433.419999999998</v>
      </c>
      <c r="K352" s="119">
        <f>IF(Table1[[#This Row],[Outstanding]]=0,Table1[[#This Row],[Invoice Amount]],Table1[[#This Row],[Outstanding]]-Table1[[#This Row],[Invoice Amount]])</f>
        <v>0</v>
      </c>
    </row>
    <row r="353" spans="1:11" x14ac:dyDescent="0.2">
      <c r="A353" s="18">
        <v>1</v>
      </c>
      <c r="B353" s="20">
        <v>46023</v>
      </c>
      <c r="C353" s="118" t="str">
        <f>LEFT(Table1[[#This Row],[Project No]],2)</f>
        <v>HM</v>
      </c>
      <c r="D353" s="17" t="s">
        <v>3160</v>
      </c>
      <c r="E353" s="18" t="s">
        <v>16</v>
      </c>
      <c r="F353" s="18" t="s">
        <v>10</v>
      </c>
      <c r="G353" s="26">
        <v>53442.39</v>
      </c>
      <c r="H353" s="18">
        <v>210171761</v>
      </c>
      <c r="I353" s="18" t="s">
        <v>155</v>
      </c>
      <c r="J353" s="119">
        <f>SUMIF(OpenInvoices!C:C,Table1[[#This Row],[Invoice No]],OpenInvoices!N:N)</f>
        <v>53442.39</v>
      </c>
      <c r="K353" s="119">
        <f>IF(Table1[[#This Row],[Outstanding]]=0,Table1[[#This Row],[Invoice Amount]],Table1[[#This Row],[Outstanding]]-Table1[[#This Row],[Invoice Amount]])</f>
        <v>0</v>
      </c>
    </row>
    <row r="354" spans="1:11" x14ac:dyDescent="0.2">
      <c r="A354" s="18">
        <v>1</v>
      </c>
      <c r="B354" s="20">
        <v>46023</v>
      </c>
      <c r="C354" s="118" t="str">
        <f>LEFT(Table1[[#This Row],[Project No]],2)</f>
        <v>HM</v>
      </c>
      <c r="D354" s="17" t="s">
        <v>5561</v>
      </c>
      <c r="E354" s="18" t="s">
        <v>925</v>
      </c>
      <c r="F354" s="18" t="s">
        <v>925</v>
      </c>
      <c r="G354" s="26">
        <v>17005.14</v>
      </c>
      <c r="H354" s="18">
        <v>210171762</v>
      </c>
      <c r="I354" s="18" t="s">
        <v>155</v>
      </c>
      <c r="J354" s="119">
        <f>SUMIF(OpenInvoices!C:C,Table1[[#This Row],[Invoice No]],OpenInvoices!N:N)</f>
        <v>17005.14</v>
      </c>
      <c r="K354" s="119">
        <f>IF(Table1[[#This Row],[Outstanding]]=0,Table1[[#This Row],[Invoice Amount]],Table1[[#This Row],[Outstanding]]-Table1[[#This Row],[Invoice Amount]])</f>
        <v>0</v>
      </c>
    </row>
    <row r="355" spans="1:11" x14ac:dyDescent="0.2">
      <c r="A355" s="18">
        <v>1</v>
      </c>
      <c r="B355" s="20">
        <v>46023</v>
      </c>
      <c r="C355" s="118" t="str">
        <f>LEFT(Table1[[#This Row],[Project No]],2)</f>
        <v>HM</v>
      </c>
      <c r="D355" s="17" t="s">
        <v>8176</v>
      </c>
      <c r="E355" s="18" t="s">
        <v>412</v>
      </c>
      <c r="F355" s="18" t="s">
        <v>10</v>
      </c>
      <c r="G355" s="26">
        <v>6959.74</v>
      </c>
      <c r="H355" s="18">
        <v>210171763</v>
      </c>
      <c r="I355" s="18" t="s">
        <v>155</v>
      </c>
      <c r="J355" s="119">
        <f>SUMIF(OpenInvoices!C:C,Table1[[#This Row],[Invoice No]],OpenInvoices!N:N)</f>
        <v>0</v>
      </c>
      <c r="K355" s="119">
        <f>IF(Table1[[#This Row],[Outstanding]]=0,Table1[[#This Row],[Invoice Amount]],Table1[[#This Row],[Outstanding]]-Table1[[#This Row],[Invoice Amount]])</f>
        <v>6959.74</v>
      </c>
    </row>
    <row r="356" spans="1:11" x14ac:dyDescent="0.2">
      <c r="A356" s="18">
        <v>1</v>
      </c>
      <c r="B356" s="20">
        <v>46023</v>
      </c>
      <c r="C356" s="118" t="str">
        <f>LEFT(Table1[[#This Row],[Project No]],2)</f>
        <v>HQ</v>
      </c>
      <c r="D356" s="17" t="s">
        <v>954</v>
      </c>
      <c r="E356" s="18" t="s">
        <v>38</v>
      </c>
      <c r="F356" s="18" t="s">
        <v>48</v>
      </c>
      <c r="G356" s="26">
        <v>31958.6</v>
      </c>
      <c r="H356" s="18">
        <v>210171764</v>
      </c>
      <c r="I356" s="18" t="s">
        <v>155</v>
      </c>
      <c r="J356" s="119">
        <f>SUMIF(OpenInvoices!C:C,Table1[[#This Row],[Invoice No]],OpenInvoices!N:N)</f>
        <v>0</v>
      </c>
      <c r="K356" s="119">
        <f>IF(Table1[[#This Row],[Outstanding]]=0,Table1[[#This Row],[Invoice Amount]],Table1[[#This Row],[Outstanding]]-Table1[[#This Row],[Invoice Amount]])</f>
        <v>31958.6</v>
      </c>
    </row>
    <row r="357" spans="1:11" x14ac:dyDescent="0.2">
      <c r="A357" s="18">
        <v>1</v>
      </c>
      <c r="B357" s="20">
        <v>46023</v>
      </c>
      <c r="C357" s="118" t="str">
        <f>LEFT(Table1[[#This Row],[Project No]],2)</f>
        <v>HQ</v>
      </c>
      <c r="D357" s="17" t="s">
        <v>2078</v>
      </c>
      <c r="E357" s="18" t="s">
        <v>26</v>
      </c>
      <c r="F357" s="18" t="s">
        <v>48</v>
      </c>
      <c r="G357" s="26">
        <v>33675.129999999997</v>
      </c>
      <c r="H357" s="18">
        <v>210171765</v>
      </c>
      <c r="I357" s="18" t="s">
        <v>155</v>
      </c>
      <c r="J357" s="119">
        <f>SUMIF(OpenInvoices!C:C,Table1[[#This Row],[Invoice No]],OpenInvoices!N:N)</f>
        <v>0</v>
      </c>
      <c r="K357" s="119">
        <f>IF(Table1[[#This Row],[Outstanding]]=0,Table1[[#This Row],[Invoice Amount]],Table1[[#This Row],[Outstanding]]-Table1[[#This Row],[Invoice Amount]])</f>
        <v>33675.129999999997</v>
      </c>
    </row>
    <row r="358" spans="1:11" x14ac:dyDescent="0.2">
      <c r="A358" s="18">
        <v>1</v>
      </c>
      <c r="B358" s="20">
        <v>46023</v>
      </c>
      <c r="C358" s="118" t="str">
        <f>LEFT(Table1[[#This Row],[Project No]],2)</f>
        <v>HQ</v>
      </c>
      <c r="D358" s="17" t="s">
        <v>2864</v>
      </c>
      <c r="E358" s="18" t="s">
        <v>2866</v>
      </c>
      <c r="F358" s="18" t="s">
        <v>1543</v>
      </c>
      <c r="G358" s="26">
        <v>27166.71</v>
      </c>
      <c r="H358" s="18">
        <v>210171766</v>
      </c>
      <c r="I358" s="18" t="s">
        <v>155</v>
      </c>
      <c r="J358" s="119">
        <f>SUMIF(OpenInvoices!C:C,Table1[[#This Row],[Invoice No]],OpenInvoices!N:N)</f>
        <v>0</v>
      </c>
      <c r="K358" s="119">
        <f>IF(Table1[[#This Row],[Outstanding]]=0,Table1[[#This Row],[Invoice Amount]],Table1[[#This Row],[Outstanding]]-Table1[[#This Row],[Invoice Amount]])</f>
        <v>27166.71</v>
      </c>
    </row>
    <row r="359" spans="1:11" x14ac:dyDescent="0.2">
      <c r="A359" s="18">
        <v>1</v>
      </c>
      <c r="B359" s="20">
        <v>46023</v>
      </c>
      <c r="C359" s="118" t="str">
        <f>LEFT(Table1[[#This Row],[Project No]],2)</f>
        <v>HQ</v>
      </c>
      <c r="D359" s="17" t="s">
        <v>5582</v>
      </c>
      <c r="E359" s="18" t="s">
        <v>5579</v>
      </c>
      <c r="F359" s="18" t="s">
        <v>10</v>
      </c>
      <c r="G359" s="26">
        <v>1494.46</v>
      </c>
      <c r="H359" s="18">
        <v>210171767</v>
      </c>
      <c r="I359" s="18" t="s">
        <v>155</v>
      </c>
      <c r="J359" s="119">
        <f>SUMIF(OpenInvoices!C:C,Table1[[#This Row],[Invoice No]],OpenInvoices!N:N)</f>
        <v>1494.46</v>
      </c>
      <c r="K359" s="119">
        <f>IF(Table1[[#This Row],[Outstanding]]=0,Table1[[#This Row],[Invoice Amount]],Table1[[#This Row],[Outstanding]]-Table1[[#This Row],[Invoice Amount]])</f>
        <v>0</v>
      </c>
    </row>
    <row r="360" spans="1:11" x14ac:dyDescent="0.2">
      <c r="A360" s="18">
        <v>1</v>
      </c>
      <c r="B360" s="20">
        <v>46023</v>
      </c>
      <c r="C360" s="118" t="str">
        <f>LEFT(Table1[[#This Row],[Project No]],2)</f>
        <v>PS</v>
      </c>
      <c r="D360" s="17" t="s">
        <v>1281</v>
      </c>
      <c r="E360" s="18" t="s">
        <v>37</v>
      </c>
      <c r="F360" s="18" t="s">
        <v>31</v>
      </c>
      <c r="G360" s="26">
        <v>152237.32</v>
      </c>
      <c r="H360" s="18">
        <v>210171768</v>
      </c>
      <c r="I360" s="18" t="s">
        <v>155</v>
      </c>
      <c r="J360" s="119">
        <f>SUMIF(OpenInvoices!C:C,Table1[[#This Row],[Invoice No]],OpenInvoices!N:N)</f>
        <v>0</v>
      </c>
      <c r="K360" s="119">
        <f>IF(Table1[[#This Row],[Outstanding]]=0,Table1[[#This Row],[Invoice Amount]],Table1[[#This Row],[Outstanding]]-Table1[[#This Row],[Invoice Amount]])</f>
        <v>152237.32</v>
      </c>
    </row>
    <row r="361" spans="1:11" x14ac:dyDescent="0.2">
      <c r="A361" s="18">
        <v>1</v>
      </c>
      <c r="B361" s="20">
        <v>46023</v>
      </c>
      <c r="C361" s="118" t="str">
        <f>LEFT(Table1[[#This Row],[Project No]],2)</f>
        <v>PS</v>
      </c>
      <c r="D361" s="17" t="s">
        <v>2865</v>
      </c>
      <c r="E361" s="18" t="s">
        <v>374</v>
      </c>
      <c r="F361" s="18" t="s">
        <v>2079</v>
      </c>
      <c r="G361" s="19">
        <v>47769.77</v>
      </c>
      <c r="H361" s="18">
        <v>210171769</v>
      </c>
      <c r="I361" s="18" t="s">
        <v>155</v>
      </c>
      <c r="J361" s="119">
        <f>SUMIF(OpenInvoices!C:C,Table1[[#This Row],[Invoice No]],OpenInvoices!N:N)</f>
        <v>47769.77</v>
      </c>
      <c r="K361" s="119">
        <f>IF(Table1[[#This Row],[Outstanding]]=0,Table1[[#This Row],[Invoice Amount]],Table1[[#This Row],[Outstanding]]-Table1[[#This Row],[Invoice Amount]])</f>
        <v>0</v>
      </c>
    </row>
    <row r="362" spans="1:11" x14ac:dyDescent="0.2">
      <c r="A362" s="18">
        <v>1</v>
      </c>
      <c r="B362" s="20">
        <v>46054</v>
      </c>
      <c r="C362" s="118" t="str">
        <f>LEFT(Table1[[#This Row],[Project No]],2)</f>
        <v>A3</v>
      </c>
      <c r="D362" s="17" t="s">
        <v>8178</v>
      </c>
      <c r="E362" s="18" t="s">
        <v>2082</v>
      </c>
      <c r="F362" s="18" t="s">
        <v>2082</v>
      </c>
      <c r="G362" s="19">
        <v>50000</v>
      </c>
      <c r="H362" s="18">
        <v>210172762</v>
      </c>
      <c r="I362" s="18" t="s">
        <v>153</v>
      </c>
      <c r="J362" s="119">
        <f>SUMIF(OpenInvoices!C:C,Table1[[#This Row],[Invoice No]],OpenInvoices!N:N)</f>
        <v>0</v>
      </c>
      <c r="K362" s="119">
        <f>IF(Table1[[#This Row],[Outstanding]]=0,Table1[[#This Row],[Invoice Amount]],Table1[[#This Row],[Outstanding]]-Table1[[#This Row],[Invoice Amount]])</f>
        <v>50000</v>
      </c>
    </row>
    <row r="363" spans="1:11" x14ac:dyDescent="0.2">
      <c r="A363" s="18">
        <v>1</v>
      </c>
      <c r="B363" s="20">
        <v>46054</v>
      </c>
      <c r="C363" s="118" t="str">
        <f>LEFT(Table1[[#This Row],[Project No]],2)</f>
        <v>AZ</v>
      </c>
      <c r="D363" s="17" t="s">
        <v>6404</v>
      </c>
      <c r="E363" s="18" t="s">
        <v>1027</v>
      </c>
      <c r="F363" s="18" t="s">
        <v>1027</v>
      </c>
      <c r="G363" s="19">
        <v>30000</v>
      </c>
      <c r="H363" s="18">
        <v>210172763</v>
      </c>
      <c r="I363" s="18" t="s">
        <v>153</v>
      </c>
      <c r="J363" s="119">
        <f>SUMIF(OpenInvoices!C:C,Table1[[#This Row],[Invoice No]],OpenInvoices!N:N)</f>
        <v>30000</v>
      </c>
      <c r="K363" s="119">
        <f>IF(Table1[[#This Row],[Outstanding]]=0,Table1[[#This Row],[Invoice Amount]],Table1[[#This Row],[Outstanding]]-Table1[[#This Row],[Invoice Amount]])</f>
        <v>0</v>
      </c>
    </row>
    <row r="364" spans="1:11" x14ac:dyDescent="0.2">
      <c r="A364" s="18">
        <v>1</v>
      </c>
      <c r="B364" s="20">
        <v>46054</v>
      </c>
      <c r="C364" s="118" t="str">
        <f>LEFT(Table1[[#This Row],[Project No]],2)</f>
        <v>CD</v>
      </c>
      <c r="D364" s="17" t="s">
        <v>2041</v>
      </c>
      <c r="E364" s="18" t="s">
        <v>2042</v>
      </c>
      <c r="F364" s="18" t="s">
        <v>2042</v>
      </c>
      <c r="G364" s="19">
        <v>75000</v>
      </c>
      <c r="H364" s="18">
        <v>210172764</v>
      </c>
      <c r="I364" s="18" t="s">
        <v>153</v>
      </c>
      <c r="J364" s="119">
        <f>SUMIF(OpenInvoices!C:C,Table1[[#This Row],[Invoice No]],OpenInvoices!N:N)</f>
        <v>75000</v>
      </c>
      <c r="K364" s="119">
        <f>IF(Table1[[#This Row],[Outstanding]]=0,Table1[[#This Row],[Invoice Amount]],Table1[[#This Row],[Outstanding]]-Table1[[#This Row],[Invoice Amount]])</f>
        <v>0</v>
      </c>
    </row>
    <row r="365" spans="1:11" x14ac:dyDescent="0.2">
      <c r="A365" s="18">
        <v>1</v>
      </c>
      <c r="B365" s="20">
        <v>46054</v>
      </c>
      <c r="C365" s="118" t="str">
        <f>LEFT(Table1[[#This Row],[Project No]],2)</f>
        <v>DC</v>
      </c>
      <c r="D365" s="17" t="s">
        <v>6337</v>
      </c>
      <c r="E365" s="18" t="s">
        <v>6334</v>
      </c>
      <c r="F365" s="18" t="s">
        <v>2303</v>
      </c>
      <c r="G365" s="19">
        <v>11250</v>
      </c>
      <c r="H365" s="18">
        <v>210172765</v>
      </c>
      <c r="I365" s="18" t="s">
        <v>153</v>
      </c>
      <c r="J365" s="119">
        <f>SUMIF(OpenInvoices!C:C,Table1[[#This Row],[Invoice No]],OpenInvoices!N:N)</f>
        <v>11250</v>
      </c>
      <c r="K365" s="119">
        <f>IF(Table1[[#This Row],[Outstanding]]=0,Table1[[#This Row],[Invoice Amount]],Table1[[#This Row],[Outstanding]]-Table1[[#This Row],[Invoice Amount]])</f>
        <v>0</v>
      </c>
    </row>
    <row r="366" spans="1:11" x14ac:dyDescent="0.2">
      <c r="A366" s="18">
        <v>1</v>
      </c>
      <c r="B366" s="20">
        <v>46054</v>
      </c>
      <c r="C366" s="118" t="str">
        <f>LEFT(Table1[[#This Row],[Project No]],2)</f>
        <v>DF</v>
      </c>
      <c r="D366" s="17" t="s">
        <v>2084</v>
      </c>
      <c r="E366" s="18" t="s">
        <v>2085</v>
      </c>
      <c r="F366" s="18" t="s">
        <v>2085</v>
      </c>
      <c r="G366" s="19">
        <v>305000</v>
      </c>
      <c r="H366" s="18">
        <v>210172766</v>
      </c>
      <c r="I366" s="18" t="s">
        <v>153</v>
      </c>
      <c r="J366" s="119">
        <f>SUMIF(OpenInvoices!C:C,Table1[[#This Row],[Invoice No]],OpenInvoices!N:N)</f>
        <v>0</v>
      </c>
      <c r="K366" s="119">
        <f>IF(Table1[[#This Row],[Outstanding]]=0,Table1[[#This Row],[Invoice Amount]],Table1[[#This Row],[Outstanding]]-Table1[[#This Row],[Invoice Amount]])</f>
        <v>305000</v>
      </c>
    </row>
    <row r="367" spans="1:11" x14ac:dyDescent="0.2">
      <c r="A367" s="18">
        <v>1</v>
      </c>
      <c r="B367" s="20">
        <v>46054</v>
      </c>
      <c r="C367" s="118" t="str">
        <f>LEFT(Table1[[#This Row],[Project No]],2)</f>
        <v>DF</v>
      </c>
      <c r="D367" s="17" t="s">
        <v>1595</v>
      </c>
      <c r="E367" s="18" t="s">
        <v>1596</v>
      </c>
      <c r="F367" s="18" t="s">
        <v>1596</v>
      </c>
      <c r="G367" s="19">
        <v>32356</v>
      </c>
      <c r="H367" s="18">
        <v>210172767</v>
      </c>
      <c r="I367" s="18" t="s">
        <v>153</v>
      </c>
      <c r="J367" s="119">
        <f>SUMIF(OpenInvoices!C:C,Table1[[#This Row],[Invoice No]],OpenInvoices!N:N)</f>
        <v>32356</v>
      </c>
      <c r="K367" s="119">
        <f>IF(Table1[[#This Row],[Outstanding]]=0,Table1[[#This Row],[Invoice Amount]],Table1[[#This Row],[Outstanding]]-Table1[[#This Row],[Invoice Amount]])</f>
        <v>0</v>
      </c>
    </row>
    <row r="368" spans="1:11" x14ac:dyDescent="0.2">
      <c r="A368" s="18">
        <v>1</v>
      </c>
      <c r="B368" s="20">
        <v>46054</v>
      </c>
      <c r="C368" s="118" t="str">
        <f>LEFT(Table1[[#This Row],[Project No]],2)</f>
        <v>DF</v>
      </c>
      <c r="D368" s="17" t="s">
        <v>3376</v>
      </c>
      <c r="E368" s="18" t="s">
        <v>1596</v>
      </c>
      <c r="F368" s="18" t="s">
        <v>1596</v>
      </c>
      <c r="G368" s="19">
        <v>82500</v>
      </c>
      <c r="H368" s="18">
        <v>210172768</v>
      </c>
      <c r="I368" s="18" t="s">
        <v>153</v>
      </c>
      <c r="J368" s="119">
        <f>SUMIF(OpenInvoices!C:C,Table1[[#This Row],[Invoice No]],OpenInvoices!N:N)</f>
        <v>82500</v>
      </c>
      <c r="K368" s="119">
        <f>IF(Table1[[#This Row],[Outstanding]]=0,Table1[[#This Row],[Invoice Amount]],Table1[[#This Row],[Outstanding]]-Table1[[#This Row],[Invoice Amount]])</f>
        <v>0</v>
      </c>
    </row>
    <row r="369" spans="1:11" x14ac:dyDescent="0.2">
      <c r="A369" s="18">
        <v>1</v>
      </c>
      <c r="B369" s="20">
        <v>46054</v>
      </c>
      <c r="C369" s="118" t="str">
        <f>LEFT(Table1[[#This Row],[Project No]],2)</f>
        <v>DF</v>
      </c>
      <c r="D369" s="17" t="s">
        <v>3479</v>
      </c>
      <c r="E369" s="18" t="s">
        <v>3477</v>
      </c>
      <c r="F369" s="18" t="s">
        <v>3477</v>
      </c>
      <c r="G369" s="19">
        <v>70388</v>
      </c>
      <c r="H369" s="18">
        <v>210172769</v>
      </c>
      <c r="I369" s="18" t="s">
        <v>153</v>
      </c>
      <c r="J369" s="119">
        <f>SUMIF(OpenInvoices!C:C,Table1[[#This Row],[Invoice No]],OpenInvoices!N:N)</f>
        <v>70388</v>
      </c>
      <c r="K369" s="119">
        <f>IF(Table1[[#This Row],[Outstanding]]=0,Table1[[#This Row],[Invoice Amount]],Table1[[#This Row],[Outstanding]]-Table1[[#This Row],[Invoice Amount]])</f>
        <v>0</v>
      </c>
    </row>
    <row r="370" spans="1:11" x14ac:dyDescent="0.2">
      <c r="A370" s="18">
        <v>1</v>
      </c>
      <c r="B370" s="20">
        <v>46054</v>
      </c>
      <c r="C370" s="118" t="str">
        <f>LEFT(Table1[[#This Row],[Project No]],2)</f>
        <v>HF</v>
      </c>
      <c r="D370" s="17" t="s">
        <v>2063</v>
      </c>
      <c r="E370" s="18" t="s">
        <v>2064</v>
      </c>
      <c r="F370" s="18" t="s">
        <v>2064</v>
      </c>
      <c r="G370" s="19">
        <v>608862.30000000005</v>
      </c>
      <c r="H370" s="18">
        <v>210172770</v>
      </c>
      <c r="I370" s="18" t="s">
        <v>153</v>
      </c>
      <c r="J370" s="119">
        <f>SUMIF(OpenInvoices!C:C,Table1[[#This Row],[Invoice No]],OpenInvoices!N:N)</f>
        <v>608862.30000000005</v>
      </c>
      <c r="K370" s="119">
        <f>IF(Table1[[#This Row],[Outstanding]]=0,Table1[[#This Row],[Invoice Amount]],Table1[[#This Row],[Outstanding]]-Table1[[#This Row],[Invoice Amount]])</f>
        <v>0</v>
      </c>
    </row>
    <row r="371" spans="1:11" x14ac:dyDescent="0.2">
      <c r="A371" s="18">
        <v>1</v>
      </c>
      <c r="B371" s="20">
        <v>46054</v>
      </c>
      <c r="C371" s="118" t="str">
        <f>LEFT(Table1[[#This Row],[Project No]],2)</f>
        <v>HM</v>
      </c>
      <c r="D371" s="17" t="s">
        <v>801</v>
      </c>
      <c r="E371" s="18" t="s">
        <v>12</v>
      </c>
      <c r="F371" s="18" t="s">
        <v>12</v>
      </c>
      <c r="G371" s="19">
        <v>22730.87</v>
      </c>
      <c r="H371" s="18">
        <v>210172771</v>
      </c>
      <c r="I371" s="18" t="s">
        <v>153</v>
      </c>
      <c r="J371" s="119">
        <f>SUMIF(OpenInvoices!C:C,Table1[[#This Row],[Invoice No]],OpenInvoices!N:N)</f>
        <v>22730.87</v>
      </c>
      <c r="K371" s="119">
        <f>IF(Table1[[#This Row],[Outstanding]]=0,Table1[[#This Row],[Invoice Amount]],Table1[[#This Row],[Outstanding]]-Table1[[#This Row],[Invoice Amount]])</f>
        <v>0</v>
      </c>
    </row>
    <row r="372" spans="1:11" x14ac:dyDescent="0.2">
      <c r="A372" s="18">
        <v>1</v>
      </c>
      <c r="B372" s="20">
        <v>46054</v>
      </c>
      <c r="C372" s="118" t="str">
        <f>LEFT(Table1[[#This Row],[Project No]],2)</f>
        <v>HS</v>
      </c>
      <c r="D372" s="17" t="s">
        <v>2086</v>
      </c>
      <c r="E372" s="18" t="s">
        <v>949</v>
      </c>
      <c r="F372" s="18" t="s">
        <v>949</v>
      </c>
      <c r="G372" s="19">
        <v>50735.73</v>
      </c>
      <c r="H372" s="18">
        <v>210172772</v>
      </c>
      <c r="I372" s="18" t="s">
        <v>153</v>
      </c>
      <c r="J372" s="119">
        <f>SUMIF(OpenInvoices!C:C,Table1[[#This Row],[Invoice No]],OpenInvoices!N:N)</f>
        <v>0</v>
      </c>
      <c r="K372" s="119">
        <f>IF(Table1[[#This Row],[Outstanding]]=0,Table1[[#This Row],[Invoice Amount]],Table1[[#This Row],[Outstanding]]-Table1[[#This Row],[Invoice Amount]])</f>
        <v>50735.73</v>
      </c>
    </row>
    <row r="373" spans="1:11" x14ac:dyDescent="0.2">
      <c r="A373" s="18">
        <v>1</v>
      </c>
      <c r="B373" s="20">
        <v>46054</v>
      </c>
      <c r="C373" s="118" t="str">
        <f>LEFT(Table1[[#This Row],[Project No]],2)</f>
        <v>HS</v>
      </c>
      <c r="D373" s="17" t="s">
        <v>6316</v>
      </c>
      <c r="E373" s="18" t="s">
        <v>6313</v>
      </c>
      <c r="F373" s="18" t="s">
        <v>6313</v>
      </c>
      <c r="G373" s="19">
        <v>67500</v>
      </c>
      <c r="H373" s="18">
        <v>210172773</v>
      </c>
      <c r="I373" s="18" t="s">
        <v>153</v>
      </c>
      <c r="J373" s="119">
        <f>SUMIF(OpenInvoices!C:C,Table1[[#This Row],[Invoice No]],OpenInvoices!N:N)</f>
        <v>67500</v>
      </c>
      <c r="K373" s="119">
        <f>IF(Table1[[#This Row],[Outstanding]]=0,Table1[[#This Row],[Invoice Amount]],Table1[[#This Row],[Outstanding]]-Table1[[#This Row],[Invoice Amount]])</f>
        <v>0</v>
      </c>
    </row>
    <row r="374" spans="1:11" x14ac:dyDescent="0.2">
      <c r="A374" s="18">
        <v>1</v>
      </c>
      <c r="B374" s="20">
        <v>46054</v>
      </c>
      <c r="C374" s="118" t="str">
        <f>LEFT(Table1[[#This Row],[Project No]],2)</f>
        <v>DF</v>
      </c>
      <c r="D374" s="17" t="s">
        <v>2542</v>
      </c>
      <c r="E374" s="18" t="s">
        <v>2541</v>
      </c>
      <c r="F374" s="18" t="s">
        <v>2541</v>
      </c>
      <c r="G374" s="19">
        <v>138418</v>
      </c>
      <c r="H374" s="18">
        <v>210173518</v>
      </c>
      <c r="I374" s="18" t="s">
        <v>154</v>
      </c>
      <c r="J374" s="119">
        <f>SUMIF(OpenInvoices!C:C,Table1[[#This Row],[Invoice No]],OpenInvoices!N:N)</f>
        <v>0</v>
      </c>
      <c r="K374" s="119">
        <f>IF(Table1[[#This Row],[Outstanding]]=0,Table1[[#This Row],[Invoice Amount]],Table1[[#This Row],[Outstanding]]-Table1[[#This Row],[Invoice Amount]])</f>
        <v>138418</v>
      </c>
    </row>
    <row r="375" spans="1:11" x14ac:dyDescent="0.2">
      <c r="A375" s="18">
        <v>1</v>
      </c>
      <c r="B375" s="20">
        <v>46054</v>
      </c>
      <c r="C375" s="118" t="str">
        <f>LEFT(Table1[[#This Row],[Project No]],2)</f>
        <v>HB</v>
      </c>
      <c r="D375" s="17" t="s">
        <v>2058</v>
      </c>
      <c r="E375" s="18" t="s">
        <v>2059</v>
      </c>
      <c r="F375" s="18" t="s">
        <v>2059</v>
      </c>
      <c r="G375" s="19">
        <v>4000</v>
      </c>
      <c r="H375" s="18">
        <v>210173519</v>
      </c>
      <c r="I375" s="18" t="s">
        <v>154</v>
      </c>
      <c r="J375" s="119">
        <f>SUMIF(OpenInvoices!C:C,Table1[[#This Row],[Invoice No]],OpenInvoices!N:N)</f>
        <v>4000</v>
      </c>
      <c r="K375" s="119">
        <f>IF(Table1[[#This Row],[Outstanding]]=0,Table1[[#This Row],[Invoice Amount]],Table1[[#This Row],[Outstanding]]-Table1[[#This Row],[Invoice Amount]])</f>
        <v>0</v>
      </c>
    </row>
    <row r="376" spans="1:11" x14ac:dyDescent="0.2">
      <c r="A376" s="18">
        <v>1</v>
      </c>
      <c r="B376" s="20">
        <v>46054</v>
      </c>
      <c r="C376" s="118" t="str">
        <f>LEFT(Table1[[#This Row],[Project No]],2)</f>
        <v>MQ</v>
      </c>
      <c r="D376" s="17" t="s">
        <v>7065</v>
      </c>
      <c r="E376" s="18" t="s">
        <v>58</v>
      </c>
      <c r="F376" s="18" t="s">
        <v>1546</v>
      </c>
      <c r="G376" s="19">
        <v>5000</v>
      </c>
      <c r="H376" s="18">
        <v>210173520</v>
      </c>
      <c r="I376" s="18" t="s">
        <v>154</v>
      </c>
      <c r="J376" s="119">
        <f>SUMIF(OpenInvoices!C:C,Table1[[#This Row],[Invoice No]],OpenInvoices!N:N)</f>
        <v>5000</v>
      </c>
      <c r="K376" s="119">
        <f>IF(Table1[[#This Row],[Outstanding]]=0,Table1[[#This Row],[Invoice Amount]],Table1[[#This Row],[Outstanding]]-Table1[[#This Row],[Invoice Amount]])</f>
        <v>0</v>
      </c>
    </row>
    <row r="377" spans="1:11" x14ac:dyDescent="0.2">
      <c r="A377" s="18">
        <v>1</v>
      </c>
      <c r="B377" s="20">
        <v>46054</v>
      </c>
      <c r="C377" s="118" t="str">
        <f>LEFT(Table1[[#This Row],[Project No]],2)</f>
        <v>A5</v>
      </c>
      <c r="D377" s="17" t="s">
        <v>3740</v>
      </c>
      <c r="E377" s="18" t="s">
        <v>37</v>
      </c>
      <c r="F377" s="18" t="s">
        <v>31</v>
      </c>
      <c r="G377" s="19">
        <v>435.21</v>
      </c>
      <c r="H377" s="18">
        <v>210172910</v>
      </c>
      <c r="I377" s="18" t="s">
        <v>155</v>
      </c>
      <c r="J377" s="119">
        <f>SUMIF(OpenInvoices!C:C,Table1[[#This Row],[Invoice No]],OpenInvoices!N:N)</f>
        <v>435.21</v>
      </c>
      <c r="K377" s="119">
        <f>IF(Table1[[#This Row],[Outstanding]]=0,Table1[[#This Row],[Invoice Amount]],Table1[[#This Row],[Outstanding]]-Table1[[#This Row],[Invoice Amount]])</f>
        <v>0</v>
      </c>
    </row>
    <row r="378" spans="1:11" x14ac:dyDescent="0.2">
      <c r="A378" s="18">
        <v>1</v>
      </c>
      <c r="B378" s="20">
        <v>46054</v>
      </c>
      <c r="C378" s="118" t="str">
        <f>LEFT(Table1[[#This Row],[Project No]],2)</f>
        <v>AB</v>
      </c>
      <c r="D378" s="17" t="s">
        <v>816</v>
      </c>
      <c r="E378" s="18" t="s">
        <v>69</v>
      </c>
      <c r="F378" s="18" t="s">
        <v>35</v>
      </c>
      <c r="G378" s="19">
        <v>10245.540000000001</v>
      </c>
      <c r="H378" s="18">
        <v>210172911</v>
      </c>
      <c r="I378" s="18" t="s">
        <v>155</v>
      </c>
      <c r="J378" s="119">
        <f>SUMIF(OpenInvoices!C:C,Table1[[#This Row],[Invoice No]],OpenInvoices!N:N)</f>
        <v>0</v>
      </c>
      <c r="K378" s="119">
        <f>IF(Table1[[#This Row],[Outstanding]]=0,Table1[[#This Row],[Invoice Amount]],Table1[[#This Row],[Outstanding]]-Table1[[#This Row],[Invoice Amount]])</f>
        <v>10245.540000000001</v>
      </c>
    </row>
    <row r="379" spans="1:11" x14ac:dyDescent="0.2">
      <c r="A379" s="18">
        <v>1</v>
      </c>
      <c r="B379" s="20">
        <v>46054</v>
      </c>
      <c r="C379" s="118" t="str">
        <f>LEFT(Table1[[#This Row],[Project No]],2)</f>
        <v>AF</v>
      </c>
      <c r="D379" s="17" t="s">
        <v>725</v>
      </c>
      <c r="E379" s="18" t="s">
        <v>41</v>
      </c>
      <c r="F379" s="18" t="s">
        <v>31</v>
      </c>
      <c r="G379" s="19">
        <v>14177.03</v>
      </c>
      <c r="H379" s="18">
        <v>210172912</v>
      </c>
      <c r="I379" s="18" t="s">
        <v>155</v>
      </c>
      <c r="J379" s="119">
        <f>SUMIF(OpenInvoices!C:C,Table1[[#This Row],[Invoice No]],OpenInvoices!N:N)</f>
        <v>0</v>
      </c>
      <c r="K379" s="119">
        <f>IF(Table1[[#This Row],[Outstanding]]=0,Table1[[#This Row],[Invoice Amount]],Table1[[#This Row],[Outstanding]]-Table1[[#This Row],[Invoice Amount]])</f>
        <v>14177.03</v>
      </c>
    </row>
    <row r="380" spans="1:11" x14ac:dyDescent="0.2">
      <c r="A380" s="18">
        <v>1</v>
      </c>
      <c r="B380" s="20">
        <v>46054</v>
      </c>
      <c r="C380" s="118" t="str">
        <f>LEFT(Table1[[#This Row],[Project No]],2)</f>
        <v>AL</v>
      </c>
      <c r="D380" s="17" t="s">
        <v>6505</v>
      </c>
      <c r="E380" s="18" t="s">
        <v>46</v>
      </c>
      <c r="F380" s="18" t="s">
        <v>27</v>
      </c>
      <c r="G380" s="19">
        <v>180.88</v>
      </c>
      <c r="H380" s="18">
        <v>210172913</v>
      </c>
      <c r="I380" s="18" t="s">
        <v>155</v>
      </c>
      <c r="J380" s="119">
        <f>SUMIF(OpenInvoices!C:C,Table1[[#This Row],[Invoice No]],OpenInvoices!N:N)</f>
        <v>180.88</v>
      </c>
      <c r="K380" s="119">
        <f>IF(Table1[[#This Row],[Outstanding]]=0,Table1[[#This Row],[Invoice Amount]],Table1[[#This Row],[Outstanding]]-Table1[[#This Row],[Invoice Amount]])</f>
        <v>0</v>
      </c>
    </row>
    <row r="381" spans="1:11" x14ac:dyDescent="0.2">
      <c r="A381" s="18">
        <v>1</v>
      </c>
      <c r="B381" s="20">
        <v>46054</v>
      </c>
      <c r="C381" s="118" t="str">
        <f>LEFT(Table1[[#This Row],[Project No]],2)</f>
        <v>AV</v>
      </c>
      <c r="D381" s="17" t="s">
        <v>8179</v>
      </c>
      <c r="E381" s="18" t="s">
        <v>454</v>
      </c>
      <c r="F381" s="18" t="s">
        <v>22</v>
      </c>
      <c r="G381" s="19">
        <v>20299.2</v>
      </c>
      <c r="H381" s="18">
        <v>210172914</v>
      </c>
      <c r="I381" s="18" t="s">
        <v>155</v>
      </c>
      <c r="J381" s="119">
        <f>SUMIF(OpenInvoices!C:C,Table1[[#This Row],[Invoice No]],OpenInvoices!N:N)</f>
        <v>0</v>
      </c>
      <c r="K381" s="119">
        <f>IF(Table1[[#This Row],[Outstanding]]=0,Table1[[#This Row],[Invoice Amount]],Table1[[#This Row],[Outstanding]]-Table1[[#This Row],[Invoice Amount]])</f>
        <v>20299.2</v>
      </c>
    </row>
    <row r="382" spans="1:11" x14ac:dyDescent="0.2">
      <c r="A382" s="18">
        <v>1</v>
      </c>
      <c r="B382" s="20">
        <v>46054</v>
      </c>
      <c r="C382" s="118" t="str">
        <f>LEFT(Table1[[#This Row],[Project No]],2)</f>
        <v>AZ</v>
      </c>
      <c r="D382" s="17" t="s">
        <v>6475</v>
      </c>
      <c r="E382" s="18" t="s">
        <v>54</v>
      </c>
      <c r="F382" s="18" t="s">
        <v>6803</v>
      </c>
      <c r="G382" s="19">
        <v>10820.77</v>
      </c>
      <c r="H382" s="18">
        <v>210172915</v>
      </c>
      <c r="I382" s="18" t="s">
        <v>155</v>
      </c>
      <c r="J382" s="119">
        <f>SUMIF(OpenInvoices!C:C,Table1[[#This Row],[Invoice No]],OpenInvoices!N:N)</f>
        <v>10820.77</v>
      </c>
      <c r="K382" s="119">
        <f>IF(Table1[[#This Row],[Outstanding]]=0,Table1[[#This Row],[Invoice Amount]],Table1[[#This Row],[Outstanding]]-Table1[[#This Row],[Invoice Amount]])</f>
        <v>0</v>
      </c>
    </row>
    <row r="383" spans="1:11" x14ac:dyDescent="0.2">
      <c r="A383" s="18">
        <v>1</v>
      </c>
      <c r="B383" s="20">
        <v>46054</v>
      </c>
      <c r="C383" s="118" t="str">
        <f>LEFT(Table1[[#This Row],[Project No]],2)</f>
        <v>BA</v>
      </c>
      <c r="D383" s="17" t="s">
        <v>817</v>
      </c>
      <c r="E383" s="18" t="s">
        <v>42</v>
      </c>
      <c r="F383" s="18" t="s">
        <v>36</v>
      </c>
      <c r="G383" s="19">
        <v>1897.38</v>
      </c>
      <c r="H383" s="18">
        <v>210172916</v>
      </c>
      <c r="I383" s="18" t="s">
        <v>155</v>
      </c>
      <c r="J383" s="119">
        <f>SUMIF(OpenInvoices!C:C,Table1[[#This Row],[Invoice No]],OpenInvoices!N:N)</f>
        <v>0</v>
      </c>
      <c r="K383" s="119">
        <f>IF(Table1[[#This Row],[Outstanding]]=0,Table1[[#This Row],[Invoice Amount]],Table1[[#This Row],[Outstanding]]-Table1[[#This Row],[Invoice Amount]])</f>
        <v>1897.38</v>
      </c>
    </row>
    <row r="384" spans="1:11" x14ac:dyDescent="0.2">
      <c r="A384" s="18">
        <v>1</v>
      </c>
      <c r="B384" s="20">
        <v>46054</v>
      </c>
      <c r="C384" s="118" t="str">
        <f>LEFT(Table1[[#This Row],[Project No]],2)</f>
        <v>BZ</v>
      </c>
      <c r="D384" s="17" t="s">
        <v>61</v>
      </c>
      <c r="E384" s="18" t="s">
        <v>64</v>
      </c>
      <c r="F384" s="18" t="s">
        <v>10</v>
      </c>
      <c r="G384" s="19">
        <v>456.24</v>
      </c>
      <c r="H384" s="18">
        <v>210172917</v>
      </c>
      <c r="I384" s="18" t="s">
        <v>155</v>
      </c>
      <c r="J384" s="119">
        <f>SUMIF(OpenInvoices!C:C,Table1[[#This Row],[Invoice No]],OpenInvoices!N:N)</f>
        <v>0</v>
      </c>
      <c r="K384" s="119">
        <f>IF(Table1[[#This Row],[Outstanding]]=0,Table1[[#This Row],[Invoice Amount]],Table1[[#This Row],[Outstanding]]-Table1[[#This Row],[Invoice Amount]])</f>
        <v>456.24</v>
      </c>
    </row>
    <row r="385" spans="1:11" x14ac:dyDescent="0.2">
      <c r="A385" s="18">
        <v>1</v>
      </c>
      <c r="B385" s="20">
        <v>46054</v>
      </c>
      <c r="C385" s="118" t="str">
        <f>LEFT(Table1[[#This Row],[Project No]],2)</f>
        <v>BZ</v>
      </c>
      <c r="D385" s="17" t="s">
        <v>1493</v>
      </c>
      <c r="E385" s="18" t="s">
        <v>1492</v>
      </c>
      <c r="F385" s="18" t="s">
        <v>10</v>
      </c>
      <c r="G385" s="19">
        <v>121.74</v>
      </c>
      <c r="H385" s="18">
        <v>210172918</v>
      </c>
      <c r="I385" s="18" t="s">
        <v>155</v>
      </c>
      <c r="J385" s="119">
        <f>SUMIF(OpenInvoices!C:C,Table1[[#This Row],[Invoice No]],OpenInvoices!N:N)</f>
        <v>0</v>
      </c>
      <c r="K385" s="119">
        <f>IF(Table1[[#This Row],[Outstanding]]=0,Table1[[#This Row],[Invoice Amount]],Table1[[#This Row],[Outstanding]]-Table1[[#This Row],[Invoice Amount]])</f>
        <v>121.74</v>
      </c>
    </row>
    <row r="386" spans="1:11" x14ac:dyDescent="0.2">
      <c r="A386" s="18">
        <v>1</v>
      </c>
      <c r="B386" s="20">
        <v>46054</v>
      </c>
      <c r="C386" s="118" t="str">
        <f>LEFT(Table1[[#This Row],[Project No]],2)</f>
        <v>BZ</v>
      </c>
      <c r="D386" s="17" t="s">
        <v>8180</v>
      </c>
      <c r="E386" s="18" t="s">
        <v>4764</v>
      </c>
      <c r="F386" s="18" t="s">
        <v>10</v>
      </c>
      <c r="G386" s="19">
        <v>28055.05</v>
      </c>
      <c r="H386" s="18">
        <v>210172919</v>
      </c>
      <c r="I386" s="18" t="s">
        <v>155</v>
      </c>
      <c r="J386" s="119">
        <f>SUMIF(OpenInvoices!C:C,Table1[[#This Row],[Invoice No]],OpenInvoices!N:N)</f>
        <v>0</v>
      </c>
      <c r="K386" s="119">
        <f>IF(Table1[[#This Row],[Outstanding]]=0,Table1[[#This Row],[Invoice Amount]],Table1[[#This Row],[Outstanding]]-Table1[[#This Row],[Invoice Amount]])</f>
        <v>28055.05</v>
      </c>
    </row>
    <row r="387" spans="1:11" x14ac:dyDescent="0.2">
      <c r="A387" s="18">
        <v>1</v>
      </c>
      <c r="B387" s="20">
        <v>46054</v>
      </c>
      <c r="C387" s="118" t="str">
        <f>LEFT(Table1[[#This Row],[Project No]],2)</f>
        <v>CB</v>
      </c>
      <c r="D387" s="17" t="s">
        <v>961</v>
      </c>
      <c r="E387" s="18" t="s">
        <v>54</v>
      </c>
      <c r="F387" s="18" t="s">
        <v>53</v>
      </c>
      <c r="G387" s="19">
        <v>25817.759999999998</v>
      </c>
      <c r="H387" s="18">
        <v>210172920</v>
      </c>
      <c r="I387" s="18" t="s">
        <v>155</v>
      </c>
      <c r="J387" s="119">
        <f>SUMIF(OpenInvoices!C:C,Table1[[#This Row],[Invoice No]],OpenInvoices!N:N)</f>
        <v>25817.759999999998</v>
      </c>
      <c r="K387" s="119">
        <f>IF(Table1[[#This Row],[Outstanding]]=0,Table1[[#This Row],[Invoice Amount]],Table1[[#This Row],[Outstanding]]-Table1[[#This Row],[Invoice Amount]])</f>
        <v>0</v>
      </c>
    </row>
    <row r="388" spans="1:11" x14ac:dyDescent="0.2">
      <c r="A388" s="18">
        <v>1</v>
      </c>
      <c r="B388" s="20">
        <v>46054</v>
      </c>
      <c r="C388" s="118" t="str">
        <f>LEFT(Table1[[#This Row],[Project No]],2)</f>
        <v>CF</v>
      </c>
      <c r="D388" s="17" t="s">
        <v>1494</v>
      </c>
      <c r="E388" s="18" t="s">
        <v>1486</v>
      </c>
      <c r="F388" s="18" t="s">
        <v>1486</v>
      </c>
      <c r="G388" s="19">
        <v>29317.27</v>
      </c>
      <c r="H388" s="18">
        <v>210172921</v>
      </c>
      <c r="I388" s="18" t="s">
        <v>155</v>
      </c>
      <c r="J388" s="119">
        <f>SUMIF(OpenInvoices!C:C,Table1[[#This Row],[Invoice No]],OpenInvoices!N:N)</f>
        <v>0</v>
      </c>
      <c r="K388" s="119">
        <f>IF(Table1[[#This Row],[Outstanding]]=0,Table1[[#This Row],[Invoice Amount]],Table1[[#This Row],[Outstanding]]-Table1[[#This Row],[Invoice Amount]])</f>
        <v>29317.27</v>
      </c>
    </row>
    <row r="389" spans="1:11" x14ac:dyDescent="0.2">
      <c r="A389" s="18">
        <v>1</v>
      </c>
      <c r="B389" s="20">
        <v>46054</v>
      </c>
      <c r="C389" s="118" t="str">
        <f>LEFT(Table1[[#This Row],[Project No]],2)</f>
        <v>CZ</v>
      </c>
      <c r="D389" s="17" t="s">
        <v>2051</v>
      </c>
      <c r="E389" s="18" t="s">
        <v>47</v>
      </c>
      <c r="F389" s="18" t="s">
        <v>36</v>
      </c>
      <c r="G389" s="19">
        <v>18172.93</v>
      </c>
      <c r="H389" s="18">
        <v>210172922</v>
      </c>
      <c r="I389" s="18" t="s">
        <v>155</v>
      </c>
      <c r="J389" s="119">
        <f>SUMIF(OpenInvoices!C:C,Table1[[#This Row],[Invoice No]],OpenInvoices!N:N)</f>
        <v>18172.93</v>
      </c>
      <c r="K389" s="119">
        <f>IF(Table1[[#This Row],[Outstanding]]=0,Table1[[#This Row],[Invoice Amount]],Table1[[#This Row],[Outstanding]]-Table1[[#This Row],[Invoice Amount]])</f>
        <v>0</v>
      </c>
    </row>
    <row r="390" spans="1:11" x14ac:dyDescent="0.2">
      <c r="A390" s="18">
        <v>1</v>
      </c>
      <c r="B390" s="20">
        <v>46054</v>
      </c>
      <c r="C390" s="118" t="str">
        <f>LEFT(Table1[[#This Row],[Project No]],2)</f>
        <v>DC</v>
      </c>
      <c r="D390" s="17" t="s">
        <v>8181</v>
      </c>
      <c r="E390" s="18" t="s">
        <v>38</v>
      </c>
      <c r="F390" s="18" t="s">
        <v>30</v>
      </c>
      <c r="G390" s="19">
        <v>9219.9</v>
      </c>
      <c r="H390" s="18">
        <v>210172923</v>
      </c>
      <c r="I390" s="18" t="s">
        <v>155</v>
      </c>
      <c r="J390" s="119">
        <f>SUMIF(OpenInvoices!C:C,Table1[[#This Row],[Invoice No]],OpenInvoices!N:N)</f>
        <v>0</v>
      </c>
      <c r="K390" s="119">
        <f>IF(Table1[[#This Row],[Outstanding]]=0,Table1[[#This Row],[Invoice Amount]],Table1[[#This Row],[Outstanding]]-Table1[[#This Row],[Invoice Amount]])</f>
        <v>9219.9</v>
      </c>
    </row>
    <row r="391" spans="1:11" x14ac:dyDescent="0.2">
      <c r="A391" s="18">
        <v>1</v>
      </c>
      <c r="B391" s="20">
        <v>46054</v>
      </c>
      <c r="C391" s="118" t="str">
        <f>LEFT(Table1[[#This Row],[Project No]],2)</f>
        <v>DF</v>
      </c>
      <c r="D391" s="17" t="s">
        <v>2090</v>
      </c>
      <c r="E391" s="18" t="s">
        <v>37</v>
      </c>
      <c r="F391" s="18" t="s">
        <v>10</v>
      </c>
      <c r="G391" s="19">
        <v>40081.85</v>
      </c>
      <c r="H391" s="18">
        <v>210172924</v>
      </c>
      <c r="I391" s="18" t="s">
        <v>155</v>
      </c>
      <c r="J391" s="119">
        <f>SUMIF(OpenInvoices!C:C,Table1[[#This Row],[Invoice No]],OpenInvoices!N:N)</f>
        <v>40081.85</v>
      </c>
      <c r="K391" s="119">
        <f>IF(Table1[[#This Row],[Outstanding]]=0,Table1[[#This Row],[Invoice Amount]],Table1[[#This Row],[Outstanding]]-Table1[[#This Row],[Invoice Amount]])</f>
        <v>0</v>
      </c>
    </row>
    <row r="392" spans="1:11" x14ac:dyDescent="0.2">
      <c r="A392" s="18">
        <v>1</v>
      </c>
      <c r="B392" s="20">
        <v>46054</v>
      </c>
      <c r="C392" s="118" t="str">
        <f>LEFT(Table1[[#This Row],[Project No]],2)</f>
        <v>DJ</v>
      </c>
      <c r="D392" s="17" t="s">
        <v>2243</v>
      </c>
      <c r="E392" s="18" t="s">
        <v>54</v>
      </c>
      <c r="F392" s="18" t="s">
        <v>31</v>
      </c>
      <c r="G392" s="19">
        <v>52716.31</v>
      </c>
      <c r="H392" s="18">
        <v>210172925</v>
      </c>
      <c r="I392" s="18" t="s">
        <v>155</v>
      </c>
      <c r="J392" s="119">
        <f>SUMIF(OpenInvoices!C:C,Table1[[#This Row],[Invoice No]],OpenInvoices!N:N)</f>
        <v>52716.31</v>
      </c>
      <c r="K392" s="119">
        <f>IF(Table1[[#This Row],[Outstanding]]=0,Table1[[#This Row],[Invoice Amount]],Table1[[#This Row],[Outstanding]]-Table1[[#This Row],[Invoice Amount]])</f>
        <v>0</v>
      </c>
    </row>
    <row r="393" spans="1:11" x14ac:dyDescent="0.2">
      <c r="A393" s="18">
        <v>1</v>
      </c>
      <c r="B393" s="20">
        <v>46054</v>
      </c>
      <c r="C393" s="118" t="str">
        <f>LEFT(Table1[[#This Row],[Project No]],2)</f>
        <v>DK</v>
      </c>
      <c r="D393" s="17" t="s">
        <v>658</v>
      </c>
      <c r="E393" s="18" t="s">
        <v>471</v>
      </c>
      <c r="F393" s="18" t="s">
        <v>31</v>
      </c>
      <c r="G393" s="19">
        <v>1277.23</v>
      </c>
      <c r="H393" s="18">
        <v>210172926</v>
      </c>
      <c r="I393" s="18" t="s">
        <v>155</v>
      </c>
      <c r="J393" s="119">
        <f>SUMIF(OpenInvoices!C:C,Table1[[#This Row],[Invoice No]],OpenInvoices!N:N)</f>
        <v>0</v>
      </c>
      <c r="K393" s="119">
        <f>IF(Table1[[#This Row],[Outstanding]]=0,Table1[[#This Row],[Invoice Amount]],Table1[[#This Row],[Outstanding]]-Table1[[#This Row],[Invoice Amount]])</f>
        <v>1277.23</v>
      </c>
    </row>
    <row r="394" spans="1:11" x14ac:dyDescent="0.2">
      <c r="A394" s="18">
        <v>1</v>
      </c>
      <c r="B394" s="20">
        <v>46054</v>
      </c>
      <c r="C394" s="118" t="str">
        <f>LEFT(Table1[[#This Row],[Project No]],2)</f>
        <v>DM</v>
      </c>
      <c r="D394" s="17" t="s">
        <v>1239</v>
      </c>
      <c r="E394" s="18" t="s">
        <v>29</v>
      </c>
      <c r="F394" s="18" t="s">
        <v>31</v>
      </c>
      <c r="G394" s="19">
        <v>22894.79</v>
      </c>
      <c r="H394" s="18">
        <v>210172927</v>
      </c>
      <c r="I394" s="18" t="s">
        <v>155</v>
      </c>
      <c r="J394" s="119">
        <f>SUMIF(OpenInvoices!C:C,Table1[[#This Row],[Invoice No]],OpenInvoices!N:N)</f>
        <v>0</v>
      </c>
      <c r="K394" s="119">
        <f>IF(Table1[[#This Row],[Outstanding]]=0,Table1[[#This Row],[Invoice Amount]],Table1[[#This Row],[Outstanding]]-Table1[[#This Row],[Invoice Amount]])</f>
        <v>22894.79</v>
      </c>
    </row>
    <row r="395" spans="1:11" x14ac:dyDescent="0.2">
      <c r="A395" s="18">
        <v>1</v>
      </c>
      <c r="B395" s="20">
        <v>46054</v>
      </c>
      <c r="C395" s="118" t="str">
        <f>LEFT(Table1[[#This Row],[Project No]],2)</f>
        <v>DN</v>
      </c>
      <c r="D395" s="17" t="s">
        <v>655</v>
      </c>
      <c r="E395" s="18" t="s">
        <v>40</v>
      </c>
      <c r="F395" s="18" t="s">
        <v>31</v>
      </c>
      <c r="G395" s="19">
        <v>43115.69</v>
      </c>
      <c r="H395" s="18">
        <v>210172928</v>
      </c>
      <c r="I395" s="18" t="s">
        <v>155</v>
      </c>
      <c r="J395" s="119">
        <f>SUMIF(OpenInvoices!C:C,Table1[[#This Row],[Invoice No]],OpenInvoices!N:N)</f>
        <v>43115.69</v>
      </c>
      <c r="K395" s="119">
        <f>IF(Table1[[#This Row],[Outstanding]]=0,Table1[[#This Row],[Invoice Amount]],Table1[[#This Row],[Outstanding]]-Table1[[#This Row],[Invoice Amount]])</f>
        <v>0</v>
      </c>
    </row>
    <row r="396" spans="1:11" x14ac:dyDescent="0.2">
      <c r="A396" s="18">
        <v>1</v>
      </c>
      <c r="B396" s="20">
        <v>46054</v>
      </c>
      <c r="C396" s="118" t="str">
        <f>LEFT(Table1[[#This Row],[Project No]],2)</f>
        <v>H5</v>
      </c>
      <c r="D396" s="17" t="s">
        <v>1240</v>
      </c>
      <c r="E396" s="18" t="s">
        <v>38</v>
      </c>
      <c r="F396" s="18" t="s">
        <v>48</v>
      </c>
      <c r="G396" s="19">
        <v>32314.37</v>
      </c>
      <c r="H396" s="18">
        <v>210172929</v>
      </c>
      <c r="I396" s="18" t="s">
        <v>155</v>
      </c>
      <c r="J396" s="119">
        <f>SUMIF(OpenInvoices!C:C,Table1[[#This Row],[Invoice No]],OpenInvoices!N:N)</f>
        <v>0</v>
      </c>
      <c r="K396" s="119">
        <f>IF(Table1[[#This Row],[Outstanding]]=0,Table1[[#This Row],[Invoice Amount]],Table1[[#This Row],[Outstanding]]-Table1[[#This Row],[Invoice Amount]])</f>
        <v>32314.37</v>
      </c>
    </row>
    <row r="397" spans="1:11" x14ac:dyDescent="0.2">
      <c r="A397" s="18">
        <v>1</v>
      </c>
      <c r="B397" s="20">
        <v>46054</v>
      </c>
      <c r="C397" s="118" t="str">
        <f>LEFT(Table1[[#This Row],[Project No]],2)</f>
        <v>HM</v>
      </c>
      <c r="D397" s="17" t="s">
        <v>3685</v>
      </c>
      <c r="E397" s="18" t="s">
        <v>719</v>
      </c>
      <c r="F397" s="18" t="s">
        <v>719</v>
      </c>
      <c r="G397" s="19">
        <v>114.14</v>
      </c>
      <c r="H397" s="18">
        <v>210172930</v>
      </c>
      <c r="I397" s="18" t="s">
        <v>155</v>
      </c>
      <c r="J397" s="119">
        <f>SUMIF(OpenInvoices!C:C,Table1[[#This Row],[Invoice No]],OpenInvoices!N:N)</f>
        <v>114.14</v>
      </c>
      <c r="K397" s="119">
        <f>IF(Table1[[#This Row],[Outstanding]]=0,Table1[[#This Row],[Invoice Amount]],Table1[[#This Row],[Outstanding]]-Table1[[#This Row],[Invoice Amount]])</f>
        <v>0</v>
      </c>
    </row>
    <row r="398" spans="1:11" x14ac:dyDescent="0.2">
      <c r="A398" s="18">
        <v>1</v>
      </c>
      <c r="B398" s="20">
        <v>46054</v>
      </c>
      <c r="C398" s="118" t="str">
        <f>LEFT(Table1[[#This Row],[Project No]],2)</f>
        <v>HN</v>
      </c>
      <c r="D398" s="17" t="s">
        <v>7890</v>
      </c>
      <c r="E398" s="18" t="s">
        <v>1070</v>
      </c>
      <c r="F398" s="18" t="s">
        <v>742</v>
      </c>
      <c r="G398" s="19">
        <v>12431.55</v>
      </c>
      <c r="H398" s="18">
        <v>210172932</v>
      </c>
      <c r="I398" s="18" t="s">
        <v>155</v>
      </c>
      <c r="J398" s="119">
        <f>SUMIF(OpenInvoices!C:C,Table1[[#This Row],[Invoice No]],OpenInvoices!N:N)</f>
        <v>0</v>
      </c>
      <c r="K398" s="119">
        <f>IF(Table1[[#This Row],[Outstanding]]=0,Table1[[#This Row],[Invoice Amount]],Table1[[#This Row],[Outstanding]]-Table1[[#This Row],[Invoice Amount]])</f>
        <v>12431.55</v>
      </c>
    </row>
    <row r="399" spans="1:11" x14ac:dyDescent="0.2">
      <c r="A399" s="18">
        <v>1</v>
      </c>
      <c r="B399" s="20">
        <v>46054</v>
      </c>
      <c r="C399" s="118" t="str">
        <f>LEFT(Table1[[#This Row],[Project No]],2)</f>
        <v>HQ</v>
      </c>
      <c r="D399" s="17" t="s">
        <v>1159</v>
      </c>
      <c r="E399" s="18" t="s">
        <v>37</v>
      </c>
      <c r="F399" s="18" t="s">
        <v>27</v>
      </c>
      <c r="G399" s="19">
        <v>43571.24</v>
      </c>
      <c r="H399" s="18">
        <v>210172933</v>
      </c>
      <c r="I399" s="18" t="s">
        <v>155</v>
      </c>
      <c r="J399" s="119">
        <f>SUMIF(OpenInvoices!C:C,Table1[[#This Row],[Invoice No]],OpenInvoices!N:N)</f>
        <v>0</v>
      </c>
      <c r="K399" s="119">
        <f>IF(Table1[[#This Row],[Outstanding]]=0,Table1[[#This Row],[Invoice Amount]],Table1[[#This Row],[Outstanding]]-Table1[[#This Row],[Invoice Amount]])</f>
        <v>43571.24</v>
      </c>
    </row>
    <row r="400" spans="1:11" x14ac:dyDescent="0.2">
      <c r="A400" s="18">
        <v>1</v>
      </c>
      <c r="B400" s="20">
        <v>46054</v>
      </c>
      <c r="C400" s="118" t="str">
        <f>LEFT(Table1[[#This Row],[Project No]],2)</f>
        <v>M3</v>
      </c>
      <c r="D400" s="17" t="s">
        <v>1603</v>
      </c>
      <c r="E400" s="18" t="s">
        <v>54</v>
      </c>
      <c r="F400" s="18" t="s">
        <v>36</v>
      </c>
      <c r="G400" s="19">
        <v>29491.52</v>
      </c>
      <c r="H400" s="18">
        <v>210172934</v>
      </c>
      <c r="I400" s="18" t="s">
        <v>155</v>
      </c>
      <c r="J400" s="119">
        <f>SUMIF(OpenInvoices!C:C,Table1[[#This Row],[Invoice No]],OpenInvoices!N:N)</f>
        <v>29491.52</v>
      </c>
      <c r="K400" s="119">
        <f>IF(Table1[[#This Row],[Outstanding]]=0,Table1[[#This Row],[Invoice Amount]],Table1[[#This Row],[Outstanding]]-Table1[[#This Row],[Invoice Amount]])</f>
        <v>0</v>
      </c>
    </row>
    <row r="401" spans="1:11" x14ac:dyDescent="0.2">
      <c r="A401" s="18">
        <v>1</v>
      </c>
      <c r="B401" s="20">
        <v>46082</v>
      </c>
      <c r="C401" s="118" t="str">
        <f>LEFT(Table1[[#This Row],[Project No]],2)</f>
        <v>AC</v>
      </c>
      <c r="D401" s="17" t="s">
        <v>3754</v>
      </c>
      <c r="E401" s="18" t="s">
        <v>3757</v>
      </c>
      <c r="F401" s="18" t="s">
        <v>3757</v>
      </c>
      <c r="G401" s="19">
        <v>76907.55</v>
      </c>
      <c r="H401" s="18">
        <v>210173865</v>
      </c>
      <c r="I401" s="18" t="s">
        <v>153</v>
      </c>
      <c r="J401" s="119">
        <f>SUMIF(OpenInvoices!C:C,Table1[[#This Row],[Invoice No]],OpenInvoices!N:N)</f>
        <v>76907.55</v>
      </c>
      <c r="K401" s="119">
        <f>IF(Table1[[#This Row],[Outstanding]]=0,Table1[[#This Row],[Invoice Amount]],Table1[[#This Row],[Outstanding]]-Table1[[#This Row],[Invoice Amount]])</f>
        <v>0</v>
      </c>
    </row>
    <row r="402" spans="1:11" x14ac:dyDescent="0.2">
      <c r="A402" s="18">
        <v>1</v>
      </c>
      <c r="B402" s="20">
        <v>46082</v>
      </c>
      <c r="C402" s="118" t="str">
        <f>LEFT(Table1[[#This Row],[Project No]],2)</f>
        <v>B8</v>
      </c>
      <c r="D402" s="17" t="s">
        <v>8182</v>
      </c>
      <c r="E402" s="18" t="s">
        <v>6334</v>
      </c>
      <c r="F402" s="18" t="s">
        <v>2303</v>
      </c>
      <c r="G402" s="19">
        <v>26250</v>
      </c>
      <c r="H402" s="18">
        <v>210173866</v>
      </c>
      <c r="I402" s="18" t="s">
        <v>153</v>
      </c>
      <c r="J402" s="119">
        <f>SUMIF(OpenInvoices!C:C,Table1[[#This Row],[Invoice No]],OpenInvoices!N:N)</f>
        <v>0</v>
      </c>
      <c r="K402" s="119">
        <f>IF(Table1[[#This Row],[Outstanding]]=0,Table1[[#This Row],[Invoice Amount]],Table1[[#This Row],[Outstanding]]-Table1[[#This Row],[Invoice Amount]])</f>
        <v>26250</v>
      </c>
    </row>
    <row r="403" spans="1:11" x14ac:dyDescent="0.2">
      <c r="A403" s="18">
        <v>1</v>
      </c>
      <c r="B403" s="20">
        <v>46082</v>
      </c>
      <c r="C403" s="118" t="str">
        <f>LEFT(Table1[[#This Row],[Project No]],2)</f>
        <v>BZ</v>
      </c>
      <c r="D403" s="17" t="s">
        <v>2093</v>
      </c>
      <c r="E403" s="18" t="s">
        <v>2094</v>
      </c>
      <c r="F403" s="18" t="s">
        <v>10</v>
      </c>
      <c r="G403" s="19">
        <v>2066.1799999999998</v>
      </c>
      <c r="H403" s="18">
        <v>210173867</v>
      </c>
      <c r="I403" s="18" t="s">
        <v>153</v>
      </c>
      <c r="J403" s="119">
        <f>SUMIF(OpenInvoices!C:C,Table1[[#This Row],[Invoice No]],OpenInvoices!N:N)</f>
        <v>2066.1799999999998</v>
      </c>
      <c r="K403" s="119">
        <f>IF(Table1[[#This Row],[Outstanding]]=0,Table1[[#This Row],[Invoice Amount]],Table1[[#This Row],[Outstanding]]-Table1[[#This Row],[Invoice Amount]])</f>
        <v>0</v>
      </c>
    </row>
    <row r="404" spans="1:11" x14ac:dyDescent="0.2">
      <c r="A404" s="18">
        <v>1</v>
      </c>
      <c r="B404" s="20">
        <v>46082</v>
      </c>
      <c r="C404" s="118" t="str">
        <f>LEFT(Table1[[#This Row],[Project No]],2)</f>
        <v>DC</v>
      </c>
      <c r="D404" s="17" t="s">
        <v>6337</v>
      </c>
      <c r="E404" s="18" t="s">
        <v>6334</v>
      </c>
      <c r="F404" s="18" t="s">
        <v>2303</v>
      </c>
      <c r="G404" s="19">
        <v>7500</v>
      </c>
      <c r="H404" s="18">
        <v>210173868</v>
      </c>
      <c r="I404" s="18" t="s">
        <v>153</v>
      </c>
      <c r="J404" s="119">
        <f>SUMIF(OpenInvoices!C:C,Table1[[#This Row],[Invoice No]],OpenInvoices!N:N)</f>
        <v>0</v>
      </c>
      <c r="K404" s="119">
        <f>IF(Table1[[#This Row],[Outstanding]]=0,Table1[[#This Row],[Invoice Amount]],Table1[[#This Row],[Outstanding]]-Table1[[#This Row],[Invoice Amount]])</f>
        <v>7500</v>
      </c>
    </row>
    <row r="405" spans="1:11" x14ac:dyDescent="0.2">
      <c r="A405" s="18">
        <v>1</v>
      </c>
      <c r="B405" s="20">
        <v>46082</v>
      </c>
      <c r="C405" s="118" t="str">
        <f>LEFT(Table1[[#This Row],[Project No]],2)</f>
        <v>DF</v>
      </c>
      <c r="D405" s="17" t="s">
        <v>1557</v>
      </c>
      <c r="E405" s="18" t="s">
        <v>958</v>
      </c>
      <c r="F405" s="18" t="s">
        <v>958</v>
      </c>
      <c r="G405" s="19">
        <v>1330301</v>
      </c>
      <c r="H405" s="18">
        <v>210173869</v>
      </c>
      <c r="I405" s="18" t="s">
        <v>153</v>
      </c>
      <c r="J405" s="119">
        <f>SUMIF(OpenInvoices!C:C,Table1[[#This Row],[Invoice No]],OpenInvoices!N:N)</f>
        <v>1330301</v>
      </c>
      <c r="K405" s="119">
        <f>IF(Table1[[#This Row],[Outstanding]]=0,Table1[[#This Row],[Invoice Amount]],Table1[[#This Row],[Outstanding]]-Table1[[#This Row],[Invoice Amount]])</f>
        <v>0</v>
      </c>
    </row>
    <row r="406" spans="1:11" x14ac:dyDescent="0.2">
      <c r="A406" s="18">
        <v>1</v>
      </c>
      <c r="B406" s="20">
        <v>46082</v>
      </c>
      <c r="C406" s="118" t="str">
        <f>LEFT(Table1[[#This Row],[Project No]],2)</f>
        <v>DF</v>
      </c>
      <c r="D406" s="17" t="s">
        <v>1517</v>
      </c>
      <c r="E406" s="18" t="s">
        <v>1518</v>
      </c>
      <c r="F406" s="18" t="s">
        <v>1518</v>
      </c>
      <c r="G406" s="19">
        <v>3750.13</v>
      </c>
      <c r="H406" s="18">
        <v>210173870</v>
      </c>
      <c r="I406" s="18" t="s">
        <v>153</v>
      </c>
      <c r="J406" s="119">
        <f>SUMIF(OpenInvoices!C:C,Table1[[#This Row],[Invoice No]],OpenInvoices!N:N)</f>
        <v>3750.13</v>
      </c>
      <c r="K406" s="119">
        <f>IF(Table1[[#This Row],[Outstanding]]=0,Table1[[#This Row],[Invoice Amount]],Table1[[#This Row],[Outstanding]]-Table1[[#This Row],[Invoice Amount]])</f>
        <v>0</v>
      </c>
    </row>
    <row r="407" spans="1:11" x14ac:dyDescent="0.2">
      <c r="A407" s="18">
        <v>1</v>
      </c>
      <c r="B407" s="20">
        <v>46082</v>
      </c>
      <c r="C407" s="118" t="str">
        <f>LEFT(Table1[[#This Row],[Project No]],2)</f>
        <v>DF</v>
      </c>
      <c r="D407" s="17" t="s">
        <v>7638</v>
      </c>
      <c r="E407" s="18" t="s">
        <v>1518</v>
      </c>
      <c r="F407" s="18" t="s">
        <v>1518</v>
      </c>
      <c r="G407" s="19">
        <v>8759.75</v>
      </c>
      <c r="H407" s="18">
        <v>210173871</v>
      </c>
      <c r="I407" s="18" t="s">
        <v>153</v>
      </c>
      <c r="J407" s="119">
        <f>SUMIF(OpenInvoices!C:C,Table1[[#This Row],[Invoice No]],OpenInvoices!N:N)</f>
        <v>8759.75</v>
      </c>
      <c r="K407" s="119">
        <f>IF(Table1[[#This Row],[Outstanding]]=0,Table1[[#This Row],[Invoice Amount]],Table1[[#This Row],[Outstanding]]-Table1[[#This Row],[Invoice Amount]])</f>
        <v>0</v>
      </c>
    </row>
    <row r="408" spans="1:11" x14ac:dyDescent="0.2">
      <c r="A408" s="18">
        <v>1</v>
      </c>
      <c r="B408" s="20">
        <v>46082</v>
      </c>
      <c r="C408" s="118" t="str">
        <f>LEFT(Table1[[#This Row],[Project No]],2)</f>
        <v>DG</v>
      </c>
      <c r="D408" s="17" t="s">
        <v>7650</v>
      </c>
      <c r="E408" s="18" t="s">
        <v>7647</v>
      </c>
      <c r="F408" s="18" t="s">
        <v>7647</v>
      </c>
      <c r="G408" s="19">
        <v>25000</v>
      </c>
      <c r="H408" s="18">
        <v>210173872</v>
      </c>
      <c r="I408" s="18" t="s">
        <v>153</v>
      </c>
      <c r="J408" s="119">
        <f>SUMIF(OpenInvoices!C:C,Table1[[#This Row],[Invoice No]],OpenInvoices!N:N)</f>
        <v>25000</v>
      </c>
      <c r="K408" s="119">
        <f>IF(Table1[[#This Row],[Outstanding]]=0,Table1[[#This Row],[Invoice Amount]],Table1[[#This Row],[Outstanding]]-Table1[[#This Row],[Invoice Amount]])</f>
        <v>0</v>
      </c>
    </row>
    <row r="409" spans="1:11" x14ac:dyDescent="0.2">
      <c r="A409" s="18">
        <v>1</v>
      </c>
      <c r="B409" s="20">
        <v>46082</v>
      </c>
      <c r="C409" s="118" t="str">
        <f>LEFT(Table1[[#This Row],[Project No]],2)</f>
        <v>H7</v>
      </c>
      <c r="D409" s="17" t="s">
        <v>1506</v>
      </c>
      <c r="E409" s="18" t="s">
        <v>949</v>
      </c>
      <c r="F409" s="18" t="s">
        <v>949</v>
      </c>
      <c r="G409" s="19">
        <v>20750.990000000002</v>
      </c>
      <c r="H409" s="18">
        <v>210173873</v>
      </c>
      <c r="I409" s="18" t="s">
        <v>153</v>
      </c>
      <c r="J409" s="119">
        <f>SUMIF(OpenInvoices!C:C,Table1[[#This Row],[Invoice No]],OpenInvoices!N:N)</f>
        <v>20750.990000000002</v>
      </c>
      <c r="K409" s="119">
        <f>IF(Table1[[#This Row],[Outstanding]]=0,Table1[[#This Row],[Invoice Amount]],Table1[[#This Row],[Outstanding]]-Table1[[#This Row],[Invoice Amount]])</f>
        <v>0</v>
      </c>
    </row>
    <row r="410" spans="1:11" x14ac:dyDescent="0.2">
      <c r="A410" s="18">
        <v>1</v>
      </c>
      <c r="B410" s="20">
        <v>46082</v>
      </c>
      <c r="C410" s="118" t="str">
        <f>LEFT(Table1[[#This Row],[Project No]],2)</f>
        <v>H7</v>
      </c>
      <c r="D410" s="17" t="s">
        <v>1146</v>
      </c>
      <c r="E410" s="18" t="s">
        <v>949</v>
      </c>
      <c r="F410" s="18" t="s">
        <v>949</v>
      </c>
      <c r="G410" s="19">
        <v>29645.26</v>
      </c>
      <c r="H410" s="18">
        <v>210173874</v>
      </c>
      <c r="I410" s="18" t="s">
        <v>153</v>
      </c>
      <c r="J410" s="119">
        <f>SUMIF(OpenInvoices!C:C,Table1[[#This Row],[Invoice No]],OpenInvoices!N:N)</f>
        <v>29645.26</v>
      </c>
      <c r="K410" s="119">
        <f>IF(Table1[[#This Row],[Outstanding]]=0,Table1[[#This Row],[Invoice Amount]],Table1[[#This Row],[Outstanding]]-Table1[[#This Row],[Invoice Amount]])</f>
        <v>0</v>
      </c>
    </row>
    <row r="411" spans="1:11" x14ac:dyDescent="0.2">
      <c r="A411" s="18">
        <v>1</v>
      </c>
      <c r="B411" s="20">
        <v>46082</v>
      </c>
      <c r="C411" s="118" t="str">
        <f>LEFT(Table1[[#This Row],[Project No]],2)</f>
        <v>H7</v>
      </c>
      <c r="D411" s="17" t="s">
        <v>1524</v>
      </c>
      <c r="E411" s="18" t="s">
        <v>949</v>
      </c>
      <c r="F411" s="18" t="s">
        <v>949</v>
      </c>
      <c r="G411" s="19">
        <v>120455.35</v>
      </c>
      <c r="H411" s="18">
        <v>210173875</v>
      </c>
      <c r="I411" s="18" t="s">
        <v>153</v>
      </c>
      <c r="J411" s="119">
        <f>SUMIF(OpenInvoices!C:C,Table1[[#This Row],[Invoice No]],OpenInvoices!N:N)</f>
        <v>120455.35</v>
      </c>
      <c r="K411" s="119">
        <f>IF(Table1[[#This Row],[Outstanding]]=0,Table1[[#This Row],[Invoice Amount]],Table1[[#This Row],[Outstanding]]-Table1[[#This Row],[Invoice Amount]])</f>
        <v>0</v>
      </c>
    </row>
    <row r="412" spans="1:11" x14ac:dyDescent="0.2">
      <c r="A412" s="18">
        <v>1</v>
      </c>
      <c r="B412" s="20">
        <v>46082</v>
      </c>
      <c r="C412" s="118" t="str">
        <f>LEFT(Table1[[#This Row],[Project No]],2)</f>
        <v>HJ</v>
      </c>
      <c r="D412" s="17" t="s">
        <v>7654</v>
      </c>
      <c r="E412" s="18" t="s">
        <v>1067</v>
      </c>
      <c r="F412" s="18" t="s">
        <v>1067</v>
      </c>
      <c r="G412" s="19">
        <v>10000</v>
      </c>
      <c r="H412" s="18">
        <v>210173876</v>
      </c>
      <c r="I412" s="18" t="s">
        <v>153</v>
      </c>
      <c r="J412" s="119">
        <f>SUMIF(OpenInvoices!C:C,Table1[[#This Row],[Invoice No]],OpenInvoices!N:N)</f>
        <v>10000</v>
      </c>
      <c r="K412" s="119">
        <f>IF(Table1[[#This Row],[Outstanding]]=0,Table1[[#This Row],[Invoice Amount]],Table1[[#This Row],[Outstanding]]-Table1[[#This Row],[Invoice Amount]])</f>
        <v>0</v>
      </c>
    </row>
    <row r="413" spans="1:11" x14ac:dyDescent="0.2">
      <c r="A413" s="18">
        <v>1</v>
      </c>
      <c r="B413" s="20">
        <v>46082</v>
      </c>
      <c r="C413" s="118" t="str">
        <f>LEFT(Table1[[#This Row],[Project No]],2)</f>
        <v>HM</v>
      </c>
      <c r="D413" s="17" t="s">
        <v>7660</v>
      </c>
      <c r="E413" s="18" t="s">
        <v>7657</v>
      </c>
      <c r="F413" s="18" t="s">
        <v>7657</v>
      </c>
      <c r="G413" s="19">
        <v>165420</v>
      </c>
      <c r="H413" s="18">
        <v>210173877</v>
      </c>
      <c r="I413" s="18" t="s">
        <v>153</v>
      </c>
      <c r="J413" s="119">
        <f>SUMIF(OpenInvoices!C:C,Table1[[#This Row],[Invoice No]],OpenInvoices!N:N)</f>
        <v>165420</v>
      </c>
      <c r="K413" s="119">
        <f>IF(Table1[[#This Row],[Outstanding]]=0,Table1[[#This Row],[Invoice Amount]],Table1[[#This Row],[Outstanding]]-Table1[[#This Row],[Invoice Amount]])</f>
        <v>0</v>
      </c>
    </row>
    <row r="414" spans="1:11" x14ac:dyDescent="0.2">
      <c r="A414" s="18">
        <v>1</v>
      </c>
      <c r="B414" s="20">
        <v>46082</v>
      </c>
      <c r="C414" s="118" t="str">
        <f>LEFT(Table1[[#This Row],[Project No]],2)</f>
        <v>LE</v>
      </c>
      <c r="D414" s="17" t="s">
        <v>7635</v>
      </c>
      <c r="E414" s="18" t="s">
        <v>7632</v>
      </c>
      <c r="F414" s="18" t="s">
        <v>8183</v>
      </c>
      <c r="G414" s="19">
        <v>22000</v>
      </c>
      <c r="H414" s="18">
        <v>210173878</v>
      </c>
      <c r="I414" s="18" t="s">
        <v>153</v>
      </c>
      <c r="J414" s="119">
        <f>SUMIF(OpenInvoices!C:C,Table1[[#This Row],[Invoice No]],OpenInvoices!N:N)</f>
        <v>22000</v>
      </c>
      <c r="K414" s="119">
        <f>IF(Table1[[#This Row],[Outstanding]]=0,Table1[[#This Row],[Invoice Amount]],Table1[[#This Row],[Outstanding]]-Table1[[#This Row],[Invoice Amount]])</f>
        <v>0</v>
      </c>
    </row>
    <row r="415" spans="1:11" x14ac:dyDescent="0.2">
      <c r="A415" s="18">
        <v>1</v>
      </c>
      <c r="B415" s="20">
        <v>46082</v>
      </c>
      <c r="C415" s="118" t="str">
        <f>LEFT(Table1[[#This Row],[Project No]],2)</f>
        <v>A3</v>
      </c>
      <c r="D415" s="17" t="s">
        <v>3682</v>
      </c>
      <c r="E415" s="18" t="s">
        <v>37</v>
      </c>
      <c r="F415" s="18" t="s">
        <v>48</v>
      </c>
      <c r="G415" s="19">
        <v>14004.82</v>
      </c>
      <c r="H415" s="18">
        <v>210174012</v>
      </c>
      <c r="I415" s="18" t="s">
        <v>155</v>
      </c>
      <c r="J415" s="119">
        <f>SUMIF(OpenInvoices!C:C,Table1[[#This Row],[Invoice No]],OpenInvoices!N:N)</f>
        <v>14004.82</v>
      </c>
      <c r="K415" s="119">
        <f>IF(Table1[[#This Row],[Outstanding]]=0,Table1[[#This Row],[Invoice Amount]],Table1[[#This Row],[Outstanding]]-Table1[[#This Row],[Invoice Amount]])</f>
        <v>0</v>
      </c>
    </row>
    <row r="416" spans="1:11" x14ac:dyDescent="0.2">
      <c r="A416" s="18">
        <v>1</v>
      </c>
      <c r="B416" s="20">
        <v>46082</v>
      </c>
      <c r="C416" s="118" t="str">
        <f>LEFT(Table1[[#This Row],[Project No]],2)</f>
        <v>A5</v>
      </c>
      <c r="D416" s="17" t="s">
        <v>3740</v>
      </c>
      <c r="E416" s="18" t="s">
        <v>37</v>
      </c>
      <c r="F416" s="18" t="s">
        <v>31</v>
      </c>
      <c r="G416" s="19">
        <v>12314.95</v>
      </c>
      <c r="H416" s="18">
        <v>210174014</v>
      </c>
      <c r="I416" s="18" t="s">
        <v>155</v>
      </c>
      <c r="J416" s="119">
        <f>SUMIF(OpenInvoices!C:C,Table1[[#This Row],[Invoice No]],OpenInvoices!N:N)</f>
        <v>12314.95</v>
      </c>
      <c r="K416" s="119">
        <f>IF(Table1[[#This Row],[Outstanding]]=0,Table1[[#This Row],[Invoice Amount]],Table1[[#This Row],[Outstanding]]-Table1[[#This Row],[Invoice Amount]])</f>
        <v>0</v>
      </c>
    </row>
    <row r="417" spans="1:11" x14ac:dyDescent="0.2">
      <c r="A417" s="18">
        <v>1</v>
      </c>
      <c r="B417" s="20">
        <v>46082</v>
      </c>
      <c r="C417" s="118" t="str">
        <f>LEFT(Table1[[#This Row],[Project No]],2)</f>
        <v>AL</v>
      </c>
      <c r="D417" s="17" t="s">
        <v>841</v>
      </c>
      <c r="E417" s="18" t="s">
        <v>69</v>
      </c>
      <c r="F417" s="18" t="s">
        <v>48</v>
      </c>
      <c r="G417" s="19">
        <v>39252.400000000001</v>
      </c>
      <c r="H417" s="18">
        <v>210174015</v>
      </c>
      <c r="I417" s="18" t="s">
        <v>155</v>
      </c>
      <c r="J417" s="119">
        <f>SUMIF(OpenInvoices!C:C,Table1[[#This Row],[Invoice No]],OpenInvoices!N:N)</f>
        <v>39252.400000000001</v>
      </c>
      <c r="K417" s="119">
        <f>IF(Table1[[#This Row],[Outstanding]]=0,Table1[[#This Row],[Invoice Amount]],Table1[[#This Row],[Outstanding]]-Table1[[#This Row],[Invoice Amount]])</f>
        <v>0</v>
      </c>
    </row>
    <row r="418" spans="1:11" x14ac:dyDescent="0.2">
      <c r="A418" s="18">
        <v>1</v>
      </c>
      <c r="B418" s="20">
        <v>46082</v>
      </c>
      <c r="C418" s="118" t="str">
        <f>LEFT(Table1[[#This Row],[Project No]],2)</f>
        <v>AV</v>
      </c>
      <c r="D418" s="17" t="s">
        <v>1858</v>
      </c>
      <c r="E418" s="18" t="s">
        <v>22</v>
      </c>
      <c r="F418" s="18" t="s">
        <v>22</v>
      </c>
      <c r="G418" s="19">
        <v>17925.63</v>
      </c>
      <c r="H418" s="18">
        <v>210174016</v>
      </c>
      <c r="I418" s="18" t="s">
        <v>155</v>
      </c>
      <c r="J418" s="119">
        <f>SUMIF(OpenInvoices!C:C,Table1[[#This Row],[Invoice No]],OpenInvoices!N:N)</f>
        <v>17925.63</v>
      </c>
      <c r="K418" s="119">
        <f>IF(Table1[[#This Row],[Outstanding]]=0,Table1[[#This Row],[Invoice Amount]],Table1[[#This Row],[Outstanding]]-Table1[[#This Row],[Invoice Amount]])</f>
        <v>0</v>
      </c>
    </row>
    <row r="419" spans="1:11" x14ac:dyDescent="0.2">
      <c r="A419" s="18">
        <v>1</v>
      </c>
      <c r="B419" s="20">
        <v>46082</v>
      </c>
      <c r="C419" s="118" t="str">
        <f>LEFT(Table1[[#This Row],[Project No]],2)</f>
        <v>BK</v>
      </c>
      <c r="D419" s="17" t="s">
        <v>1464</v>
      </c>
      <c r="E419" s="18" t="s">
        <v>1463</v>
      </c>
      <c r="F419" s="18" t="s">
        <v>1539</v>
      </c>
      <c r="G419" s="19">
        <v>5714.5</v>
      </c>
      <c r="H419" s="18">
        <v>210174017</v>
      </c>
      <c r="I419" s="18" t="s">
        <v>155</v>
      </c>
      <c r="J419" s="119">
        <f>SUMIF(OpenInvoices!C:C,Table1[[#This Row],[Invoice No]],OpenInvoices!N:N)</f>
        <v>5714.5</v>
      </c>
      <c r="K419" s="119">
        <f>IF(Table1[[#This Row],[Outstanding]]=0,Table1[[#This Row],[Invoice Amount]],Table1[[#This Row],[Outstanding]]-Table1[[#This Row],[Invoice Amount]])</f>
        <v>0</v>
      </c>
    </row>
    <row r="420" spans="1:11" x14ac:dyDescent="0.2">
      <c r="A420" s="18">
        <v>1</v>
      </c>
      <c r="B420" s="20">
        <v>46082</v>
      </c>
      <c r="C420" s="118" t="str">
        <f>LEFT(Table1[[#This Row],[Project No]],2)</f>
        <v>BL</v>
      </c>
      <c r="D420" s="17" t="s">
        <v>1527</v>
      </c>
      <c r="E420" s="18" t="s">
        <v>41</v>
      </c>
      <c r="F420" s="18" t="s">
        <v>30</v>
      </c>
      <c r="G420" s="19">
        <v>3687.54</v>
      </c>
      <c r="H420" s="18">
        <v>210174018</v>
      </c>
      <c r="I420" s="18" t="s">
        <v>155</v>
      </c>
      <c r="J420" s="119">
        <f>SUMIF(OpenInvoices!C:C,Table1[[#This Row],[Invoice No]],OpenInvoices!N:N)</f>
        <v>3687.54</v>
      </c>
      <c r="K420" s="119">
        <f>IF(Table1[[#This Row],[Outstanding]]=0,Table1[[#This Row],[Invoice Amount]],Table1[[#This Row],[Outstanding]]-Table1[[#This Row],[Invoice Amount]])</f>
        <v>0</v>
      </c>
    </row>
    <row r="421" spans="1:11" x14ac:dyDescent="0.2">
      <c r="A421" s="18">
        <v>1</v>
      </c>
      <c r="B421" s="20">
        <v>46082</v>
      </c>
      <c r="C421" s="118" t="str">
        <f>LEFT(Table1[[#This Row],[Project No]],2)</f>
        <v>BL</v>
      </c>
      <c r="D421" s="17" t="s">
        <v>1620</v>
      </c>
      <c r="E421" s="18" t="s">
        <v>40</v>
      </c>
      <c r="F421" s="18" t="s">
        <v>31</v>
      </c>
      <c r="G421" s="19">
        <v>111045.32</v>
      </c>
      <c r="H421" s="18">
        <v>210174019</v>
      </c>
      <c r="I421" s="18" t="s">
        <v>155</v>
      </c>
      <c r="J421" s="119">
        <f>SUMIF(OpenInvoices!C:C,Table1[[#This Row],[Invoice No]],OpenInvoices!N:N)</f>
        <v>111045.32</v>
      </c>
      <c r="K421" s="119">
        <f>IF(Table1[[#This Row],[Outstanding]]=0,Table1[[#This Row],[Invoice Amount]],Table1[[#This Row],[Outstanding]]-Table1[[#This Row],[Invoice Amount]])</f>
        <v>0</v>
      </c>
    </row>
    <row r="422" spans="1:11" x14ac:dyDescent="0.2">
      <c r="A422" s="18">
        <v>1</v>
      </c>
      <c r="B422" s="20">
        <v>46082</v>
      </c>
      <c r="C422" s="118" t="str">
        <f>LEFT(Table1[[#This Row],[Project No]],2)</f>
        <v>BZ</v>
      </c>
      <c r="D422" s="17" t="s">
        <v>1528</v>
      </c>
      <c r="E422" s="18" t="s">
        <v>33</v>
      </c>
      <c r="F422" s="18" t="s">
        <v>1540</v>
      </c>
      <c r="G422" s="19">
        <v>854.81</v>
      </c>
      <c r="H422" s="18">
        <v>210174020</v>
      </c>
      <c r="I422" s="18" t="s">
        <v>155</v>
      </c>
      <c r="J422" s="119">
        <f>SUMIF(OpenInvoices!C:C,Table1[[#This Row],[Invoice No]],OpenInvoices!N:N)</f>
        <v>854.81</v>
      </c>
      <c r="K422" s="119">
        <f>IF(Table1[[#This Row],[Outstanding]]=0,Table1[[#This Row],[Invoice Amount]],Table1[[#This Row],[Outstanding]]-Table1[[#This Row],[Invoice Amount]])</f>
        <v>0</v>
      </c>
    </row>
    <row r="423" spans="1:11" x14ac:dyDescent="0.2">
      <c r="A423" s="18">
        <v>1</v>
      </c>
      <c r="B423" s="20">
        <v>46082</v>
      </c>
      <c r="C423" s="118" t="str">
        <f>LEFT(Table1[[#This Row],[Project No]],2)</f>
        <v>BZ</v>
      </c>
      <c r="D423" s="17" t="s">
        <v>2839</v>
      </c>
      <c r="E423" s="18" t="s">
        <v>1070</v>
      </c>
      <c r="F423" s="18" t="s">
        <v>10</v>
      </c>
      <c r="G423" s="19">
        <v>1658.29</v>
      </c>
      <c r="H423" s="18">
        <v>210174021</v>
      </c>
      <c r="I423" s="18" t="s">
        <v>155</v>
      </c>
      <c r="J423" s="119">
        <f>SUMIF(OpenInvoices!C:C,Table1[[#This Row],[Invoice No]],OpenInvoices!N:N)</f>
        <v>1658.29</v>
      </c>
      <c r="K423" s="119">
        <f>IF(Table1[[#This Row],[Outstanding]]=0,Table1[[#This Row],[Invoice Amount]],Table1[[#This Row],[Outstanding]]-Table1[[#This Row],[Invoice Amount]])</f>
        <v>0</v>
      </c>
    </row>
    <row r="424" spans="1:11" x14ac:dyDescent="0.2">
      <c r="A424" s="18">
        <v>1</v>
      </c>
      <c r="B424" s="20">
        <v>46082</v>
      </c>
      <c r="C424" s="118" t="str">
        <f>LEFT(Table1[[#This Row],[Project No]],2)</f>
        <v>CB</v>
      </c>
      <c r="D424" s="17" t="s">
        <v>1529</v>
      </c>
      <c r="E424" s="18" t="s">
        <v>829</v>
      </c>
      <c r="F424" s="18" t="s">
        <v>53</v>
      </c>
      <c r="G424" s="19">
        <v>936.69</v>
      </c>
      <c r="H424" s="18">
        <v>210174022</v>
      </c>
      <c r="I424" s="18" t="s">
        <v>155</v>
      </c>
      <c r="J424" s="119">
        <f>SUMIF(OpenInvoices!C:C,Table1[[#This Row],[Invoice No]],OpenInvoices!N:N)</f>
        <v>936.69</v>
      </c>
      <c r="K424" s="119">
        <f>IF(Table1[[#This Row],[Outstanding]]=0,Table1[[#This Row],[Invoice Amount]],Table1[[#This Row],[Outstanding]]-Table1[[#This Row],[Invoice Amount]])</f>
        <v>0</v>
      </c>
    </row>
    <row r="425" spans="1:11" x14ac:dyDescent="0.2">
      <c r="A425" s="18">
        <v>1</v>
      </c>
      <c r="B425" s="20">
        <v>46082</v>
      </c>
      <c r="C425" s="118" t="str">
        <f>LEFT(Table1[[#This Row],[Project No]],2)</f>
        <v>CQ</v>
      </c>
      <c r="D425" s="17" t="s">
        <v>7918</v>
      </c>
      <c r="E425" s="18" t="s">
        <v>702</v>
      </c>
      <c r="F425" s="18" t="s">
        <v>36</v>
      </c>
      <c r="G425" s="19">
        <v>2622.49</v>
      </c>
      <c r="H425" s="18">
        <v>210174023</v>
      </c>
      <c r="I425" s="18" t="s">
        <v>155</v>
      </c>
      <c r="J425" s="119">
        <f>SUMIF(OpenInvoices!C:C,Table1[[#This Row],[Invoice No]],OpenInvoices!N:N)</f>
        <v>2622.49</v>
      </c>
      <c r="K425" s="119">
        <f>IF(Table1[[#This Row],[Outstanding]]=0,Table1[[#This Row],[Invoice Amount]],Table1[[#This Row],[Outstanding]]-Table1[[#This Row],[Invoice Amount]])</f>
        <v>0</v>
      </c>
    </row>
    <row r="426" spans="1:11" x14ac:dyDescent="0.2">
      <c r="A426" s="18">
        <v>1</v>
      </c>
      <c r="B426" s="20">
        <v>46082</v>
      </c>
      <c r="C426" s="118" t="str">
        <f>LEFT(Table1[[#This Row],[Project No]],2)</f>
        <v>CQ</v>
      </c>
      <c r="D426" s="17" t="s">
        <v>5831</v>
      </c>
      <c r="E426" s="18" t="s">
        <v>710</v>
      </c>
      <c r="F426" s="18" t="s">
        <v>27</v>
      </c>
      <c r="G426" s="19">
        <v>2089.23</v>
      </c>
      <c r="H426" s="18">
        <v>210174024</v>
      </c>
      <c r="I426" s="18" t="s">
        <v>155</v>
      </c>
      <c r="J426" s="119">
        <f>SUMIF(OpenInvoices!C:C,Table1[[#This Row],[Invoice No]],OpenInvoices!N:N)</f>
        <v>2089.23</v>
      </c>
      <c r="K426" s="119">
        <f>IF(Table1[[#This Row],[Outstanding]]=0,Table1[[#This Row],[Invoice Amount]],Table1[[#This Row],[Outstanding]]-Table1[[#This Row],[Invoice Amount]])</f>
        <v>0</v>
      </c>
    </row>
    <row r="427" spans="1:11" x14ac:dyDescent="0.2">
      <c r="A427" s="18">
        <v>1</v>
      </c>
      <c r="B427" s="20">
        <v>46082</v>
      </c>
      <c r="C427" s="118" t="str">
        <f>LEFT(Table1[[#This Row],[Project No]],2)</f>
        <v>CS</v>
      </c>
      <c r="D427" s="17" t="s">
        <v>3072</v>
      </c>
      <c r="E427" s="18" t="s">
        <v>461</v>
      </c>
      <c r="F427" s="18" t="s">
        <v>10</v>
      </c>
      <c r="G427" s="19">
        <v>1613.99</v>
      </c>
      <c r="H427" s="18">
        <v>210174025</v>
      </c>
      <c r="I427" s="18" t="s">
        <v>155</v>
      </c>
      <c r="J427" s="119">
        <f>SUMIF(OpenInvoices!C:C,Table1[[#This Row],[Invoice No]],OpenInvoices!N:N)</f>
        <v>1613.99</v>
      </c>
      <c r="K427" s="119">
        <f>IF(Table1[[#This Row],[Outstanding]]=0,Table1[[#This Row],[Invoice Amount]],Table1[[#This Row],[Outstanding]]-Table1[[#This Row],[Invoice Amount]])</f>
        <v>0</v>
      </c>
    </row>
    <row r="428" spans="1:11" x14ac:dyDescent="0.2">
      <c r="A428" s="18">
        <v>1</v>
      </c>
      <c r="B428" s="20">
        <v>46082</v>
      </c>
      <c r="C428" s="118" t="str">
        <f>LEFT(Table1[[#This Row],[Project No]],2)</f>
        <v>CY</v>
      </c>
      <c r="D428" s="17" t="s">
        <v>1530</v>
      </c>
      <c r="E428" s="18" t="s">
        <v>47</v>
      </c>
      <c r="F428" s="18" t="s">
        <v>36</v>
      </c>
      <c r="G428" s="19">
        <v>997.5</v>
      </c>
      <c r="H428" s="18">
        <v>210174026</v>
      </c>
      <c r="I428" s="18" t="s">
        <v>155</v>
      </c>
      <c r="J428" s="119">
        <f>SUMIF(OpenInvoices!C:C,Table1[[#This Row],[Invoice No]],OpenInvoices!N:N)</f>
        <v>997.5</v>
      </c>
      <c r="K428" s="119">
        <f>IF(Table1[[#This Row],[Outstanding]]=0,Table1[[#This Row],[Invoice Amount]],Table1[[#This Row],[Outstanding]]-Table1[[#This Row],[Invoice Amount]])</f>
        <v>0</v>
      </c>
    </row>
    <row r="429" spans="1:11" x14ac:dyDescent="0.2">
      <c r="A429" s="18">
        <v>1</v>
      </c>
      <c r="B429" s="20">
        <v>46082</v>
      </c>
      <c r="C429" s="118" t="str">
        <f>LEFT(Table1[[#This Row],[Project No]],2)</f>
        <v>DB</v>
      </c>
      <c r="D429" s="17" t="s">
        <v>7836</v>
      </c>
      <c r="E429" s="18" t="s">
        <v>41</v>
      </c>
      <c r="F429" s="18" t="s">
        <v>444</v>
      </c>
      <c r="G429" s="19">
        <v>5856.95</v>
      </c>
      <c r="H429" s="18">
        <v>210174027</v>
      </c>
      <c r="I429" s="18" t="s">
        <v>155</v>
      </c>
      <c r="J429" s="119">
        <f>SUMIF(OpenInvoices!C:C,Table1[[#This Row],[Invoice No]],OpenInvoices!N:N)</f>
        <v>5856.95</v>
      </c>
      <c r="K429" s="119">
        <f>IF(Table1[[#This Row],[Outstanding]]=0,Table1[[#This Row],[Invoice Amount]],Table1[[#This Row],[Outstanding]]-Table1[[#This Row],[Invoice Amount]])</f>
        <v>0</v>
      </c>
    </row>
    <row r="430" spans="1:11" x14ac:dyDescent="0.2">
      <c r="A430" s="18">
        <v>1</v>
      </c>
      <c r="B430" s="20">
        <v>46082</v>
      </c>
      <c r="C430" s="118" t="str">
        <f>LEFT(Table1[[#This Row],[Project No]],2)</f>
        <v>DC</v>
      </c>
      <c r="D430" s="17" t="s">
        <v>6197</v>
      </c>
      <c r="E430" s="18" t="s">
        <v>40</v>
      </c>
      <c r="F430" s="18" t="s">
        <v>27</v>
      </c>
      <c r="G430" s="19">
        <v>14817.68</v>
      </c>
      <c r="H430" s="18">
        <v>210174028</v>
      </c>
      <c r="I430" s="18" t="s">
        <v>155</v>
      </c>
      <c r="J430" s="119">
        <f>SUMIF(OpenInvoices!C:C,Table1[[#This Row],[Invoice No]],OpenInvoices!N:N)</f>
        <v>14817.68</v>
      </c>
      <c r="K430" s="119">
        <f>IF(Table1[[#This Row],[Outstanding]]=0,Table1[[#This Row],[Invoice Amount]],Table1[[#This Row],[Outstanding]]-Table1[[#This Row],[Invoice Amount]])</f>
        <v>0</v>
      </c>
    </row>
    <row r="431" spans="1:11" x14ac:dyDescent="0.2">
      <c r="A431" s="18">
        <v>1</v>
      </c>
      <c r="B431" s="20">
        <v>46082</v>
      </c>
      <c r="C431" s="118" t="str">
        <f>LEFT(Table1[[#This Row],[Project No]],2)</f>
        <v>DF</v>
      </c>
      <c r="D431" s="17" t="s">
        <v>2100</v>
      </c>
      <c r="E431" s="18" t="s">
        <v>33</v>
      </c>
      <c r="F431" s="18" t="s">
        <v>27</v>
      </c>
      <c r="G431" s="19">
        <v>10992.52</v>
      </c>
      <c r="H431" s="18">
        <v>210174029</v>
      </c>
      <c r="I431" s="18" t="s">
        <v>155</v>
      </c>
      <c r="J431" s="119">
        <f>SUMIF(OpenInvoices!C:C,Table1[[#This Row],[Invoice No]],OpenInvoices!N:N)</f>
        <v>10992.52</v>
      </c>
      <c r="K431" s="119">
        <f>IF(Table1[[#This Row],[Outstanding]]=0,Table1[[#This Row],[Invoice Amount]],Table1[[#This Row],[Outstanding]]-Table1[[#This Row],[Invoice Amount]])</f>
        <v>0</v>
      </c>
    </row>
    <row r="432" spans="1:11" x14ac:dyDescent="0.2">
      <c r="A432" s="18">
        <v>1</v>
      </c>
      <c r="B432" s="20">
        <v>46082</v>
      </c>
      <c r="C432" s="118" t="str">
        <f>LEFT(Table1[[#This Row],[Project No]],2)</f>
        <v>DF</v>
      </c>
      <c r="D432" s="17" t="s">
        <v>3760</v>
      </c>
      <c r="E432" s="18" t="s">
        <v>454</v>
      </c>
      <c r="F432" s="18" t="s">
        <v>31</v>
      </c>
      <c r="G432" s="19">
        <v>32853.919999999998</v>
      </c>
      <c r="H432" s="18">
        <v>210174030</v>
      </c>
      <c r="I432" s="18" t="s">
        <v>155</v>
      </c>
      <c r="J432" s="119">
        <f>SUMIF(OpenInvoices!C:C,Table1[[#This Row],[Invoice No]],OpenInvoices!N:N)</f>
        <v>32853.919999999998</v>
      </c>
      <c r="K432" s="119">
        <f>IF(Table1[[#This Row],[Outstanding]]=0,Table1[[#This Row],[Invoice Amount]],Table1[[#This Row],[Outstanding]]-Table1[[#This Row],[Invoice Amount]])</f>
        <v>0</v>
      </c>
    </row>
    <row r="433" spans="1:11" x14ac:dyDescent="0.2">
      <c r="A433" s="18">
        <v>1</v>
      </c>
      <c r="B433" s="20">
        <v>46082</v>
      </c>
      <c r="C433" s="118" t="str">
        <f>LEFT(Table1[[#This Row],[Project No]],2)</f>
        <v>DF</v>
      </c>
      <c r="D433" s="17" t="s">
        <v>7826</v>
      </c>
      <c r="E433" s="18" t="s">
        <v>6334</v>
      </c>
      <c r="F433" s="18" t="s">
        <v>2303</v>
      </c>
      <c r="G433" s="19">
        <v>11250</v>
      </c>
      <c r="H433" s="18">
        <v>210174031</v>
      </c>
      <c r="I433" s="18" t="s">
        <v>155</v>
      </c>
      <c r="J433" s="119">
        <f>SUMIF(OpenInvoices!C:C,Table1[[#This Row],[Invoice No]],OpenInvoices!N:N)</f>
        <v>11250</v>
      </c>
      <c r="K433" s="119">
        <f>IF(Table1[[#This Row],[Outstanding]]=0,Table1[[#This Row],[Invoice Amount]],Table1[[#This Row],[Outstanding]]-Table1[[#This Row],[Invoice Amount]])</f>
        <v>0</v>
      </c>
    </row>
    <row r="434" spans="1:11" x14ac:dyDescent="0.2">
      <c r="A434" s="18">
        <v>1</v>
      </c>
      <c r="B434" s="20">
        <v>46082</v>
      </c>
      <c r="C434" s="118" t="str">
        <f>LEFT(Table1[[#This Row],[Project No]],2)</f>
        <v>DF</v>
      </c>
      <c r="D434" s="17" t="s">
        <v>7894</v>
      </c>
      <c r="E434" s="18" t="s">
        <v>6334</v>
      </c>
      <c r="F434" s="18" t="s">
        <v>2303</v>
      </c>
      <c r="G434" s="19">
        <v>11250</v>
      </c>
      <c r="H434" s="18">
        <v>210174032</v>
      </c>
      <c r="I434" s="18" t="s">
        <v>155</v>
      </c>
      <c r="J434" s="119">
        <f>SUMIF(OpenInvoices!C:C,Table1[[#This Row],[Invoice No]],OpenInvoices!N:N)</f>
        <v>11250</v>
      </c>
      <c r="K434" s="119">
        <f>IF(Table1[[#This Row],[Outstanding]]=0,Table1[[#This Row],[Invoice Amount]],Table1[[#This Row],[Outstanding]]-Table1[[#This Row],[Invoice Amount]])</f>
        <v>0</v>
      </c>
    </row>
    <row r="435" spans="1:11" x14ac:dyDescent="0.2">
      <c r="A435" s="18">
        <v>1</v>
      </c>
      <c r="B435" s="20">
        <v>46082</v>
      </c>
      <c r="C435" s="118" t="str">
        <f>LEFT(Table1[[#This Row],[Project No]],2)</f>
        <v>DG</v>
      </c>
      <c r="D435" s="17" t="s">
        <v>1532</v>
      </c>
      <c r="E435" s="18" t="s">
        <v>69</v>
      </c>
      <c r="F435" s="18" t="s">
        <v>30</v>
      </c>
      <c r="G435" s="19">
        <v>1083.08</v>
      </c>
      <c r="H435" s="18">
        <v>210174033</v>
      </c>
      <c r="I435" s="18" t="s">
        <v>155</v>
      </c>
      <c r="J435" s="119">
        <f>SUMIF(OpenInvoices!C:C,Table1[[#This Row],[Invoice No]],OpenInvoices!N:N)</f>
        <v>1083.08</v>
      </c>
      <c r="K435" s="119">
        <f>IF(Table1[[#This Row],[Outstanding]]=0,Table1[[#This Row],[Invoice Amount]],Table1[[#This Row],[Outstanding]]-Table1[[#This Row],[Invoice Amount]])</f>
        <v>0</v>
      </c>
    </row>
    <row r="436" spans="1:11" x14ac:dyDescent="0.2">
      <c r="A436" s="18">
        <v>1</v>
      </c>
      <c r="B436" s="20">
        <v>46082</v>
      </c>
      <c r="C436" s="118" t="str">
        <f>LEFT(Table1[[#This Row],[Project No]],2)</f>
        <v>DG</v>
      </c>
      <c r="D436" s="17" t="s">
        <v>2760</v>
      </c>
      <c r="E436" s="18" t="s">
        <v>40</v>
      </c>
      <c r="F436" s="18" t="s">
        <v>31</v>
      </c>
      <c r="G436" s="19">
        <v>2872.24</v>
      </c>
      <c r="H436" s="18">
        <v>210174034</v>
      </c>
      <c r="I436" s="18" t="s">
        <v>155</v>
      </c>
      <c r="J436" s="119">
        <f>SUMIF(OpenInvoices!C:C,Table1[[#This Row],[Invoice No]],OpenInvoices!N:N)</f>
        <v>2872.24</v>
      </c>
      <c r="K436" s="119">
        <f>IF(Table1[[#This Row],[Outstanding]]=0,Table1[[#This Row],[Invoice Amount]],Table1[[#This Row],[Outstanding]]-Table1[[#This Row],[Invoice Amount]])</f>
        <v>0</v>
      </c>
    </row>
    <row r="437" spans="1:11" x14ac:dyDescent="0.2">
      <c r="A437" s="18">
        <v>1</v>
      </c>
      <c r="B437" s="20">
        <v>46082</v>
      </c>
      <c r="C437" s="118" t="str">
        <f>LEFT(Table1[[#This Row],[Project No]],2)</f>
        <v>DJ</v>
      </c>
      <c r="D437" s="17" t="s">
        <v>1534</v>
      </c>
      <c r="E437" s="18" t="s">
        <v>38</v>
      </c>
      <c r="F437" s="18" t="s">
        <v>31</v>
      </c>
      <c r="G437" s="19">
        <v>30258.66</v>
      </c>
      <c r="H437" s="18">
        <v>210174035</v>
      </c>
      <c r="I437" s="18" t="s">
        <v>155</v>
      </c>
      <c r="J437" s="119">
        <f>SUMIF(OpenInvoices!C:C,Table1[[#This Row],[Invoice No]],OpenInvoices!N:N)</f>
        <v>30258.66</v>
      </c>
      <c r="K437" s="119">
        <f>IF(Table1[[#This Row],[Outstanding]]=0,Table1[[#This Row],[Invoice Amount]],Table1[[#This Row],[Outstanding]]-Table1[[#This Row],[Invoice Amount]])</f>
        <v>0</v>
      </c>
    </row>
    <row r="438" spans="1:11" x14ac:dyDescent="0.2">
      <c r="A438" s="18">
        <v>1</v>
      </c>
      <c r="B438" s="20">
        <v>46082</v>
      </c>
      <c r="C438" s="118" t="str">
        <f>LEFT(Table1[[#This Row],[Project No]],2)</f>
        <v>DJ</v>
      </c>
      <c r="D438" s="17" t="s">
        <v>3272</v>
      </c>
      <c r="E438" s="18" t="s">
        <v>788</v>
      </c>
      <c r="F438" s="18" t="s">
        <v>31</v>
      </c>
      <c r="G438" s="19">
        <v>532.20000000000005</v>
      </c>
      <c r="H438" s="18">
        <v>210174036</v>
      </c>
      <c r="I438" s="18" t="s">
        <v>155</v>
      </c>
      <c r="J438" s="119">
        <f>SUMIF(OpenInvoices!C:C,Table1[[#This Row],[Invoice No]],OpenInvoices!N:N)</f>
        <v>532.20000000000005</v>
      </c>
      <c r="K438" s="119">
        <f>IF(Table1[[#This Row],[Outstanding]]=0,Table1[[#This Row],[Invoice Amount]],Table1[[#This Row],[Outstanding]]-Table1[[#This Row],[Invoice Amount]])</f>
        <v>0</v>
      </c>
    </row>
    <row r="439" spans="1:11" x14ac:dyDescent="0.2">
      <c r="A439" s="18">
        <v>1</v>
      </c>
      <c r="B439" s="20">
        <v>46082</v>
      </c>
      <c r="C439" s="118" t="str">
        <f>LEFT(Table1[[#This Row],[Project No]],2)</f>
        <v>DM</v>
      </c>
      <c r="D439" s="17" t="s">
        <v>7899</v>
      </c>
      <c r="E439" s="18" t="s">
        <v>6526</v>
      </c>
      <c r="F439" s="18" t="s">
        <v>6526</v>
      </c>
      <c r="G439" s="19">
        <v>357.12</v>
      </c>
      <c r="H439" s="18">
        <v>210174037</v>
      </c>
      <c r="I439" s="18" t="s">
        <v>155</v>
      </c>
      <c r="J439" s="119">
        <f>SUMIF(OpenInvoices!C:C,Table1[[#This Row],[Invoice No]],OpenInvoices!N:N)</f>
        <v>357.12</v>
      </c>
      <c r="K439" s="119">
        <f>IF(Table1[[#This Row],[Outstanding]]=0,Table1[[#This Row],[Invoice Amount]],Table1[[#This Row],[Outstanding]]-Table1[[#This Row],[Invoice Amount]])</f>
        <v>0</v>
      </c>
    </row>
    <row r="440" spans="1:11" x14ac:dyDescent="0.2">
      <c r="A440" s="18">
        <v>1</v>
      </c>
      <c r="B440" s="20">
        <v>46082</v>
      </c>
      <c r="C440" s="118" t="str">
        <f>LEFT(Table1[[#This Row],[Project No]],2)</f>
        <v>EP</v>
      </c>
      <c r="D440" s="17" t="s">
        <v>2651</v>
      </c>
      <c r="E440" s="18" t="s">
        <v>47</v>
      </c>
      <c r="F440" s="18" t="s">
        <v>57</v>
      </c>
      <c r="G440" s="19">
        <v>1387.87</v>
      </c>
      <c r="H440" s="18">
        <v>210174038</v>
      </c>
      <c r="I440" s="18" t="s">
        <v>155</v>
      </c>
      <c r="J440" s="119">
        <f>SUMIF(OpenInvoices!C:C,Table1[[#This Row],[Invoice No]],OpenInvoices!N:N)</f>
        <v>1387.87</v>
      </c>
      <c r="K440" s="119">
        <f>IF(Table1[[#This Row],[Outstanding]]=0,Table1[[#This Row],[Invoice Amount]],Table1[[#This Row],[Outstanding]]-Table1[[#This Row],[Invoice Amount]])</f>
        <v>0</v>
      </c>
    </row>
    <row r="441" spans="1:11" x14ac:dyDescent="0.2">
      <c r="A441" s="18">
        <v>1</v>
      </c>
      <c r="B441" s="20">
        <v>46082</v>
      </c>
      <c r="C441" s="118" t="str">
        <f>LEFT(Table1[[#This Row],[Project No]],2)</f>
        <v>H4</v>
      </c>
      <c r="D441" s="17" t="s">
        <v>1621</v>
      </c>
      <c r="E441" s="18" t="s">
        <v>16</v>
      </c>
      <c r="F441" s="18" t="s">
        <v>10</v>
      </c>
      <c r="G441" s="19">
        <v>21318.48</v>
      </c>
      <c r="H441" s="18">
        <v>210174039</v>
      </c>
      <c r="I441" s="18" t="s">
        <v>155</v>
      </c>
      <c r="J441" s="119">
        <f>SUMIF(OpenInvoices!C:C,Table1[[#This Row],[Invoice No]],OpenInvoices!N:N)</f>
        <v>21318.48</v>
      </c>
      <c r="K441" s="119">
        <f>IF(Table1[[#This Row],[Outstanding]]=0,Table1[[#This Row],[Invoice Amount]],Table1[[#This Row],[Outstanding]]-Table1[[#This Row],[Invoice Amount]])</f>
        <v>0</v>
      </c>
    </row>
    <row r="442" spans="1:11" x14ac:dyDescent="0.2">
      <c r="A442" s="18">
        <v>1</v>
      </c>
      <c r="B442" s="20">
        <v>46082</v>
      </c>
      <c r="C442" s="118" t="str">
        <f>LEFT(Table1[[#This Row],[Project No]],2)</f>
        <v>HE</v>
      </c>
      <c r="D442" s="17" t="s">
        <v>3423</v>
      </c>
      <c r="E442" s="18" t="s">
        <v>37</v>
      </c>
      <c r="F442" s="18" t="s">
        <v>10</v>
      </c>
      <c r="G442" s="19">
        <v>3627.8</v>
      </c>
      <c r="H442" s="18">
        <v>210174040</v>
      </c>
      <c r="I442" s="18" t="s">
        <v>155</v>
      </c>
      <c r="J442" s="119">
        <f>SUMIF(OpenInvoices!C:C,Table1[[#This Row],[Invoice No]],OpenInvoices!N:N)</f>
        <v>3627.8</v>
      </c>
      <c r="K442" s="119">
        <f>IF(Table1[[#This Row],[Outstanding]]=0,Table1[[#This Row],[Invoice Amount]],Table1[[#This Row],[Outstanding]]-Table1[[#This Row],[Invoice Amount]])</f>
        <v>0</v>
      </c>
    </row>
    <row r="443" spans="1:11" x14ac:dyDescent="0.2">
      <c r="A443" s="18">
        <v>1</v>
      </c>
      <c r="B443" s="20">
        <v>46082</v>
      </c>
      <c r="C443" s="118" t="str">
        <f>LEFT(Table1[[#This Row],[Project No]],2)</f>
        <v>HF</v>
      </c>
      <c r="D443" s="17" t="s">
        <v>2684</v>
      </c>
      <c r="E443" s="18" t="s">
        <v>41</v>
      </c>
      <c r="F443" s="18" t="s">
        <v>10</v>
      </c>
      <c r="G443" s="19">
        <v>3905.25</v>
      </c>
      <c r="H443" s="18">
        <v>210174041</v>
      </c>
      <c r="I443" s="18" t="s">
        <v>155</v>
      </c>
      <c r="J443" s="119">
        <f>SUMIF(OpenInvoices!C:C,Table1[[#This Row],[Invoice No]],OpenInvoices!N:N)</f>
        <v>3905.25</v>
      </c>
      <c r="K443" s="119">
        <f>IF(Table1[[#This Row],[Outstanding]]=0,Table1[[#This Row],[Invoice Amount]],Table1[[#This Row],[Outstanding]]-Table1[[#This Row],[Invoice Amount]])</f>
        <v>0</v>
      </c>
    </row>
    <row r="444" spans="1:11" x14ac:dyDescent="0.2">
      <c r="A444" s="18">
        <v>1</v>
      </c>
      <c r="B444" s="20">
        <v>46082</v>
      </c>
      <c r="C444" s="118" t="str">
        <f>LEFT(Table1[[#This Row],[Project No]],2)</f>
        <v>HF</v>
      </c>
      <c r="D444" s="17" t="s">
        <v>1578</v>
      </c>
      <c r="E444" s="18" t="s">
        <v>1148</v>
      </c>
      <c r="F444" s="18" t="s">
        <v>10</v>
      </c>
      <c r="G444" s="19">
        <v>53134.98</v>
      </c>
      <c r="H444" s="18">
        <v>210174042</v>
      </c>
      <c r="I444" s="18" t="s">
        <v>155</v>
      </c>
      <c r="J444" s="119">
        <f>SUMIF(OpenInvoices!C:C,Table1[[#This Row],[Invoice No]],OpenInvoices!N:N)</f>
        <v>53134.98</v>
      </c>
      <c r="K444" s="119">
        <f>IF(Table1[[#This Row],[Outstanding]]=0,Table1[[#This Row],[Invoice Amount]],Table1[[#This Row],[Outstanding]]-Table1[[#This Row],[Invoice Amount]])</f>
        <v>0</v>
      </c>
    </row>
    <row r="445" spans="1:11" x14ac:dyDescent="0.2">
      <c r="A445" s="18">
        <v>1</v>
      </c>
      <c r="B445" s="20">
        <v>46082</v>
      </c>
      <c r="C445" s="118" t="str">
        <f>LEFT(Table1[[#This Row],[Project No]],2)</f>
        <v>HF</v>
      </c>
      <c r="D445" s="17" t="s">
        <v>1536</v>
      </c>
      <c r="E445" s="18" t="s">
        <v>1543</v>
      </c>
      <c r="F445" s="18" t="s">
        <v>1543</v>
      </c>
      <c r="G445" s="19">
        <v>91570.16</v>
      </c>
      <c r="H445" s="18">
        <v>210174043</v>
      </c>
      <c r="I445" s="18" t="s">
        <v>155</v>
      </c>
      <c r="J445" s="119">
        <f>SUMIF(OpenInvoices!C:C,Table1[[#This Row],[Invoice No]],OpenInvoices!N:N)</f>
        <v>91570.16</v>
      </c>
      <c r="K445" s="119">
        <f>IF(Table1[[#This Row],[Outstanding]]=0,Table1[[#This Row],[Invoice Amount]],Table1[[#This Row],[Outstanding]]-Table1[[#This Row],[Invoice Amount]])</f>
        <v>0</v>
      </c>
    </row>
    <row r="446" spans="1:11" x14ac:dyDescent="0.2">
      <c r="A446" s="18">
        <v>1</v>
      </c>
      <c r="B446" s="20">
        <v>46082</v>
      </c>
      <c r="C446" s="118" t="str">
        <f>LEFT(Table1[[#This Row],[Project No]],2)</f>
        <v>HF</v>
      </c>
      <c r="D446" s="17" t="s">
        <v>2703</v>
      </c>
      <c r="E446" s="18" t="s">
        <v>63</v>
      </c>
      <c r="F446" s="18" t="s">
        <v>10</v>
      </c>
      <c r="G446" s="19">
        <v>28015</v>
      </c>
      <c r="H446" s="18">
        <v>210174044</v>
      </c>
      <c r="I446" s="18" t="s">
        <v>155</v>
      </c>
      <c r="J446" s="119">
        <f>SUMIF(OpenInvoices!C:C,Table1[[#This Row],[Invoice No]],OpenInvoices!N:N)</f>
        <v>28015</v>
      </c>
      <c r="K446" s="119">
        <f>IF(Table1[[#This Row],[Outstanding]]=0,Table1[[#This Row],[Invoice Amount]],Table1[[#This Row],[Outstanding]]-Table1[[#This Row],[Invoice Amount]])</f>
        <v>0</v>
      </c>
    </row>
    <row r="447" spans="1:11" x14ac:dyDescent="0.2">
      <c r="A447" s="18">
        <v>1</v>
      </c>
      <c r="B447" s="20">
        <v>46082</v>
      </c>
      <c r="C447" s="118" t="str">
        <f>LEFT(Table1[[#This Row],[Project No]],2)</f>
        <v>HJ</v>
      </c>
      <c r="D447" s="17" t="s">
        <v>2061</v>
      </c>
      <c r="E447" s="18" t="s">
        <v>54</v>
      </c>
      <c r="F447" s="18" t="s">
        <v>339</v>
      </c>
      <c r="G447" s="19">
        <v>29916.47</v>
      </c>
      <c r="H447" s="18">
        <v>210174045</v>
      </c>
      <c r="I447" s="18" t="s">
        <v>155</v>
      </c>
      <c r="J447" s="119">
        <f>SUMIF(OpenInvoices!C:C,Table1[[#This Row],[Invoice No]],OpenInvoices!N:N)</f>
        <v>29916.47</v>
      </c>
      <c r="K447" s="119">
        <f>IF(Table1[[#This Row],[Outstanding]]=0,Table1[[#This Row],[Invoice Amount]],Table1[[#This Row],[Outstanding]]-Table1[[#This Row],[Invoice Amount]])</f>
        <v>0</v>
      </c>
    </row>
    <row r="448" spans="1:11" x14ac:dyDescent="0.2">
      <c r="A448" s="18">
        <v>1</v>
      </c>
      <c r="B448" s="20">
        <v>46082</v>
      </c>
      <c r="C448" s="118" t="str">
        <f>LEFT(Table1[[#This Row],[Project No]],2)</f>
        <v>HM</v>
      </c>
      <c r="D448" s="17" t="s">
        <v>2521</v>
      </c>
      <c r="E448" s="18" t="s">
        <v>37</v>
      </c>
      <c r="F448" s="18" t="s">
        <v>27</v>
      </c>
      <c r="G448" s="19">
        <v>501.69</v>
      </c>
      <c r="H448" s="18">
        <v>210174046</v>
      </c>
      <c r="I448" s="18" t="s">
        <v>155</v>
      </c>
      <c r="J448" s="119">
        <f>SUMIF(OpenInvoices!C:C,Table1[[#This Row],[Invoice No]],OpenInvoices!N:N)</f>
        <v>501.69</v>
      </c>
      <c r="K448" s="119">
        <f>IF(Table1[[#This Row],[Outstanding]]=0,Table1[[#This Row],[Invoice Amount]],Table1[[#This Row],[Outstanding]]-Table1[[#This Row],[Invoice Amount]])</f>
        <v>0</v>
      </c>
    </row>
    <row r="449" spans="1:11" x14ac:dyDescent="0.2">
      <c r="A449" s="18">
        <v>1</v>
      </c>
      <c r="B449" s="20">
        <v>46082</v>
      </c>
      <c r="C449" s="118" t="str">
        <f>LEFT(Table1[[#This Row],[Project No]],2)</f>
        <v>HM</v>
      </c>
      <c r="D449" s="17" t="s">
        <v>3685</v>
      </c>
      <c r="E449" s="18" t="s">
        <v>719</v>
      </c>
      <c r="F449" s="18" t="s">
        <v>719</v>
      </c>
      <c r="G449" s="19">
        <v>1061.27</v>
      </c>
      <c r="H449" s="18">
        <v>210174047</v>
      </c>
      <c r="I449" s="18" t="s">
        <v>155</v>
      </c>
      <c r="J449" s="119">
        <f>SUMIF(OpenInvoices!C:C,Table1[[#This Row],[Invoice No]],OpenInvoices!N:N)</f>
        <v>1061.27</v>
      </c>
      <c r="K449" s="119">
        <f>IF(Table1[[#This Row],[Outstanding]]=0,Table1[[#This Row],[Invoice Amount]],Table1[[#This Row],[Outstanding]]-Table1[[#This Row],[Invoice Amount]])</f>
        <v>0</v>
      </c>
    </row>
    <row r="450" spans="1:11" x14ac:dyDescent="0.2">
      <c r="A450" s="18">
        <v>1</v>
      </c>
      <c r="B450" s="20">
        <v>46082</v>
      </c>
      <c r="C450" s="118" t="str">
        <f>LEFT(Table1[[#This Row],[Project No]],2)</f>
        <v>HM</v>
      </c>
      <c r="D450" s="17" t="s">
        <v>1623</v>
      </c>
      <c r="E450" s="18" t="s">
        <v>1588</v>
      </c>
      <c r="F450" s="18" t="s">
        <v>1588</v>
      </c>
      <c r="G450" s="19">
        <v>15381.64</v>
      </c>
      <c r="H450" s="18">
        <v>210174048</v>
      </c>
      <c r="I450" s="18" t="s">
        <v>155</v>
      </c>
      <c r="J450" s="119">
        <f>SUMIF(OpenInvoices!C:C,Table1[[#This Row],[Invoice No]],OpenInvoices!N:N)</f>
        <v>15381.64</v>
      </c>
      <c r="K450" s="119">
        <f>IF(Table1[[#This Row],[Outstanding]]=0,Table1[[#This Row],[Invoice Amount]],Table1[[#This Row],[Outstanding]]-Table1[[#This Row],[Invoice Amount]])</f>
        <v>0</v>
      </c>
    </row>
    <row r="451" spans="1:11" x14ac:dyDescent="0.2">
      <c r="A451" s="18">
        <v>1</v>
      </c>
      <c r="B451" s="20">
        <v>46082</v>
      </c>
      <c r="C451" s="118" t="str">
        <f>LEFT(Table1[[#This Row],[Project No]],2)</f>
        <v>HM</v>
      </c>
      <c r="D451" s="17" t="s">
        <v>4875</v>
      </c>
      <c r="E451" s="18" t="s">
        <v>3702</v>
      </c>
      <c r="F451" s="18" t="s">
        <v>3702</v>
      </c>
      <c r="G451" s="19">
        <v>25976.25</v>
      </c>
      <c r="H451" s="18">
        <v>210174049</v>
      </c>
      <c r="I451" s="18" t="s">
        <v>155</v>
      </c>
      <c r="J451" s="119">
        <f>SUMIF(OpenInvoices!C:C,Table1[[#This Row],[Invoice No]],OpenInvoices!N:N)</f>
        <v>25976.25</v>
      </c>
      <c r="K451" s="119">
        <f>IF(Table1[[#This Row],[Outstanding]]=0,Table1[[#This Row],[Invoice Amount]],Table1[[#This Row],[Outstanding]]-Table1[[#This Row],[Invoice Amount]])</f>
        <v>0</v>
      </c>
    </row>
    <row r="452" spans="1:11" x14ac:dyDescent="0.2">
      <c r="A452" s="18">
        <v>1</v>
      </c>
      <c r="B452" s="20">
        <v>46082</v>
      </c>
      <c r="C452" s="118" t="str">
        <f>LEFT(Table1[[#This Row],[Project No]],2)</f>
        <v>HN</v>
      </c>
      <c r="D452" s="17" t="s">
        <v>2077</v>
      </c>
      <c r="E452" s="18" t="s">
        <v>624</v>
      </c>
      <c r="F452" s="18" t="s">
        <v>48</v>
      </c>
      <c r="G452" s="26">
        <v>11.05</v>
      </c>
      <c r="H452" s="18">
        <v>210174050</v>
      </c>
      <c r="I452" s="18" t="s">
        <v>155</v>
      </c>
      <c r="J452" s="119">
        <f>SUMIF(OpenInvoices!C:C,Table1[[#This Row],[Invoice No]],OpenInvoices!N:N)</f>
        <v>11.05</v>
      </c>
      <c r="K452" s="119">
        <f>IF(Table1[[#This Row],[Outstanding]]=0,Table1[[#This Row],[Invoice Amount]],Table1[[#This Row],[Outstanding]]-Table1[[#This Row],[Invoice Amount]])</f>
        <v>0</v>
      </c>
    </row>
    <row r="453" spans="1:11" x14ac:dyDescent="0.2">
      <c r="A453" s="18">
        <v>1</v>
      </c>
      <c r="B453" s="20">
        <v>46082</v>
      </c>
      <c r="C453" s="118" t="str">
        <f>LEFT(Table1[[#This Row],[Project No]],2)</f>
        <v>HN</v>
      </c>
      <c r="D453" s="17" t="s">
        <v>7890</v>
      </c>
      <c r="E453" s="18" t="s">
        <v>1070</v>
      </c>
      <c r="F453" s="18" t="s">
        <v>742</v>
      </c>
      <c r="G453" s="26">
        <v>15224.24</v>
      </c>
      <c r="H453" s="18">
        <v>210174051</v>
      </c>
      <c r="I453" s="18" t="s">
        <v>155</v>
      </c>
      <c r="J453" s="119">
        <f>SUMIF(OpenInvoices!C:C,Table1[[#This Row],[Invoice No]],OpenInvoices!N:N)</f>
        <v>15224.24</v>
      </c>
      <c r="K453" s="119">
        <f>IF(Table1[[#This Row],[Outstanding]]=0,Table1[[#This Row],[Invoice Amount]],Table1[[#This Row],[Outstanding]]-Table1[[#This Row],[Invoice Amount]])</f>
        <v>0</v>
      </c>
    </row>
    <row r="454" spans="1:11" x14ac:dyDescent="0.2">
      <c r="A454" s="18">
        <v>1</v>
      </c>
      <c r="B454" s="20">
        <v>46082</v>
      </c>
      <c r="C454" s="118" t="str">
        <f>LEFT(Table1[[#This Row],[Project No]],2)</f>
        <v>HQ</v>
      </c>
      <c r="D454" s="17" t="s">
        <v>7874</v>
      </c>
      <c r="E454" s="18" t="s">
        <v>22</v>
      </c>
      <c r="F454" s="18" t="s">
        <v>22</v>
      </c>
      <c r="G454" s="26">
        <v>9363.6299999999992</v>
      </c>
      <c r="H454" s="18">
        <v>210174052</v>
      </c>
      <c r="I454" s="18" t="s">
        <v>155</v>
      </c>
      <c r="J454" s="119">
        <f>SUMIF(OpenInvoices!C:C,Table1[[#This Row],[Invoice No]],OpenInvoices!N:N)</f>
        <v>9363.6299999999992</v>
      </c>
      <c r="K454" s="119">
        <f>IF(Table1[[#This Row],[Outstanding]]=0,Table1[[#This Row],[Invoice Amount]],Table1[[#This Row],[Outstanding]]-Table1[[#This Row],[Invoice Amount]])</f>
        <v>0</v>
      </c>
    </row>
    <row r="455" spans="1:11" x14ac:dyDescent="0.2">
      <c r="B455" s="20"/>
      <c r="D455" s="17"/>
      <c r="G455" s="26"/>
    </row>
    <row r="456" spans="1:11" x14ac:dyDescent="0.2">
      <c r="B456" s="20"/>
      <c r="D456" s="17"/>
      <c r="G456" s="26"/>
    </row>
    <row r="457" spans="1:11" x14ac:dyDescent="0.2">
      <c r="B457" s="20"/>
      <c r="D457" s="17"/>
      <c r="G457" s="26"/>
    </row>
    <row r="458" spans="1:11" x14ac:dyDescent="0.2">
      <c r="B458" s="20"/>
      <c r="D458" s="17"/>
      <c r="G458" s="26"/>
    </row>
    <row r="459" spans="1:11" x14ac:dyDescent="0.2">
      <c r="B459" s="20"/>
      <c r="D459" s="17"/>
      <c r="G459" s="26"/>
    </row>
    <row r="460" spans="1:11" x14ac:dyDescent="0.2">
      <c r="B460" s="20"/>
      <c r="D460" s="17"/>
      <c r="G460" s="26"/>
    </row>
    <row r="461" spans="1:11" x14ac:dyDescent="0.2">
      <c r="B461" s="20"/>
      <c r="D461" s="17"/>
      <c r="G461" s="26"/>
    </row>
    <row r="462" spans="1:11" x14ac:dyDescent="0.2">
      <c r="B462" s="20"/>
      <c r="D462" s="17"/>
      <c r="G462" s="26"/>
    </row>
    <row r="463" spans="1:11" x14ac:dyDescent="0.2">
      <c r="B463" s="20"/>
      <c r="D463" s="17"/>
      <c r="G463" s="26"/>
    </row>
    <row r="464" spans="1:11" x14ac:dyDescent="0.2">
      <c r="B464" s="20"/>
      <c r="D464" s="17"/>
      <c r="G464" s="26"/>
    </row>
    <row r="465" spans="2:7" x14ac:dyDescent="0.2">
      <c r="B465" s="20"/>
      <c r="D465" s="17"/>
      <c r="G465" s="26"/>
    </row>
    <row r="466" spans="2:7" x14ac:dyDescent="0.2">
      <c r="B466" s="20"/>
      <c r="D466" s="17"/>
      <c r="G466" s="26"/>
    </row>
    <row r="467" spans="2:7" x14ac:dyDescent="0.2">
      <c r="B467" s="20"/>
      <c r="D467" s="17"/>
      <c r="G467" s="26"/>
    </row>
    <row r="468" spans="2:7" x14ac:dyDescent="0.2">
      <c r="B468" s="20"/>
      <c r="D468" s="17"/>
      <c r="G468" s="26"/>
    </row>
    <row r="469" spans="2:7" x14ac:dyDescent="0.2">
      <c r="B469" s="20"/>
      <c r="D469" s="17"/>
      <c r="G469" s="26"/>
    </row>
    <row r="470" spans="2:7" x14ac:dyDescent="0.2">
      <c r="B470" s="20"/>
      <c r="D470" s="17"/>
      <c r="G470" s="26"/>
    </row>
    <row r="471" spans="2:7" x14ac:dyDescent="0.2">
      <c r="B471" s="20"/>
      <c r="D471" s="17"/>
      <c r="G471" s="26"/>
    </row>
    <row r="472" spans="2:7" x14ac:dyDescent="0.2">
      <c r="B472" s="20"/>
      <c r="D472" s="17"/>
      <c r="G472" s="26"/>
    </row>
    <row r="473" spans="2:7" x14ac:dyDescent="0.2">
      <c r="B473" s="20"/>
      <c r="D473" s="17"/>
      <c r="G473" s="26"/>
    </row>
    <row r="474" spans="2:7" x14ac:dyDescent="0.2">
      <c r="B474" s="20"/>
      <c r="D474" s="17"/>
      <c r="G474" s="26"/>
    </row>
    <row r="475" spans="2:7" x14ac:dyDescent="0.2">
      <c r="B475" s="20"/>
      <c r="D475" s="17"/>
      <c r="G475" s="26"/>
    </row>
    <row r="476" spans="2:7" x14ac:dyDescent="0.2">
      <c r="B476" s="20"/>
      <c r="D476" s="17"/>
      <c r="G476" s="26"/>
    </row>
    <row r="477" spans="2:7" x14ac:dyDescent="0.2">
      <c r="B477" s="20"/>
      <c r="D477" s="17"/>
      <c r="G477" s="26"/>
    </row>
    <row r="478" spans="2:7" x14ac:dyDescent="0.2">
      <c r="B478" s="20"/>
      <c r="D478" s="17"/>
      <c r="G478" s="26"/>
    </row>
    <row r="479" spans="2:7" x14ac:dyDescent="0.2">
      <c r="B479" s="20"/>
      <c r="D479" s="17"/>
      <c r="G479" s="26"/>
    </row>
    <row r="480" spans="2:7" x14ac:dyDescent="0.2">
      <c r="B480" s="20"/>
      <c r="D480" s="17"/>
      <c r="G480" s="26"/>
    </row>
    <row r="481" spans="2:7" x14ac:dyDescent="0.2">
      <c r="B481" s="20"/>
      <c r="D481" s="17"/>
      <c r="G481" s="26"/>
    </row>
    <row r="482" spans="2:7" x14ac:dyDescent="0.2">
      <c r="B482" s="20"/>
      <c r="D482" s="17"/>
      <c r="G482" s="26"/>
    </row>
    <row r="483" spans="2:7" x14ac:dyDescent="0.2">
      <c r="B483" s="20"/>
      <c r="D483" s="17"/>
      <c r="G483" s="26"/>
    </row>
    <row r="484" spans="2:7" x14ac:dyDescent="0.2">
      <c r="B484" s="20"/>
      <c r="D484" s="17"/>
      <c r="G484" s="26"/>
    </row>
    <row r="485" spans="2:7" x14ac:dyDescent="0.2">
      <c r="B485" s="20"/>
      <c r="D485" s="17"/>
      <c r="G485" s="26"/>
    </row>
    <row r="486" spans="2:7" x14ac:dyDescent="0.2">
      <c r="B486" s="20"/>
      <c r="D486" s="17"/>
      <c r="G486" s="26"/>
    </row>
    <row r="487" spans="2:7" x14ac:dyDescent="0.2">
      <c r="B487" s="20"/>
      <c r="D487" s="17"/>
      <c r="G487" s="26"/>
    </row>
    <row r="488" spans="2:7" x14ac:dyDescent="0.2">
      <c r="B488" s="20"/>
      <c r="D488" s="17"/>
      <c r="G488" s="26"/>
    </row>
    <row r="489" spans="2:7" x14ac:dyDescent="0.2">
      <c r="B489" s="20"/>
      <c r="D489" s="17"/>
    </row>
    <row r="490" spans="2:7" x14ac:dyDescent="0.2">
      <c r="B490" s="20"/>
      <c r="D490" s="17"/>
    </row>
    <row r="491" spans="2:7" x14ac:dyDescent="0.2">
      <c r="B491" s="20"/>
      <c r="D491" s="17"/>
    </row>
    <row r="492" spans="2:7" x14ac:dyDescent="0.2">
      <c r="B492" s="20"/>
      <c r="D492" s="17"/>
    </row>
    <row r="493" spans="2:7" x14ac:dyDescent="0.2">
      <c r="B493" s="20"/>
      <c r="D493" s="17"/>
    </row>
    <row r="494" spans="2:7" x14ac:dyDescent="0.2">
      <c r="B494" s="20"/>
      <c r="D494" s="17"/>
    </row>
    <row r="495" spans="2:7" x14ac:dyDescent="0.2">
      <c r="B495" s="20"/>
      <c r="D495" s="17"/>
    </row>
    <row r="496" spans="2:7" x14ac:dyDescent="0.2">
      <c r="B496" s="20"/>
      <c r="D496" s="17"/>
    </row>
    <row r="497" spans="2:4" x14ac:dyDescent="0.2">
      <c r="B497" s="20"/>
      <c r="D497" s="17"/>
    </row>
    <row r="498" spans="2:4" x14ac:dyDescent="0.2">
      <c r="B498" s="20"/>
      <c r="D498" s="17"/>
    </row>
    <row r="499" spans="2:4" x14ac:dyDescent="0.2">
      <c r="B499" s="20"/>
      <c r="D499" s="17"/>
    </row>
    <row r="500" spans="2:4" x14ac:dyDescent="0.2">
      <c r="B500" s="20"/>
      <c r="D500" s="17"/>
    </row>
    <row r="501" spans="2:4" x14ac:dyDescent="0.2">
      <c r="B501" s="20"/>
      <c r="D501" s="17"/>
    </row>
    <row r="502" spans="2:4" x14ac:dyDescent="0.2">
      <c r="B502" s="20"/>
      <c r="D502" s="17"/>
    </row>
    <row r="503" spans="2:4" x14ac:dyDescent="0.2">
      <c r="B503" s="20"/>
      <c r="D503" s="17"/>
    </row>
    <row r="504" spans="2:4" x14ac:dyDescent="0.2">
      <c r="B504" s="20"/>
      <c r="D504" s="17"/>
    </row>
    <row r="505" spans="2:4" x14ac:dyDescent="0.2">
      <c r="B505" s="20"/>
      <c r="D505" s="17"/>
    </row>
    <row r="506" spans="2:4" x14ac:dyDescent="0.2">
      <c r="B506" s="20"/>
      <c r="D506" s="17"/>
    </row>
    <row r="507" spans="2:4" x14ac:dyDescent="0.2">
      <c r="B507" s="20"/>
      <c r="D507" s="17"/>
    </row>
    <row r="508" spans="2:4" x14ac:dyDescent="0.2">
      <c r="B508" s="20"/>
      <c r="D508" s="17"/>
    </row>
    <row r="509" spans="2:4" x14ac:dyDescent="0.2">
      <c r="B509" s="20"/>
      <c r="D509" s="17"/>
    </row>
    <row r="510" spans="2:4" x14ac:dyDescent="0.2">
      <c r="B510" s="20"/>
      <c r="D510" s="17"/>
    </row>
    <row r="511" spans="2:4" x14ac:dyDescent="0.2">
      <c r="B511" s="20"/>
      <c r="D511" s="17"/>
    </row>
    <row r="512" spans="2:4" x14ac:dyDescent="0.2">
      <c r="B512" s="20"/>
      <c r="D512" s="17"/>
    </row>
    <row r="513" spans="2:4" x14ac:dyDescent="0.2">
      <c r="B513" s="20"/>
      <c r="D513" s="17"/>
    </row>
    <row r="514" spans="2:4" x14ac:dyDescent="0.2">
      <c r="B514" s="20"/>
      <c r="D514" s="17"/>
    </row>
    <row r="515" spans="2:4" x14ac:dyDescent="0.2">
      <c r="B515" s="20"/>
      <c r="D515" s="17"/>
    </row>
    <row r="516" spans="2:4" x14ac:dyDescent="0.2">
      <c r="B516" s="20"/>
      <c r="D516" s="17"/>
    </row>
    <row r="517" spans="2:4" x14ac:dyDescent="0.2">
      <c r="B517" s="20"/>
      <c r="D517" s="17"/>
    </row>
    <row r="518" spans="2:4" x14ac:dyDescent="0.2">
      <c r="B518" s="20"/>
      <c r="D518" s="17"/>
    </row>
    <row r="519" spans="2:4" x14ac:dyDescent="0.2">
      <c r="B519" s="20"/>
      <c r="D519" s="17"/>
    </row>
    <row r="520" spans="2:4" x14ac:dyDescent="0.2">
      <c r="B520" s="20"/>
      <c r="D520" s="17"/>
    </row>
    <row r="521" spans="2:4" x14ac:dyDescent="0.2">
      <c r="B521" s="20"/>
      <c r="D521" s="17"/>
    </row>
    <row r="522" spans="2:4" x14ac:dyDescent="0.2">
      <c r="B522" s="20"/>
      <c r="D522" s="17"/>
    </row>
    <row r="523" spans="2:4" x14ac:dyDescent="0.2">
      <c r="B523" s="20"/>
      <c r="D523" s="17"/>
    </row>
    <row r="524" spans="2:4" x14ac:dyDescent="0.2">
      <c r="B524" s="20"/>
      <c r="D524" s="17"/>
    </row>
    <row r="525" spans="2:4" x14ac:dyDescent="0.2">
      <c r="B525" s="20"/>
      <c r="D525" s="17"/>
    </row>
    <row r="526" spans="2:4" x14ac:dyDescent="0.2">
      <c r="B526" s="20"/>
      <c r="D526" s="17"/>
    </row>
    <row r="527" spans="2:4" x14ac:dyDescent="0.2">
      <c r="B527" s="20"/>
      <c r="D527" s="17"/>
    </row>
    <row r="528" spans="2:4" x14ac:dyDescent="0.2">
      <c r="B528" s="20"/>
      <c r="D528" s="17"/>
    </row>
    <row r="529" spans="2:7" x14ac:dyDescent="0.2">
      <c r="B529" s="20"/>
      <c r="D529" s="17"/>
    </row>
    <row r="530" spans="2:7" x14ac:dyDescent="0.2">
      <c r="B530" s="20"/>
      <c r="D530" s="17"/>
    </row>
    <row r="531" spans="2:7" x14ac:dyDescent="0.2">
      <c r="B531" s="20"/>
      <c r="D531" s="17"/>
    </row>
    <row r="532" spans="2:7" x14ac:dyDescent="0.2">
      <c r="B532" s="20"/>
      <c r="D532" s="17"/>
    </row>
    <row r="533" spans="2:7" x14ac:dyDescent="0.2">
      <c r="B533" s="20"/>
      <c r="D533" s="17"/>
    </row>
    <row r="534" spans="2:7" x14ac:dyDescent="0.2">
      <c r="B534" s="20"/>
      <c r="D534" s="17"/>
    </row>
    <row r="535" spans="2:7" x14ac:dyDescent="0.2">
      <c r="B535" s="20"/>
      <c r="D535" s="17"/>
    </row>
    <row r="536" spans="2:7" x14ac:dyDescent="0.2">
      <c r="B536" s="20"/>
      <c r="D536" s="17"/>
    </row>
    <row r="537" spans="2:7" x14ac:dyDescent="0.2">
      <c r="B537" s="20"/>
      <c r="D537" s="17"/>
    </row>
    <row r="538" spans="2:7" x14ac:dyDescent="0.2">
      <c r="B538" s="20"/>
      <c r="D538" s="17"/>
    </row>
    <row r="539" spans="2:7" x14ac:dyDescent="0.2">
      <c r="B539" s="20"/>
      <c r="D539" s="17"/>
    </row>
    <row r="540" spans="2:7" x14ac:dyDescent="0.2">
      <c r="B540" s="20"/>
      <c r="D540" s="17"/>
    </row>
    <row r="541" spans="2:7" x14ac:dyDescent="0.2">
      <c r="B541" s="20"/>
      <c r="D541" s="17"/>
      <c r="G541" s="26"/>
    </row>
    <row r="542" spans="2:7" x14ac:dyDescent="0.2">
      <c r="B542" s="20"/>
      <c r="D542" s="17"/>
      <c r="G542" s="26"/>
    </row>
    <row r="543" spans="2:7" x14ac:dyDescent="0.2">
      <c r="B543" s="20"/>
      <c r="D543" s="17"/>
      <c r="G543" s="26"/>
    </row>
    <row r="544" spans="2:7" x14ac:dyDescent="0.2">
      <c r="B544" s="20"/>
      <c r="D544" s="17"/>
      <c r="G544" s="26"/>
    </row>
    <row r="545" spans="2:7" x14ac:dyDescent="0.2">
      <c r="B545" s="20"/>
      <c r="D545" s="17"/>
    </row>
    <row r="546" spans="2:7" x14ac:dyDescent="0.2">
      <c r="B546" s="20"/>
      <c r="D546" s="17"/>
    </row>
    <row r="547" spans="2:7" x14ac:dyDescent="0.2">
      <c r="B547" s="20"/>
      <c r="D547" s="17"/>
    </row>
    <row r="548" spans="2:7" x14ac:dyDescent="0.2">
      <c r="B548" s="20"/>
      <c r="D548" s="17"/>
    </row>
    <row r="549" spans="2:7" x14ac:dyDescent="0.2">
      <c r="B549" s="20"/>
      <c r="D549" s="17"/>
    </row>
    <row r="550" spans="2:7" x14ac:dyDescent="0.2">
      <c r="B550" s="20"/>
      <c r="D550" s="17"/>
    </row>
    <row r="551" spans="2:7" x14ac:dyDescent="0.2">
      <c r="B551" s="20"/>
      <c r="D551" s="17"/>
    </row>
    <row r="552" spans="2:7" x14ac:dyDescent="0.2">
      <c r="B552" s="20"/>
      <c r="D552" s="17"/>
    </row>
    <row r="553" spans="2:7" x14ac:dyDescent="0.2">
      <c r="B553" s="20"/>
      <c r="D553" s="17"/>
    </row>
    <row r="554" spans="2:7" x14ac:dyDescent="0.2">
      <c r="B554" s="20"/>
      <c r="D554" s="17"/>
    </row>
    <row r="555" spans="2:7" x14ac:dyDescent="0.2">
      <c r="B555" s="20"/>
      <c r="D555" s="17"/>
    </row>
    <row r="556" spans="2:7" x14ac:dyDescent="0.2">
      <c r="B556" s="20"/>
      <c r="D556" s="17"/>
    </row>
    <row r="557" spans="2:7" x14ac:dyDescent="0.2">
      <c r="B557" s="20"/>
      <c r="D557" s="17"/>
    </row>
    <row r="558" spans="2:7" x14ac:dyDescent="0.2">
      <c r="B558" s="20"/>
      <c r="D558" s="17"/>
      <c r="G558" s="26"/>
    </row>
    <row r="559" spans="2:7" x14ac:dyDescent="0.2">
      <c r="B559" s="20"/>
      <c r="D559" s="17"/>
      <c r="G559" s="26"/>
    </row>
    <row r="560" spans="2:7" x14ac:dyDescent="0.2">
      <c r="B560" s="20"/>
      <c r="D560" s="17"/>
      <c r="G560" s="26"/>
    </row>
    <row r="561" spans="2:7" x14ac:dyDescent="0.2">
      <c r="B561" s="20"/>
      <c r="D561" s="17"/>
      <c r="G561" s="26"/>
    </row>
    <row r="562" spans="2:7" x14ac:dyDescent="0.2">
      <c r="B562" s="20"/>
      <c r="D562" s="17"/>
      <c r="G562" s="26"/>
    </row>
    <row r="563" spans="2:7" x14ac:dyDescent="0.2">
      <c r="B563" s="20"/>
      <c r="D563" s="17"/>
      <c r="G563" s="26"/>
    </row>
    <row r="564" spans="2:7" x14ac:dyDescent="0.2">
      <c r="B564" s="20"/>
      <c r="D564" s="17"/>
      <c r="G564" s="26"/>
    </row>
    <row r="565" spans="2:7" x14ac:dyDescent="0.2">
      <c r="B565" s="20"/>
      <c r="D565" s="17"/>
      <c r="G565" s="26"/>
    </row>
    <row r="566" spans="2:7" x14ac:dyDescent="0.2">
      <c r="B566" s="20"/>
      <c r="D566" s="17"/>
      <c r="G566" s="26"/>
    </row>
    <row r="567" spans="2:7" x14ac:dyDescent="0.2">
      <c r="B567" s="20"/>
      <c r="D567" s="17"/>
      <c r="G567" s="26"/>
    </row>
    <row r="568" spans="2:7" x14ac:dyDescent="0.2">
      <c r="B568" s="20"/>
      <c r="D568" s="17"/>
      <c r="G568" s="26"/>
    </row>
    <row r="569" spans="2:7" x14ac:dyDescent="0.2">
      <c r="B569" s="20"/>
      <c r="D569" s="17"/>
      <c r="G569" s="26"/>
    </row>
    <row r="570" spans="2:7" x14ac:dyDescent="0.2">
      <c r="B570" s="20"/>
      <c r="D570" s="17"/>
      <c r="G570" s="26"/>
    </row>
    <row r="571" spans="2:7" x14ac:dyDescent="0.2">
      <c r="B571" s="20"/>
      <c r="D571" s="17"/>
      <c r="G571" s="26"/>
    </row>
    <row r="572" spans="2:7" x14ac:dyDescent="0.2">
      <c r="B572" s="20"/>
      <c r="D572" s="17"/>
      <c r="G572" s="26"/>
    </row>
    <row r="573" spans="2:7" x14ac:dyDescent="0.2">
      <c r="B573" s="20"/>
      <c r="D573" s="17"/>
      <c r="G573" s="26"/>
    </row>
    <row r="574" spans="2:7" x14ac:dyDescent="0.2">
      <c r="B574" s="20"/>
      <c r="D574" s="17"/>
      <c r="G574" s="26"/>
    </row>
    <row r="575" spans="2:7" x14ac:dyDescent="0.2">
      <c r="B575" s="20"/>
      <c r="D575" s="17"/>
      <c r="G575" s="26"/>
    </row>
    <row r="576" spans="2:7" x14ac:dyDescent="0.2">
      <c r="B576" s="20"/>
      <c r="D576" s="17"/>
      <c r="G576" s="26"/>
    </row>
    <row r="577" spans="2:7" x14ac:dyDescent="0.2">
      <c r="B577" s="20"/>
      <c r="D577" s="17"/>
      <c r="G577" s="26"/>
    </row>
    <row r="578" spans="2:7" x14ac:dyDescent="0.2">
      <c r="B578" s="20"/>
      <c r="D578" s="17"/>
      <c r="G578" s="26"/>
    </row>
    <row r="579" spans="2:7" x14ac:dyDescent="0.2">
      <c r="B579" s="20"/>
      <c r="D579" s="17"/>
      <c r="G579" s="26"/>
    </row>
    <row r="580" spans="2:7" x14ac:dyDescent="0.2">
      <c r="B580" s="20"/>
      <c r="D580" s="17"/>
      <c r="G580" s="26"/>
    </row>
    <row r="581" spans="2:7" x14ac:dyDescent="0.2">
      <c r="B581" s="20"/>
      <c r="D581" s="17"/>
      <c r="G581" s="26"/>
    </row>
    <row r="582" spans="2:7" x14ac:dyDescent="0.2">
      <c r="B582" s="20"/>
      <c r="D582" s="17"/>
      <c r="G582" s="26"/>
    </row>
    <row r="583" spans="2:7" x14ac:dyDescent="0.2">
      <c r="B583" s="20"/>
      <c r="D583" s="17"/>
      <c r="G583" s="26"/>
    </row>
    <row r="584" spans="2:7" x14ac:dyDescent="0.2">
      <c r="B584" s="20"/>
      <c r="D584" s="17"/>
      <c r="G584" s="26"/>
    </row>
    <row r="585" spans="2:7" x14ac:dyDescent="0.2">
      <c r="B585" s="20"/>
      <c r="D585" s="17"/>
      <c r="G585" s="26"/>
    </row>
    <row r="586" spans="2:7" x14ac:dyDescent="0.2">
      <c r="B586" s="20"/>
      <c r="D586" s="17"/>
      <c r="G586" s="26"/>
    </row>
    <row r="587" spans="2:7" x14ac:dyDescent="0.2">
      <c r="B587" s="20"/>
      <c r="D587" s="17"/>
      <c r="G587" s="26"/>
    </row>
    <row r="588" spans="2:7" x14ac:dyDescent="0.2">
      <c r="B588" s="20"/>
      <c r="D588" s="17"/>
      <c r="G588" s="26"/>
    </row>
    <row r="589" spans="2:7" x14ac:dyDescent="0.2">
      <c r="B589" s="20"/>
      <c r="D589" s="17"/>
      <c r="G589" s="26"/>
    </row>
    <row r="590" spans="2:7" x14ac:dyDescent="0.2">
      <c r="B590" s="20"/>
      <c r="D590" s="17"/>
      <c r="G590" s="26"/>
    </row>
    <row r="591" spans="2:7" x14ac:dyDescent="0.2">
      <c r="B591" s="20"/>
      <c r="D591" s="17"/>
      <c r="G591" s="26"/>
    </row>
    <row r="592" spans="2:7" x14ac:dyDescent="0.2">
      <c r="B592" s="20"/>
      <c r="D592" s="17"/>
      <c r="G592" s="26"/>
    </row>
    <row r="593" spans="2:7" x14ac:dyDescent="0.2">
      <c r="B593" s="20"/>
      <c r="D593" s="17"/>
      <c r="G593" s="26"/>
    </row>
    <row r="594" spans="2:7" x14ac:dyDescent="0.2">
      <c r="B594" s="20"/>
      <c r="D594" s="17"/>
      <c r="G594" s="26"/>
    </row>
    <row r="595" spans="2:7" x14ac:dyDescent="0.2">
      <c r="B595" s="20"/>
      <c r="D595" s="17"/>
      <c r="G595" s="26"/>
    </row>
    <row r="596" spans="2:7" x14ac:dyDescent="0.2">
      <c r="B596" s="20"/>
      <c r="D596" s="17"/>
      <c r="G596" s="26"/>
    </row>
    <row r="597" spans="2:7" x14ac:dyDescent="0.2">
      <c r="B597" s="20"/>
      <c r="D597" s="17"/>
      <c r="G597" s="26"/>
    </row>
    <row r="598" spans="2:7" x14ac:dyDescent="0.2">
      <c r="B598" s="20"/>
      <c r="D598" s="17"/>
      <c r="G598" s="26"/>
    </row>
    <row r="599" spans="2:7" x14ac:dyDescent="0.2">
      <c r="B599" s="20"/>
      <c r="D599" s="17"/>
      <c r="G599" s="26"/>
    </row>
    <row r="600" spans="2:7" x14ac:dyDescent="0.2">
      <c r="B600" s="20"/>
      <c r="D600" s="17"/>
      <c r="G600" s="26"/>
    </row>
    <row r="601" spans="2:7" x14ac:dyDescent="0.2">
      <c r="B601" s="20"/>
      <c r="D601" s="17"/>
      <c r="G601" s="26"/>
    </row>
    <row r="602" spans="2:7" x14ac:dyDescent="0.2">
      <c r="B602" s="20"/>
      <c r="D602" s="17"/>
      <c r="G602" s="26"/>
    </row>
    <row r="603" spans="2:7" x14ac:dyDescent="0.2">
      <c r="B603" s="20"/>
      <c r="D603" s="17"/>
      <c r="G603" s="26"/>
    </row>
    <row r="604" spans="2:7" x14ac:dyDescent="0.2">
      <c r="B604" s="20"/>
      <c r="D604" s="17"/>
      <c r="G604" s="26"/>
    </row>
    <row r="605" spans="2:7" x14ac:dyDescent="0.2">
      <c r="B605" s="20"/>
      <c r="D605" s="17"/>
      <c r="G605" s="26"/>
    </row>
    <row r="606" spans="2:7" x14ac:dyDescent="0.2">
      <c r="B606" s="20"/>
      <c r="D606" s="17"/>
      <c r="G606" s="26"/>
    </row>
    <row r="607" spans="2:7" x14ac:dyDescent="0.2">
      <c r="B607" s="20"/>
      <c r="D607" s="17"/>
      <c r="G607" s="26"/>
    </row>
    <row r="608" spans="2:7" x14ac:dyDescent="0.2">
      <c r="B608" s="20"/>
      <c r="D608" s="17"/>
      <c r="G608" s="26"/>
    </row>
    <row r="609" spans="2:7" x14ac:dyDescent="0.2">
      <c r="B609" s="20"/>
      <c r="D609" s="17"/>
      <c r="G609" s="26"/>
    </row>
    <row r="610" spans="2:7" x14ac:dyDescent="0.2">
      <c r="B610" s="20"/>
      <c r="D610" s="17"/>
      <c r="G610" s="26"/>
    </row>
    <row r="611" spans="2:7" x14ac:dyDescent="0.2">
      <c r="B611" s="20"/>
      <c r="D611" s="17"/>
      <c r="G611" s="26"/>
    </row>
    <row r="612" spans="2:7" x14ac:dyDescent="0.2">
      <c r="B612" s="20"/>
      <c r="D612" s="17"/>
      <c r="G612" s="26"/>
    </row>
    <row r="613" spans="2:7" x14ac:dyDescent="0.2">
      <c r="B613" s="20"/>
      <c r="D613" s="17"/>
      <c r="G613" s="26"/>
    </row>
    <row r="614" spans="2:7" x14ac:dyDescent="0.2">
      <c r="B614" s="20"/>
      <c r="D614" s="17"/>
      <c r="G614" s="26"/>
    </row>
    <row r="615" spans="2:7" x14ac:dyDescent="0.2">
      <c r="B615" s="20"/>
      <c r="D615" s="17"/>
      <c r="G615" s="26"/>
    </row>
    <row r="616" spans="2:7" x14ac:dyDescent="0.2">
      <c r="B616" s="20"/>
      <c r="D616" s="17"/>
      <c r="G616" s="26"/>
    </row>
    <row r="617" spans="2:7" x14ac:dyDescent="0.2">
      <c r="B617" s="20"/>
      <c r="D617" s="17"/>
      <c r="G617" s="26"/>
    </row>
    <row r="618" spans="2:7" x14ac:dyDescent="0.2">
      <c r="B618" s="20"/>
      <c r="D618" s="17"/>
      <c r="G618" s="26"/>
    </row>
    <row r="619" spans="2:7" x14ac:dyDescent="0.2">
      <c r="B619" s="20"/>
      <c r="D619" s="17"/>
      <c r="G619" s="26"/>
    </row>
    <row r="620" spans="2:7" x14ac:dyDescent="0.2">
      <c r="B620" s="20"/>
      <c r="D620" s="17"/>
      <c r="G620" s="26"/>
    </row>
    <row r="621" spans="2:7" x14ac:dyDescent="0.2">
      <c r="B621" s="20"/>
      <c r="D621" s="17"/>
      <c r="G621" s="26"/>
    </row>
    <row r="622" spans="2:7" x14ac:dyDescent="0.2">
      <c r="B622" s="20"/>
      <c r="D622" s="17"/>
      <c r="G622" s="26"/>
    </row>
    <row r="623" spans="2:7" x14ac:dyDescent="0.2">
      <c r="B623" s="20"/>
      <c r="D623" s="17"/>
      <c r="G623" s="26"/>
    </row>
    <row r="624" spans="2:7" x14ac:dyDescent="0.2">
      <c r="B624" s="20"/>
      <c r="D624" s="17"/>
      <c r="G624" s="26"/>
    </row>
    <row r="625" spans="2:7" x14ac:dyDescent="0.2">
      <c r="B625" s="20"/>
      <c r="D625" s="17"/>
      <c r="G625" s="26"/>
    </row>
    <row r="626" spans="2:7" x14ac:dyDescent="0.2">
      <c r="B626" s="20"/>
      <c r="D626" s="17"/>
      <c r="G626" s="26"/>
    </row>
    <row r="627" spans="2:7" x14ac:dyDescent="0.2">
      <c r="B627" s="20"/>
      <c r="D627" s="17"/>
      <c r="G627" s="26"/>
    </row>
    <row r="628" spans="2:7" x14ac:dyDescent="0.2">
      <c r="B628" s="20"/>
      <c r="D628" s="17"/>
      <c r="G628" s="26"/>
    </row>
    <row r="629" spans="2:7" x14ac:dyDescent="0.2">
      <c r="B629" s="20"/>
      <c r="D629" s="17"/>
      <c r="G629" s="26"/>
    </row>
    <row r="630" spans="2:7" x14ac:dyDescent="0.2">
      <c r="B630" s="20"/>
      <c r="D630" s="17"/>
      <c r="G630" s="26"/>
    </row>
    <row r="631" spans="2:7" x14ac:dyDescent="0.2">
      <c r="B631" s="20"/>
      <c r="D631" s="17"/>
      <c r="G631" s="26"/>
    </row>
    <row r="632" spans="2:7" x14ac:dyDescent="0.2">
      <c r="B632" s="20"/>
      <c r="D632" s="17"/>
      <c r="G632" s="26"/>
    </row>
    <row r="633" spans="2:7" x14ac:dyDescent="0.2">
      <c r="B633" s="20"/>
      <c r="D633" s="17"/>
      <c r="G633" s="26"/>
    </row>
    <row r="634" spans="2:7" x14ac:dyDescent="0.2">
      <c r="B634" s="20"/>
      <c r="D634" s="17"/>
      <c r="G634" s="26"/>
    </row>
    <row r="635" spans="2:7" x14ac:dyDescent="0.2">
      <c r="B635" s="20"/>
      <c r="D635" s="17"/>
      <c r="G635" s="26"/>
    </row>
    <row r="636" spans="2:7" x14ac:dyDescent="0.2">
      <c r="B636" s="20"/>
      <c r="D636" s="17"/>
      <c r="G636" s="26"/>
    </row>
    <row r="637" spans="2:7" x14ac:dyDescent="0.2">
      <c r="B637" s="20"/>
      <c r="D637" s="17"/>
      <c r="G637" s="26"/>
    </row>
    <row r="638" spans="2:7" x14ac:dyDescent="0.2">
      <c r="B638" s="20"/>
      <c r="D638" s="17"/>
      <c r="G638" s="26"/>
    </row>
    <row r="639" spans="2:7" x14ac:dyDescent="0.2">
      <c r="B639" s="20"/>
      <c r="D639" s="17"/>
      <c r="G639" s="26"/>
    </row>
    <row r="640" spans="2:7" x14ac:dyDescent="0.2">
      <c r="B640" s="20"/>
      <c r="D640" s="17"/>
      <c r="G640" s="26"/>
    </row>
    <row r="641" spans="2:7" x14ac:dyDescent="0.2">
      <c r="B641" s="20"/>
      <c r="D641" s="17"/>
      <c r="G641" s="26"/>
    </row>
    <row r="642" spans="2:7" x14ac:dyDescent="0.2">
      <c r="B642" s="20"/>
      <c r="D642" s="17"/>
      <c r="G642" s="26"/>
    </row>
    <row r="643" spans="2:7" x14ac:dyDescent="0.2">
      <c r="B643" s="20"/>
      <c r="D643" s="17"/>
      <c r="G643" s="26"/>
    </row>
    <row r="644" spans="2:7" x14ac:dyDescent="0.2">
      <c r="B644" s="20"/>
      <c r="D644" s="17"/>
      <c r="G644" s="26"/>
    </row>
    <row r="645" spans="2:7" x14ac:dyDescent="0.2">
      <c r="B645" s="20"/>
      <c r="D645" s="17"/>
      <c r="G645" s="26"/>
    </row>
    <row r="646" spans="2:7" x14ac:dyDescent="0.2">
      <c r="B646" s="20"/>
      <c r="D646" s="17"/>
      <c r="G646" s="26"/>
    </row>
    <row r="647" spans="2:7" x14ac:dyDescent="0.2">
      <c r="B647" s="20"/>
      <c r="D647" s="17"/>
      <c r="G647" s="26"/>
    </row>
    <row r="648" spans="2:7" x14ac:dyDescent="0.2">
      <c r="B648" s="20"/>
      <c r="D648" s="17"/>
      <c r="G648" s="26"/>
    </row>
    <row r="649" spans="2:7" x14ac:dyDescent="0.2">
      <c r="B649" s="20"/>
      <c r="D649" s="17"/>
      <c r="G649" s="26"/>
    </row>
    <row r="650" spans="2:7" x14ac:dyDescent="0.2">
      <c r="B650" s="20"/>
      <c r="D650" s="17"/>
      <c r="G650" s="26"/>
    </row>
    <row r="651" spans="2:7" x14ac:dyDescent="0.2">
      <c r="B651" s="20"/>
      <c r="D651" s="17"/>
      <c r="G651" s="26"/>
    </row>
    <row r="652" spans="2:7" x14ac:dyDescent="0.2">
      <c r="B652" s="20"/>
      <c r="D652" s="17"/>
      <c r="G652" s="26"/>
    </row>
    <row r="653" spans="2:7" x14ac:dyDescent="0.2">
      <c r="B653" s="20"/>
      <c r="D653" s="17"/>
      <c r="G653" s="26"/>
    </row>
    <row r="654" spans="2:7" x14ac:dyDescent="0.2">
      <c r="B654" s="20"/>
      <c r="D654" s="17"/>
      <c r="G654" s="26"/>
    </row>
    <row r="655" spans="2:7" x14ac:dyDescent="0.2">
      <c r="B655" s="20"/>
      <c r="D655" s="17"/>
      <c r="G655" s="26"/>
    </row>
    <row r="656" spans="2:7" x14ac:dyDescent="0.2">
      <c r="B656" s="20"/>
      <c r="D656" s="17"/>
      <c r="G656" s="26"/>
    </row>
    <row r="657" spans="2:7" x14ac:dyDescent="0.2">
      <c r="B657" s="20"/>
      <c r="D657" s="17"/>
      <c r="G657" s="26"/>
    </row>
    <row r="658" spans="2:7" x14ac:dyDescent="0.2">
      <c r="B658" s="20"/>
      <c r="D658" s="17"/>
      <c r="G658" s="26"/>
    </row>
    <row r="659" spans="2:7" x14ac:dyDescent="0.2">
      <c r="B659" s="20"/>
      <c r="D659" s="17"/>
      <c r="G659" s="26"/>
    </row>
    <row r="660" spans="2:7" x14ac:dyDescent="0.2">
      <c r="B660" s="20"/>
      <c r="D660" s="17"/>
      <c r="G660" s="26"/>
    </row>
    <row r="661" spans="2:7" x14ac:dyDescent="0.2">
      <c r="B661" s="20"/>
      <c r="D661" s="17"/>
      <c r="G661" s="26"/>
    </row>
    <row r="662" spans="2:7" x14ac:dyDescent="0.2">
      <c r="B662" s="20"/>
      <c r="D662" s="17"/>
      <c r="G662" s="26"/>
    </row>
    <row r="663" spans="2:7" x14ac:dyDescent="0.2">
      <c r="B663" s="20"/>
      <c r="D663" s="17"/>
      <c r="G663" s="26"/>
    </row>
    <row r="664" spans="2:7" x14ac:dyDescent="0.2">
      <c r="B664" s="20"/>
      <c r="D664" s="17"/>
      <c r="G664" s="26"/>
    </row>
    <row r="665" spans="2:7" x14ac:dyDescent="0.2">
      <c r="B665" s="20"/>
      <c r="D665" s="17"/>
      <c r="G665" s="26"/>
    </row>
    <row r="666" spans="2:7" x14ac:dyDescent="0.2">
      <c r="B666" s="20"/>
      <c r="D666" s="17"/>
      <c r="G666" s="26"/>
    </row>
    <row r="667" spans="2:7" x14ac:dyDescent="0.2">
      <c r="B667" s="20"/>
      <c r="D667" s="17"/>
      <c r="G667" s="26"/>
    </row>
    <row r="668" spans="2:7" x14ac:dyDescent="0.2">
      <c r="B668" s="20"/>
      <c r="D668" s="17"/>
      <c r="G668" s="26"/>
    </row>
    <row r="669" spans="2:7" x14ac:dyDescent="0.2">
      <c r="B669" s="20"/>
      <c r="D669" s="17"/>
      <c r="G669" s="26"/>
    </row>
    <row r="670" spans="2:7" x14ac:dyDescent="0.2">
      <c r="B670" s="20"/>
      <c r="D670" s="17"/>
      <c r="G670" s="26"/>
    </row>
    <row r="671" spans="2:7" x14ac:dyDescent="0.2">
      <c r="B671" s="20"/>
      <c r="D671" s="17"/>
      <c r="G671" s="26"/>
    </row>
    <row r="672" spans="2:7" x14ac:dyDescent="0.2">
      <c r="B672" s="20"/>
      <c r="D672" s="17"/>
      <c r="G672" s="26"/>
    </row>
    <row r="673" spans="2:7" x14ac:dyDescent="0.2">
      <c r="B673" s="20"/>
      <c r="D673" s="17"/>
      <c r="G673" s="26"/>
    </row>
    <row r="674" spans="2:7" x14ac:dyDescent="0.2">
      <c r="B674" s="20"/>
      <c r="D674" s="17"/>
      <c r="G674" s="26"/>
    </row>
    <row r="675" spans="2:7" x14ac:dyDescent="0.2">
      <c r="B675" s="20"/>
      <c r="D675" s="17"/>
      <c r="G675" s="26"/>
    </row>
    <row r="676" spans="2:7" x14ac:dyDescent="0.2">
      <c r="B676" s="20"/>
      <c r="D676" s="17"/>
      <c r="G676" s="26"/>
    </row>
    <row r="677" spans="2:7" x14ac:dyDescent="0.2">
      <c r="B677" s="20"/>
      <c r="D677" s="17"/>
      <c r="G677" s="26"/>
    </row>
    <row r="678" spans="2:7" x14ac:dyDescent="0.2">
      <c r="B678" s="20"/>
      <c r="D678" s="17"/>
      <c r="G678" s="26"/>
    </row>
    <row r="679" spans="2:7" x14ac:dyDescent="0.2">
      <c r="B679" s="20"/>
      <c r="D679" s="17"/>
      <c r="G679" s="26"/>
    </row>
    <row r="680" spans="2:7" x14ac:dyDescent="0.2">
      <c r="B680" s="20"/>
      <c r="D680" s="17"/>
      <c r="G680" s="26"/>
    </row>
    <row r="681" spans="2:7" x14ac:dyDescent="0.2">
      <c r="B681" s="20"/>
      <c r="D681" s="17"/>
      <c r="G681" s="26"/>
    </row>
    <row r="682" spans="2:7" x14ac:dyDescent="0.2">
      <c r="B682" s="20"/>
      <c r="D682" s="17"/>
      <c r="G682" s="26"/>
    </row>
    <row r="683" spans="2:7" x14ac:dyDescent="0.2">
      <c r="B683" s="20"/>
      <c r="D683" s="17"/>
      <c r="G683" s="26"/>
    </row>
    <row r="684" spans="2:7" x14ac:dyDescent="0.2">
      <c r="B684" s="20"/>
      <c r="D684" s="17"/>
      <c r="G684" s="26"/>
    </row>
    <row r="685" spans="2:7" x14ac:dyDescent="0.2">
      <c r="B685" s="20"/>
      <c r="D685" s="17"/>
      <c r="G685" s="26"/>
    </row>
    <row r="686" spans="2:7" x14ac:dyDescent="0.2">
      <c r="B686" s="20"/>
      <c r="D686" s="17"/>
      <c r="G686" s="26"/>
    </row>
    <row r="687" spans="2:7" x14ac:dyDescent="0.2">
      <c r="B687" s="20"/>
      <c r="D687" s="17"/>
      <c r="G687" s="26"/>
    </row>
    <row r="688" spans="2:7" x14ac:dyDescent="0.2">
      <c r="B688" s="20"/>
      <c r="D688" s="17"/>
    </row>
    <row r="689" spans="2:4" x14ac:dyDescent="0.2">
      <c r="B689" s="20"/>
      <c r="D689" s="17"/>
    </row>
    <row r="690" spans="2:4" x14ac:dyDescent="0.2">
      <c r="B690" s="20"/>
      <c r="D690" s="17"/>
    </row>
    <row r="691" spans="2:4" x14ac:dyDescent="0.2">
      <c r="B691" s="20"/>
      <c r="D691" s="17"/>
    </row>
    <row r="692" spans="2:4" x14ac:dyDescent="0.2">
      <c r="B692" s="20"/>
      <c r="D692" s="17"/>
    </row>
    <row r="693" spans="2:4" x14ac:dyDescent="0.2">
      <c r="B693" s="20"/>
      <c r="D693" s="17"/>
    </row>
    <row r="694" spans="2:4" x14ac:dyDescent="0.2">
      <c r="B694" s="20"/>
      <c r="D694" s="17"/>
    </row>
    <row r="695" spans="2:4" x14ac:dyDescent="0.2">
      <c r="B695" s="20"/>
      <c r="D695" s="17"/>
    </row>
    <row r="696" spans="2:4" x14ac:dyDescent="0.2">
      <c r="B696" s="20"/>
      <c r="D696" s="17"/>
    </row>
    <row r="697" spans="2:4" x14ac:dyDescent="0.2">
      <c r="B697" s="20"/>
      <c r="D697" s="17"/>
    </row>
    <row r="698" spans="2:4" x14ac:dyDescent="0.2">
      <c r="B698" s="20"/>
      <c r="D698" s="17"/>
    </row>
    <row r="699" spans="2:4" x14ac:dyDescent="0.2">
      <c r="B699" s="20"/>
      <c r="D699" s="17"/>
    </row>
    <row r="700" spans="2:4" x14ac:dyDescent="0.2">
      <c r="B700" s="20"/>
      <c r="D700" s="17"/>
    </row>
    <row r="701" spans="2:4" x14ac:dyDescent="0.2">
      <c r="B701" s="20"/>
      <c r="D701" s="17"/>
    </row>
    <row r="702" spans="2:4" x14ac:dyDescent="0.2">
      <c r="B702" s="20"/>
      <c r="D702" s="17"/>
    </row>
    <row r="703" spans="2:4" x14ac:dyDescent="0.2">
      <c r="B703" s="20"/>
      <c r="D703" s="17"/>
    </row>
    <row r="704" spans="2:4" x14ac:dyDescent="0.2">
      <c r="B704" s="20"/>
      <c r="D704" s="17"/>
    </row>
    <row r="705" spans="2:4" x14ac:dyDescent="0.2">
      <c r="B705" s="20"/>
      <c r="D705" s="17"/>
    </row>
    <row r="706" spans="2:4" x14ac:dyDescent="0.2">
      <c r="B706" s="20"/>
      <c r="D706" s="17"/>
    </row>
    <row r="707" spans="2:4" x14ac:dyDescent="0.2">
      <c r="B707" s="20"/>
      <c r="D707" s="17"/>
    </row>
    <row r="708" spans="2:4" x14ac:dyDescent="0.2">
      <c r="B708" s="20"/>
      <c r="D708" s="17"/>
    </row>
    <row r="709" spans="2:4" x14ac:dyDescent="0.2">
      <c r="B709" s="20"/>
      <c r="D709" s="17"/>
    </row>
    <row r="710" spans="2:4" x14ac:dyDescent="0.2">
      <c r="B710" s="20"/>
      <c r="D710" s="17"/>
    </row>
    <row r="711" spans="2:4" x14ac:dyDescent="0.2">
      <c r="B711" s="20"/>
      <c r="D711" s="17"/>
    </row>
    <row r="712" spans="2:4" x14ac:dyDescent="0.2">
      <c r="B712" s="20"/>
      <c r="D712" s="17"/>
    </row>
    <row r="713" spans="2:4" x14ac:dyDescent="0.2">
      <c r="B713" s="20"/>
      <c r="D713" s="17"/>
    </row>
    <row r="714" spans="2:4" x14ac:dyDescent="0.2">
      <c r="B714" s="20"/>
      <c r="D714" s="17"/>
    </row>
    <row r="715" spans="2:4" x14ac:dyDescent="0.2">
      <c r="B715" s="20"/>
      <c r="D715" s="17"/>
    </row>
    <row r="716" spans="2:4" x14ac:dyDescent="0.2">
      <c r="B716" s="20"/>
      <c r="D716" s="17"/>
    </row>
    <row r="717" spans="2:4" x14ac:dyDescent="0.2">
      <c r="B717" s="20"/>
      <c r="D717" s="17"/>
    </row>
    <row r="718" spans="2:4" x14ac:dyDescent="0.2">
      <c r="B718" s="20"/>
      <c r="D718" s="17"/>
    </row>
    <row r="719" spans="2:4" x14ac:dyDescent="0.2">
      <c r="B719" s="20"/>
      <c r="D719" s="17"/>
    </row>
    <row r="720" spans="2:4" x14ac:dyDescent="0.2">
      <c r="B720" s="20"/>
      <c r="D720" s="17"/>
    </row>
    <row r="721" spans="2:4" x14ac:dyDescent="0.2">
      <c r="B721" s="20"/>
      <c r="D721" s="17"/>
    </row>
    <row r="722" spans="2:4" x14ac:dyDescent="0.2">
      <c r="B722" s="20"/>
      <c r="D722" s="17"/>
    </row>
    <row r="723" spans="2:4" x14ac:dyDescent="0.2">
      <c r="B723" s="20"/>
      <c r="D723" s="17"/>
    </row>
    <row r="724" spans="2:4" x14ac:dyDescent="0.2">
      <c r="B724" s="20"/>
      <c r="D724" s="17"/>
    </row>
    <row r="725" spans="2:4" x14ac:dyDescent="0.2">
      <c r="B725" s="20"/>
      <c r="D725" s="17"/>
    </row>
    <row r="726" spans="2:4" x14ac:dyDescent="0.2">
      <c r="B726" s="20"/>
      <c r="D726" s="17"/>
    </row>
    <row r="727" spans="2:4" x14ac:dyDescent="0.2">
      <c r="B727" s="20"/>
      <c r="D727" s="17"/>
    </row>
    <row r="728" spans="2:4" x14ac:dyDescent="0.2">
      <c r="B728" s="20"/>
      <c r="D728" s="17"/>
    </row>
    <row r="729" spans="2:4" x14ac:dyDescent="0.2">
      <c r="B729" s="20"/>
      <c r="D729" s="17"/>
    </row>
    <row r="730" spans="2:4" x14ac:dyDescent="0.2">
      <c r="B730" s="20"/>
      <c r="D730" s="17"/>
    </row>
    <row r="731" spans="2:4" x14ac:dyDescent="0.2">
      <c r="B731" s="20"/>
      <c r="D731" s="17"/>
    </row>
    <row r="732" spans="2:4" x14ac:dyDescent="0.2">
      <c r="B732" s="20"/>
      <c r="D732" s="17"/>
    </row>
    <row r="733" spans="2:4" x14ac:dyDescent="0.2">
      <c r="B733" s="20"/>
      <c r="D733" s="17"/>
    </row>
    <row r="734" spans="2:4" x14ac:dyDescent="0.2">
      <c r="B734" s="20"/>
      <c r="D734" s="17"/>
    </row>
    <row r="735" spans="2:4" x14ac:dyDescent="0.2">
      <c r="B735" s="20"/>
      <c r="D735" s="17"/>
    </row>
    <row r="736" spans="2:4" x14ac:dyDescent="0.2">
      <c r="B736" s="20"/>
      <c r="D736" s="17"/>
    </row>
    <row r="737" spans="2:4" x14ac:dyDescent="0.2">
      <c r="B737" s="20"/>
      <c r="D737" s="17"/>
    </row>
    <row r="738" spans="2:4" x14ac:dyDescent="0.2">
      <c r="B738" s="20"/>
      <c r="D738" s="17"/>
    </row>
    <row r="739" spans="2:4" x14ac:dyDescent="0.2">
      <c r="B739" s="20"/>
      <c r="D739" s="17"/>
    </row>
    <row r="740" spans="2:4" x14ac:dyDescent="0.2">
      <c r="B740" s="20"/>
      <c r="D740" s="17"/>
    </row>
    <row r="741" spans="2:4" x14ac:dyDescent="0.2">
      <c r="B741" s="20"/>
      <c r="D741" s="17"/>
    </row>
    <row r="742" spans="2:4" x14ac:dyDescent="0.2">
      <c r="B742" s="20"/>
      <c r="D742" s="17"/>
    </row>
    <row r="743" spans="2:4" x14ac:dyDescent="0.2">
      <c r="B743" s="20"/>
      <c r="D743" s="17"/>
    </row>
    <row r="744" spans="2:4" x14ac:dyDescent="0.2">
      <c r="B744" s="20"/>
      <c r="D744" s="17"/>
    </row>
    <row r="745" spans="2:4" x14ac:dyDescent="0.2">
      <c r="B745" s="20"/>
      <c r="D745" s="17"/>
    </row>
    <row r="746" spans="2:4" x14ac:dyDescent="0.2">
      <c r="B746" s="20"/>
      <c r="D746" s="17"/>
    </row>
    <row r="747" spans="2:4" x14ac:dyDescent="0.2">
      <c r="B747" s="20"/>
      <c r="D747" s="17"/>
    </row>
    <row r="748" spans="2:4" x14ac:dyDescent="0.2">
      <c r="B748" s="20"/>
      <c r="D748" s="17"/>
    </row>
    <row r="749" spans="2:4" x14ac:dyDescent="0.2">
      <c r="B749" s="20"/>
      <c r="D749" s="17"/>
    </row>
    <row r="750" spans="2:4" x14ac:dyDescent="0.2">
      <c r="B750" s="20"/>
      <c r="D750" s="17"/>
    </row>
    <row r="751" spans="2:4" x14ac:dyDescent="0.2">
      <c r="B751" s="20"/>
      <c r="D751" s="17"/>
    </row>
    <row r="752" spans="2:4" x14ac:dyDescent="0.2">
      <c r="B752" s="20"/>
      <c r="D752" s="17"/>
    </row>
    <row r="753" spans="2:7" x14ac:dyDescent="0.2">
      <c r="B753" s="20"/>
      <c r="D753" s="17"/>
    </row>
    <row r="754" spans="2:7" x14ac:dyDescent="0.2">
      <c r="B754" s="20"/>
      <c r="D754" s="17"/>
    </row>
    <row r="755" spans="2:7" x14ac:dyDescent="0.2">
      <c r="B755" s="20"/>
      <c r="D755" s="17"/>
    </row>
    <row r="756" spans="2:7" x14ac:dyDescent="0.2">
      <c r="B756" s="20"/>
      <c r="D756" s="17"/>
    </row>
    <row r="757" spans="2:7" x14ac:dyDescent="0.2">
      <c r="B757" s="20"/>
      <c r="D757" s="17"/>
    </row>
    <row r="758" spans="2:7" x14ac:dyDescent="0.2">
      <c r="B758" s="20"/>
      <c r="D758" s="17"/>
      <c r="G758" s="26"/>
    </row>
    <row r="759" spans="2:7" x14ac:dyDescent="0.2">
      <c r="B759" s="20"/>
      <c r="D759" s="17"/>
      <c r="G759" s="26"/>
    </row>
    <row r="760" spans="2:7" x14ac:dyDescent="0.2">
      <c r="B760" s="20"/>
      <c r="D760" s="17"/>
      <c r="G760" s="26"/>
    </row>
    <row r="761" spans="2:7" x14ac:dyDescent="0.2">
      <c r="B761" s="20"/>
      <c r="D761" s="17"/>
      <c r="G761" s="26"/>
    </row>
    <row r="762" spans="2:7" x14ac:dyDescent="0.2">
      <c r="B762" s="20"/>
      <c r="D762" s="17"/>
      <c r="G762" s="26"/>
    </row>
    <row r="763" spans="2:7" x14ac:dyDescent="0.2">
      <c r="B763" s="20"/>
      <c r="D763" s="17"/>
      <c r="G763" s="26"/>
    </row>
    <row r="764" spans="2:7" x14ac:dyDescent="0.2">
      <c r="B764" s="20"/>
      <c r="D764" s="17"/>
      <c r="G764" s="26"/>
    </row>
    <row r="765" spans="2:7" x14ac:dyDescent="0.2">
      <c r="B765" s="20"/>
      <c r="D765" s="17"/>
      <c r="G765" s="26"/>
    </row>
    <row r="766" spans="2:7" x14ac:dyDescent="0.2">
      <c r="B766" s="20"/>
      <c r="D766" s="17"/>
      <c r="G766" s="26"/>
    </row>
    <row r="767" spans="2:7" x14ac:dyDescent="0.2">
      <c r="B767" s="20"/>
      <c r="D767" s="17"/>
      <c r="G767" s="26"/>
    </row>
    <row r="768" spans="2:7" x14ac:dyDescent="0.2">
      <c r="B768" s="20"/>
      <c r="D768" s="17"/>
      <c r="G768" s="26"/>
    </row>
    <row r="769" spans="2:7" x14ac:dyDescent="0.2">
      <c r="B769" s="20"/>
      <c r="D769" s="17"/>
      <c r="G769" s="26"/>
    </row>
    <row r="770" spans="2:7" x14ac:dyDescent="0.2">
      <c r="B770" s="20"/>
      <c r="D770" s="17"/>
      <c r="G770" s="26"/>
    </row>
    <row r="771" spans="2:7" x14ac:dyDescent="0.2">
      <c r="B771" s="20"/>
      <c r="D771" s="17"/>
      <c r="G771" s="26"/>
    </row>
    <row r="772" spans="2:7" x14ac:dyDescent="0.2">
      <c r="B772" s="20"/>
      <c r="D772" s="17"/>
      <c r="G772" s="26"/>
    </row>
    <row r="773" spans="2:7" x14ac:dyDescent="0.2">
      <c r="B773" s="20"/>
      <c r="D773" s="17"/>
      <c r="G773" s="26"/>
    </row>
    <row r="774" spans="2:7" x14ac:dyDescent="0.2">
      <c r="B774" s="20"/>
      <c r="D774" s="17"/>
      <c r="G774" s="26"/>
    </row>
    <row r="775" spans="2:7" x14ac:dyDescent="0.2">
      <c r="B775" s="20"/>
      <c r="D775" s="17"/>
      <c r="G775" s="26"/>
    </row>
    <row r="776" spans="2:7" x14ac:dyDescent="0.2">
      <c r="B776" s="20"/>
      <c r="D776" s="17"/>
      <c r="G776" s="26"/>
    </row>
    <row r="777" spans="2:7" x14ac:dyDescent="0.2">
      <c r="B777" s="20"/>
      <c r="D777" s="17"/>
      <c r="G777" s="26"/>
    </row>
    <row r="778" spans="2:7" x14ac:dyDescent="0.2">
      <c r="B778" s="20"/>
      <c r="D778" s="17"/>
      <c r="G778" s="26"/>
    </row>
    <row r="779" spans="2:7" x14ac:dyDescent="0.2">
      <c r="B779" s="20"/>
      <c r="D779" s="17"/>
      <c r="G779" s="26"/>
    </row>
    <row r="780" spans="2:7" x14ac:dyDescent="0.2">
      <c r="B780" s="20"/>
      <c r="D780" s="17"/>
      <c r="G780" s="26"/>
    </row>
    <row r="781" spans="2:7" x14ac:dyDescent="0.2">
      <c r="B781" s="20"/>
      <c r="D781" s="17"/>
      <c r="G781" s="26"/>
    </row>
    <row r="782" spans="2:7" x14ac:dyDescent="0.2">
      <c r="B782" s="20"/>
      <c r="D782" s="17"/>
      <c r="G782" s="26"/>
    </row>
    <row r="783" spans="2:7" x14ac:dyDescent="0.2">
      <c r="B783" s="20"/>
      <c r="D783" s="17"/>
      <c r="G783" s="26"/>
    </row>
    <row r="784" spans="2:7" x14ac:dyDescent="0.2">
      <c r="B784" s="20"/>
      <c r="D784" s="17"/>
      <c r="G784" s="26"/>
    </row>
    <row r="785" spans="2:7" x14ac:dyDescent="0.2">
      <c r="B785" s="20"/>
      <c r="D785" s="17"/>
      <c r="G785" s="26"/>
    </row>
    <row r="786" spans="2:7" x14ac:dyDescent="0.2">
      <c r="B786" s="20"/>
      <c r="D786" s="17"/>
      <c r="G786" s="26"/>
    </row>
    <row r="787" spans="2:7" x14ac:dyDescent="0.2">
      <c r="B787" s="20"/>
      <c r="D787" s="17"/>
      <c r="G787" s="26"/>
    </row>
    <row r="788" spans="2:7" x14ac:dyDescent="0.2">
      <c r="B788" s="20"/>
      <c r="D788" s="17"/>
      <c r="G788" s="26"/>
    </row>
    <row r="789" spans="2:7" x14ac:dyDescent="0.2">
      <c r="B789" s="20"/>
      <c r="D789" s="17"/>
      <c r="G789" s="26"/>
    </row>
    <row r="790" spans="2:7" x14ac:dyDescent="0.2">
      <c r="B790" s="20"/>
      <c r="D790" s="17"/>
      <c r="G790" s="26"/>
    </row>
    <row r="791" spans="2:7" x14ac:dyDescent="0.2">
      <c r="B791" s="20"/>
      <c r="D791" s="17"/>
      <c r="G791" s="26"/>
    </row>
    <row r="792" spans="2:7" x14ac:dyDescent="0.2">
      <c r="B792" s="20"/>
      <c r="D792" s="17"/>
      <c r="G792" s="26"/>
    </row>
    <row r="793" spans="2:7" x14ac:dyDescent="0.2">
      <c r="B793" s="20"/>
      <c r="D793" s="17"/>
      <c r="G793" s="26"/>
    </row>
    <row r="794" spans="2:7" x14ac:dyDescent="0.2">
      <c r="B794" s="20"/>
      <c r="D794" s="17"/>
      <c r="G794" s="26"/>
    </row>
    <row r="795" spans="2:7" x14ac:dyDescent="0.2">
      <c r="B795" s="20"/>
      <c r="D795" s="17"/>
      <c r="G795" s="26"/>
    </row>
    <row r="796" spans="2:7" x14ac:dyDescent="0.2">
      <c r="B796" s="20"/>
      <c r="D796" s="17"/>
      <c r="G796" s="26"/>
    </row>
    <row r="797" spans="2:7" x14ac:dyDescent="0.2">
      <c r="B797" s="20"/>
      <c r="D797" s="17"/>
      <c r="G797" s="26"/>
    </row>
    <row r="798" spans="2:7" x14ac:dyDescent="0.2">
      <c r="B798" s="20"/>
      <c r="D798" s="17"/>
      <c r="G798" s="26"/>
    </row>
    <row r="799" spans="2:7" x14ac:dyDescent="0.2">
      <c r="B799" s="20"/>
      <c r="D799" s="17"/>
    </row>
    <row r="800" spans="2:7" x14ac:dyDescent="0.2">
      <c r="B800" s="20"/>
      <c r="D800" s="17"/>
    </row>
    <row r="801" spans="2:4" x14ac:dyDescent="0.2">
      <c r="B801" s="20"/>
      <c r="D801" s="17"/>
    </row>
    <row r="802" spans="2:4" x14ac:dyDescent="0.2">
      <c r="B802" s="20"/>
      <c r="D802" s="17"/>
    </row>
    <row r="803" spans="2:4" x14ac:dyDescent="0.2">
      <c r="B803" s="20"/>
      <c r="D803" s="17"/>
    </row>
    <row r="804" spans="2:4" x14ac:dyDescent="0.2">
      <c r="B804" s="20"/>
      <c r="D804" s="17"/>
    </row>
    <row r="805" spans="2:4" x14ac:dyDescent="0.2">
      <c r="B805" s="20"/>
      <c r="D805" s="17"/>
    </row>
    <row r="806" spans="2:4" x14ac:dyDescent="0.2">
      <c r="B806" s="20"/>
      <c r="D806" s="17"/>
    </row>
    <row r="807" spans="2:4" x14ac:dyDescent="0.2">
      <c r="B807" s="20"/>
      <c r="D807" s="17"/>
    </row>
    <row r="808" spans="2:4" x14ac:dyDescent="0.2">
      <c r="B808" s="20"/>
      <c r="D808" s="17"/>
    </row>
    <row r="809" spans="2:4" x14ac:dyDescent="0.2">
      <c r="B809" s="20"/>
      <c r="D809" s="17"/>
    </row>
    <row r="810" spans="2:4" x14ac:dyDescent="0.2">
      <c r="B810" s="20"/>
      <c r="D810" s="17"/>
    </row>
    <row r="811" spans="2:4" x14ac:dyDescent="0.2">
      <c r="B811" s="20"/>
      <c r="D811" s="17"/>
    </row>
    <row r="812" spans="2:4" x14ac:dyDescent="0.2">
      <c r="B812" s="20"/>
      <c r="D812" s="17"/>
    </row>
    <row r="813" spans="2:4" x14ac:dyDescent="0.2">
      <c r="B813" s="20"/>
      <c r="D813" s="17"/>
    </row>
    <row r="814" spans="2:4" x14ac:dyDescent="0.2">
      <c r="B814" s="20"/>
      <c r="D814" s="17"/>
    </row>
    <row r="815" spans="2:4" x14ac:dyDescent="0.2">
      <c r="B815" s="20"/>
      <c r="D815" s="17"/>
    </row>
    <row r="816" spans="2:4" x14ac:dyDescent="0.2">
      <c r="B816" s="20"/>
      <c r="D816" s="17"/>
    </row>
    <row r="817" spans="2:4" x14ac:dyDescent="0.2">
      <c r="B817" s="20"/>
      <c r="D817" s="17"/>
    </row>
    <row r="818" spans="2:4" x14ac:dyDescent="0.2">
      <c r="B818" s="20"/>
      <c r="D818" s="17"/>
    </row>
    <row r="819" spans="2:4" x14ac:dyDescent="0.2">
      <c r="B819" s="20"/>
      <c r="D819" s="17"/>
    </row>
    <row r="820" spans="2:4" x14ac:dyDescent="0.2">
      <c r="B820" s="20"/>
      <c r="D820" s="17"/>
    </row>
    <row r="821" spans="2:4" x14ac:dyDescent="0.2">
      <c r="B821" s="20"/>
      <c r="D821" s="17"/>
    </row>
    <row r="822" spans="2:4" x14ac:dyDescent="0.2">
      <c r="B822" s="20"/>
      <c r="D822" s="17"/>
    </row>
    <row r="823" spans="2:4" x14ac:dyDescent="0.2">
      <c r="B823" s="20"/>
      <c r="D823" s="17"/>
    </row>
    <row r="824" spans="2:4" x14ac:dyDescent="0.2">
      <c r="B824" s="20"/>
      <c r="D824" s="17"/>
    </row>
    <row r="825" spans="2:4" x14ac:dyDescent="0.2">
      <c r="B825" s="20"/>
      <c r="D825" s="17"/>
    </row>
    <row r="826" spans="2:4" x14ac:dyDescent="0.2">
      <c r="B826" s="20"/>
      <c r="D826" s="17"/>
    </row>
    <row r="827" spans="2:4" x14ac:dyDescent="0.2">
      <c r="B827" s="20"/>
      <c r="D827" s="17"/>
    </row>
    <row r="828" spans="2:4" x14ac:dyDescent="0.2">
      <c r="B828" s="20"/>
      <c r="D828" s="17"/>
    </row>
    <row r="829" spans="2:4" x14ac:dyDescent="0.2">
      <c r="B829" s="20"/>
      <c r="D829" s="17"/>
    </row>
    <row r="830" spans="2:4" x14ac:dyDescent="0.2">
      <c r="B830" s="20"/>
      <c r="D830" s="17"/>
    </row>
    <row r="831" spans="2:4" x14ac:dyDescent="0.2">
      <c r="B831" s="20"/>
      <c r="D831" s="17"/>
    </row>
    <row r="832" spans="2:4" x14ac:dyDescent="0.2">
      <c r="B832" s="20"/>
      <c r="D832" s="17"/>
    </row>
    <row r="833" spans="2:4" x14ac:dyDescent="0.2">
      <c r="B833" s="20"/>
      <c r="D833" s="17"/>
    </row>
    <row r="834" spans="2:4" x14ac:dyDescent="0.2">
      <c r="B834" s="20"/>
      <c r="D834" s="17"/>
    </row>
    <row r="835" spans="2:4" x14ac:dyDescent="0.2">
      <c r="B835" s="20"/>
      <c r="D835" s="17"/>
    </row>
    <row r="836" spans="2:4" x14ac:dyDescent="0.2">
      <c r="B836" s="20"/>
      <c r="D836" s="17"/>
    </row>
    <row r="837" spans="2:4" x14ac:dyDescent="0.2">
      <c r="B837" s="20"/>
      <c r="D837" s="17"/>
    </row>
    <row r="838" spans="2:4" x14ac:dyDescent="0.2">
      <c r="B838" s="20"/>
      <c r="D838" s="17"/>
    </row>
    <row r="839" spans="2:4" x14ac:dyDescent="0.2">
      <c r="B839" s="20"/>
      <c r="D839" s="17"/>
    </row>
    <row r="840" spans="2:4" x14ac:dyDescent="0.2">
      <c r="B840" s="20"/>
      <c r="D840" s="17"/>
    </row>
    <row r="841" spans="2:4" x14ac:dyDescent="0.2">
      <c r="B841" s="20"/>
      <c r="D841" s="17"/>
    </row>
    <row r="842" spans="2:4" x14ac:dyDescent="0.2">
      <c r="B842" s="20"/>
      <c r="D842" s="17"/>
    </row>
    <row r="843" spans="2:4" x14ac:dyDescent="0.2">
      <c r="B843" s="20"/>
      <c r="D843" s="17"/>
    </row>
    <row r="844" spans="2:4" x14ac:dyDescent="0.2">
      <c r="B844" s="20"/>
      <c r="D844" s="17"/>
    </row>
    <row r="845" spans="2:4" x14ac:dyDescent="0.2">
      <c r="B845" s="20"/>
      <c r="D845" s="17"/>
    </row>
    <row r="846" spans="2:4" x14ac:dyDescent="0.2">
      <c r="B846" s="20"/>
      <c r="D846" s="17"/>
    </row>
    <row r="847" spans="2:4" x14ac:dyDescent="0.2">
      <c r="B847" s="20"/>
      <c r="D847" s="17"/>
    </row>
    <row r="848" spans="2:4" x14ac:dyDescent="0.2">
      <c r="B848" s="20"/>
      <c r="D848" s="17"/>
    </row>
    <row r="849" spans="2:7" x14ac:dyDescent="0.2">
      <c r="B849" s="20"/>
      <c r="D849" s="17"/>
    </row>
    <row r="850" spans="2:7" x14ac:dyDescent="0.2">
      <c r="B850" s="20"/>
      <c r="D850" s="17"/>
    </row>
    <row r="851" spans="2:7" x14ac:dyDescent="0.2">
      <c r="B851" s="20"/>
      <c r="D851" s="17"/>
    </row>
    <row r="852" spans="2:7" x14ac:dyDescent="0.2">
      <c r="B852" s="20"/>
      <c r="D852" s="17"/>
    </row>
    <row r="853" spans="2:7" x14ac:dyDescent="0.2">
      <c r="B853" s="20"/>
      <c r="D853" s="17"/>
    </row>
    <row r="854" spans="2:7" x14ac:dyDescent="0.2">
      <c r="B854" s="20"/>
      <c r="D854" s="17"/>
    </row>
    <row r="855" spans="2:7" x14ac:dyDescent="0.2">
      <c r="B855" s="20"/>
      <c r="D855" s="17"/>
    </row>
    <row r="856" spans="2:7" x14ac:dyDescent="0.2">
      <c r="B856" s="20"/>
      <c r="D856" s="17"/>
    </row>
    <row r="857" spans="2:7" x14ac:dyDescent="0.2">
      <c r="B857" s="20"/>
      <c r="D857" s="17"/>
    </row>
    <row r="858" spans="2:7" x14ac:dyDescent="0.2">
      <c r="B858" s="20"/>
      <c r="D858" s="17"/>
      <c r="G858" s="26"/>
    </row>
    <row r="859" spans="2:7" x14ac:dyDescent="0.2">
      <c r="B859" s="20"/>
      <c r="D859" s="17"/>
      <c r="G859" s="26"/>
    </row>
    <row r="860" spans="2:7" x14ac:dyDescent="0.2">
      <c r="B860" s="20"/>
      <c r="D860" s="17"/>
      <c r="G860" s="26"/>
    </row>
    <row r="861" spans="2:7" x14ac:dyDescent="0.2">
      <c r="B861" s="20"/>
      <c r="D861" s="17"/>
      <c r="G861" s="26"/>
    </row>
    <row r="862" spans="2:7" x14ac:dyDescent="0.2">
      <c r="B862" s="20"/>
      <c r="D862" s="17"/>
      <c r="G862" s="26"/>
    </row>
    <row r="863" spans="2:7" x14ac:dyDescent="0.2">
      <c r="B863" s="20"/>
      <c r="D863" s="17"/>
      <c r="G863" s="26"/>
    </row>
    <row r="864" spans="2:7" x14ac:dyDescent="0.2">
      <c r="B864" s="20"/>
      <c r="D864" s="17"/>
    </row>
    <row r="865" spans="2:4" x14ac:dyDescent="0.2">
      <c r="B865" s="20"/>
      <c r="D865" s="17"/>
    </row>
    <row r="866" spans="2:4" x14ac:dyDescent="0.2">
      <c r="B866" s="20"/>
      <c r="D866" s="17"/>
    </row>
    <row r="867" spans="2:4" x14ac:dyDescent="0.2">
      <c r="B867" s="20"/>
      <c r="D867" s="17"/>
    </row>
    <row r="868" spans="2:4" x14ac:dyDescent="0.2">
      <c r="B868" s="20"/>
      <c r="D868" s="17"/>
    </row>
    <row r="869" spans="2:4" x14ac:dyDescent="0.2">
      <c r="B869" s="20"/>
      <c r="D869" s="17"/>
    </row>
    <row r="870" spans="2:4" x14ac:dyDescent="0.2">
      <c r="B870" s="20"/>
      <c r="D870" s="17"/>
    </row>
    <row r="871" spans="2:4" x14ac:dyDescent="0.2">
      <c r="B871" s="20"/>
      <c r="D871" s="17"/>
    </row>
    <row r="872" spans="2:4" x14ac:dyDescent="0.2">
      <c r="B872" s="20"/>
      <c r="D872" s="17"/>
    </row>
    <row r="873" spans="2:4" x14ac:dyDescent="0.2">
      <c r="B873" s="20"/>
      <c r="D873" s="17"/>
    </row>
    <row r="874" spans="2:4" x14ac:dyDescent="0.2">
      <c r="B874" s="20"/>
      <c r="D874" s="17"/>
    </row>
    <row r="875" spans="2:4" x14ac:dyDescent="0.2">
      <c r="B875" s="20"/>
      <c r="D875" s="17"/>
    </row>
    <row r="876" spans="2:4" x14ac:dyDescent="0.2">
      <c r="B876" s="20"/>
      <c r="D876" s="17"/>
    </row>
    <row r="877" spans="2:4" x14ac:dyDescent="0.2">
      <c r="B877" s="20"/>
      <c r="D877" s="17"/>
    </row>
    <row r="878" spans="2:4" x14ac:dyDescent="0.2">
      <c r="B878" s="20"/>
      <c r="D878" s="17"/>
    </row>
    <row r="879" spans="2:4" x14ac:dyDescent="0.2">
      <c r="B879" s="20"/>
      <c r="D879" s="17"/>
    </row>
    <row r="880" spans="2:4" x14ac:dyDescent="0.2">
      <c r="B880" s="20"/>
      <c r="D880" s="17"/>
    </row>
    <row r="881" spans="2:4" x14ac:dyDescent="0.2">
      <c r="B881" s="20"/>
      <c r="D881" s="17"/>
    </row>
    <row r="882" spans="2:4" x14ac:dyDescent="0.2">
      <c r="B882" s="20"/>
      <c r="D882" s="17"/>
    </row>
    <row r="883" spans="2:4" x14ac:dyDescent="0.2">
      <c r="B883" s="20"/>
      <c r="D883" s="17"/>
    </row>
    <row r="884" spans="2:4" x14ac:dyDescent="0.2">
      <c r="B884" s="20"/>
      <c r="D884" s="17"/>
    </row>
    <row r="885" spans="2:4" x14ac:dyDescent="0.2">
      <c r="B885" s="20"/>
    </row>
    <row r="886" spans="2:4" x14ac:dyDescent="0.2">
      <c r="B886" s="20"/>
    </row>
    <row r="887" spans="2:4" x14ac:dyDescent="0.2">
      <c r="B887" s="20"/>
    </row>
    <row r="888" spans="2:4" x14ac:dyDescent="0.2">
      <c r="B888" s="20"/>
    </row>
    <row r="889" spans="2:4" x14ac:dyDescent="0.2">
      <c r="B889" s="20"/>
    </row>
    <row r="890" spans="2:4" x14ac:dyDescent="0.2">
      <c r="B890" s="20"/>
    </row>
    <row r="891" spans="2:4" x14ac:dyDescent="0.2">
      <c r="B891" s="20"/>
    </row>
    <row r="892" spans="2:4" x14ac:dyDescent="0.2">
      <c r="B892" s="20"/>
    </row>
    <row r="893" spans="2:4" x14ac:dyDescent="0.2">
      <c r="B893" s="20"/>
    </row>
    <row r="894" spans="2:4" x14ac:dyDescent="0.2">
      <c r="B894" s="20"/>
    </row>
    <row r="895" spans="2:4" x14ac:dyDescent="0.2">
      <c r="B895" s="20"/>
    </row>
    <row r="896" spans="2:4" x14ac:dyDescent="0.2">
      <c r="B896" s="20"/>
    </row>
    <row r="897" spans="2:7" x14ac:dyDescent="0.2">
      <c r="B897" s="20"/>
    </row>
    <row r="898" spans="2:7" x14ac:dyDescent="0.2">
      <c r="B898" s="20"/>
    </row>
    <row r="899" spans="2:7" x14ac:dyDescent="0.2">
      <c r="B899" s="20"/>
    </row>
    <row r="900" spans="2:7" x14ac:dyDescent="0.2">
      <c r="B900" s="20"/>
    </row>
    <row r="901" spans="2:7" x14ac:dyDescent="0.2">
      <c r="B901" s="20"/>
    </row>
    <row r="902" spans="2:7" x14ac:dyDescent="0.2">
      <c r="B902" s="20"/>
    </row>
    <row r="903" spans="2:7" x14ac:dyDescent="0.2">
      <c r="B903" s="20"/>
    </row>
    <row r="904" spans="2:7" x14ac:dyDescent="0.2">
      <c r="B904" s="20"/>
    </row>
    <row r="905" spans="2:7" x14ac:dyDescent="0.2">
      <c r="B905" s="20"/>
    </row>
    <row r="906" spans="2:7" x14ac:dyDescent="0.2">
      <c r="B906" s="20"/>
    </row>
    <row r="907" spans="2:7" x14ac:dyDescent="0.2">
      <c r="B907" s="20"/>
    </row>
    <row r="908" spans="2:7" x14ac:dyDescent="0.2">
      <c r="B908" s="20"/>
    </row>
    <row r="909" spans="2:7" x14ac:dyDescent="0.2">
      <c r="B909" s="20"/>
      <c r="G909" s="27"/>
    </row>
    <row r="910" spans="2:7" x14ac:dyDescent="0.2">
      <c r="B910" s="20"/>
      <c r="G910" s="27"/>
    </row>
    <row r="911" spans="2:7" x14ac:dyDescent="0.2">
      <c r="B911" s="20"/>
      <c r="G911" s="27"/>
    </row>
    <row r="912" spans="2:7" x14ac:dyDescent="0.2">
      <c r="B912" s="20"/>
      <c r="G912" s="27"/>
    </row>
    <row r="913" spans="2:7" x14ac:dyDescent="0.2">
      <c r="B913" s="20"/>
      <c r="G913" s="27"/>
    </row>
    <row r="914" spans="2:7" x14ac:dyDescent="0.2">
      <c r="B914" s="20"/>
      <c r="G914" s="27"/>
    </row>
    <row r="915" spans="2:7" x14ac:dyDescent="0.2">
      <c r="B915" s="20"/>
      <c r="G915" s="27"/>
    </row>
    <row r="916" spans="2:7" x14ac:dyDescent="0.2">
      <c r="B916" s="20"/>
      <c r="G916" s="27"/>
    </row>
    <row r="917" spans="2:7" x14ac:dyDescent="0.2">
      <c r="B917" s="20"/>
      <c r="G917" s="27"/>
    </row>
    <row r="918" spans="2:7" x14ac:dyDescent="0.2">
      <c r="B918" s="20"/>
      <c r="G918" s="27"/>
    </row>
    <row r="919" spans="2:7" x14ac:dyDescent="0.2">
      <c r="B919" s="20"/>
      <c r="G919" s="27"/>
    </row>
    <row r="920" spans="2:7" x14ac:dyDescent="0.2">
      <c r="B920" s="20"/>
      <c r="G920" s="27"/>
    </row>
    <row r="921" spans="2:7" x14ac:dyDescent="0.2">
      <c r="B921" s="20"/>
      <c r="G921" s="27"/>
    </row>
    <row r="922" spans="2:7" x14ac:dyDescent="0.2">
      <c r="B922" s="20"/>
      <c r="G922" s="27"/>
    </row>
    <row r="923" spans="2:7" x14ac:dyDescent="0.2">
      <c r="B923" s="20"/>
      <c r="G923" s="27"/>
    </row>
    <row r="924" spans="2:7" x14ac:dyDescent="0.2">
      <c r="B924" s="20"/>
      <c r="G924" s="27"/>
    </row>
    <row r="925" spans="2:7" x14ac:dyDescent="0.2">
      <c r="B925" s="20"/>
      <c r="D925" s="17"/>
      <c r="G925" s="27"/>
    </row>
    <row r="926" spans="2:7" x14ac:dyDescent="0.2">
      <c r="B926" s="20"/>
      <c r="D926" s="17"/>
      <c r="G926" s="27"/>
    </row>
    <row r="927" spans="2:7" x14ac:dyDescent="0.2">
      <c r="B927" s="20"/>
      <c r="D927" s="17"/>
      <c r="G927" s="27"/>
    </row>
    <row r="928" spans="2:7" x14ac:dyDescent="0.2">
      <c r="B928" s="20"/>
      <c r="D928" s="17"/>
      <c r="G928" s="27"/>
    </row>
    <row r="929" spans="2:7" x14ac:dyDescent="0.2">
      <c r="B929" s="20"/>
      <c r="D929" s="17"/>
      <c r="G929" s="27"/>
    </row>
    <row r="930" spans="2:7" x14ac:dyDescent="0.2">
      <c r="B930" s="20"/>
      <c r="D930" s="17"/>
      <c r="G930" s="27"/>
    </row>
    <row r="931" spans="2:7" x14ac:dyDescent="0.2">
      <c r="B931" s="20"/>
      <c r="D931" s="17"/>
      <c r="G931" s="27"/>
    </row>
    <row r="932" spans="2:7" x14ac:dyDescent="0.2">
      <c r="B932" s="20"/>
      <c r="D932" s="17"/>
      <c r="G932" s="27"/>
    </row>
    <row r="933" spans="2:7" x14ac:dyDescent="0.2">
      <c r="B933" s="20"/>
      <c r="D933" s="17"/>
      <c r="G933" s="27"/>
    </row>
    <row r="934" spans="2:7" x14ac:dyDescent="0.2">
      <c r="B934" s="20"/>
      <c r="D934" s="17"/>
      <c r="G934" s="27"/>
    </row>
    <row r="935" spans="2:7" x14ac:dyDescent="0.2">
      <c r="B935" s="20"/>
      <c r="D935" s="17"/>
    </row>
    <row r="936" spans="2:7" x14ac:dyDescent="0.2">
      <c r="B936" s="20"/>
      <c r="D936" s="17"/>
    </row>
    <row r="937" spans="2:7" x14ac:dyDescent="0.2">
      <c r="B937" s="20"/>
      <c r="D937" s="17"/>
    </row>
    <row r="938" spans="2:7" x14ac:dyDescent="0.2">
      <c r="B938" s="20"/>
      <c r="D938" s="17"/>
    </row>
    <row r="939" spans="2:7" x14ac:dyDescent="0.2">
      <c r="B939" s="20"/>
      <c r="D939" s="17"/>
    </row>
    <row r="940" spans="2:7" x14ac:dyDescent="0.2">
      <c r="B940" s="20"/>
      <c r="D940" s="17"/>
    </row>
    <row r="941" spans="2:7" x14ac:dyDescent="0.2">
      <c r="B941" s="20"/>
      <c r="D941" s="17"/>
    </row>
    <row r="942" spans="2:7" x14ac:dyDescent="0.2">
      <c r="B942" s="20"/>
      <c r="D942" s="17"/>
    </row>
    <row r="943" spans="2:7" x14ac:dyDescent="0.2">
      <c r="B943" s="20"/>
      <c r="D943" s="17"/>
    </row>
    <row r="944" spans="2:7" x14ac:dyDescent="0.2">
      <c r="B944" s="20"/>
      <c r="D944" s="17"/>
    </row>
    <row r="945" spans="2:4" x14ac:dyDescent="0.2">
      <c r="B945" s="20"/>
      <c r="D945" s="17"/>
    </row>
    <row r="946" spans="2:4" x14ac:dyDescent="0.2">
      <c r="B946" s="20"/>
      <c r="D946" s="17"/>
    </row>
    <row r="947" spans="2:4" x14ac:dyDescent="0.2">
      <c r="B947" s="20"/>
      <c r="D947" s="17"/>
    </row>
    <row r="948" spans="2:4" x14ac:dyDescent="0.2">
      <c r="B948" s="20"/>
      <c r="D948" s="17"/>
    </row>
    <row r="949" spans="2:4" x14ac:dyDescent="0.2">
      <c r="B949" s="20"/>
      <c r="D949" s="17"/>
    </row>
    <row r="950" spans="2:4" x14ac:dyDescent="0.2">
      <c r="B950" s="20"/>
      <c r="D950" s="17"/>
    </row>
    <row r="951" spans="2:4" x14ac:dyDescent="0.2">
      <c r="B951" s="20"/>
      <c r="D951" s="17"/>
    </row>
    <row r="952" spans="2:4" x14ac:dyDescent="0.2">
      <c r="B952" s="20"/>
      <c r="D952" s="17"/>
    </row>
    <row r="953" spans="2:4" x14ac:dyDescent="0.2">
      <c r="B953" s="20"/>
      <c r="D953" s="17"/>
    </row>
    <row r="954" spans="2:4" x14ac:dyDescent="0.2">
      <c r="B954" s="20"/>
      <c r="D954" s="17"/>
    </row>
    <row r="955" spans="2:4" x14ac:dyDescent="0.2">
      <c r="B955" s="20"/>
      <c r="D955" s="17"/>
    </row>
    <row r="956" spans="2:4" x14ac:dyDescent="0.2">
      <c r="B956" s="20"/>
      <c r="D956" s="17"/>
    </row>
    <row r="957" spans="2:4" x14ac:dyDescent="0.2">
      <c r="B957" s="20"/>
      <c r="D957" s="17"/>
    </row>
    <row r="958" spans="2:4" x14ac:dyDescent="0.2">
      <c r="B958" s="20"/>
      <c r="D958" s="17"/>
    </row>
    <row r="959" spans="2:4" x14ac:dyDescent="0.2">
      <c r="B959" s="20"/>
      <c r="D959" s="17"/>
    </row>
    <row r="960" spans="2:4" x14ac:dyDescent="0.2">
      <c r="B960" s="20"/>
      <c r="D960" s="17"/>
    </row>
    <row r="961" spans="2:4" x14ac:dyDescent="0.2">
      <c r="B961" s="20"/>
      <c r="D961" s="17"/>
    </row>
    <row r="962" spans="2:4" x14ac:dyDescent="0.2">
      <c r="B962" s="20"/>
      <c r="D962" s="17"/>
    </row>
    <row r="963" spans="2:4" x14ac:dyDescent="0.2">
      <c r="B963" s="20"/>
      <c r="D963" s="17"/>
    </row>
    <row r="964" spans="2:4" x14ac:dyDescent="0.2">
      <c r="B964" s="20"/>
      <c r="D964" s="17"/>
    </row>
    <row r="965" spans="2:4" x14ac:dyDescent="0.2">
      <c r="B965" s="20"/>
      <c r="D965" s="17"/>
    </row>
    <row r="966" spans="2:4" x14ac:dyDescent="0.2">
      <c r="B966" s="20"/>
      <c r="D966" s="17"/>
    </row>
    <row r="967" spans="2:4" x14ac:dyDescent="0.2">
      <c r="B967" s="20"/>
      <c r="D967" s="17"/>
    </row>
    <row r="968" spans="2:4" x14ac:dyDescent="0.2">
      <c r="B968" s="20"/>
      <c r="D968" s="17"/>
    </row>
    <row r="969" spans="2:4" x14ac:dyDescent="0.2">
      <c r="B969" s="20"/>
      <c r="D969" s="17"/>
    </row>
    <row r="970" spans="2:4" x14ac:dyDescent="0.2">
      <c r="B970" s="20"/>
      <c r="D970" s="17"/>
    </row>
    <row r="971" spans="2:4" x14ac:dyDescent="0.2">
      <c r="B971" s="20"/>
      <c r="D971" s="17"/>
    </row>
    <row r="972" spans="2:4" x14ac:dyDescent="0.2">
      <c r="B972" s="20"/>
      <c r="D972" s="17"/>
    </row>
    <row r="973" spans="2:4" x14ac:dyDescent="0.2">
      <c r="B973" s="20"/>
      <c r="D973" s="17"/>
    </row>
    <row r="974" spans="2:4" x14ac:dyDescent="0.2">
      <c r="B974" s="20"/>
      <c r="D974" s="17"/>
    </row>
    <row r="975" spans="2:4" x14ac:dyDescent="0.2">
      <c r="B975" s="20"/>
      <c r="D975" s="17"/>
    </row>
    <row r="976" spans="2:4" x14ac:dyDescent="0.2">
      <c r="B976" s="20"/>
      <c r="D976" s="17"/>
    </row>
    <row r="977" spans="2:4" x14ac:dyDescent="0.2">
      <c r="B977" s="20"/>
      <c r="D977" s="17"/>
    </row>
    <row r="978" spans="2:4" x14ac:dyDescent="0.2">
      <c r="B978" s="20"/>
      <c r="D978" s="17"/>
    </row>
    <row r="979" spans="2:4" x14ac:dyDescent="0.2">
      <c r="B979" s="20"/>
      <c r="D979" s="17"/>
    </row>
    <row r="980" spans="2:4" x14ac:dyDescent="0.2">
      <c r="B980" s="20"/>
      <c r="D980" s="17"/>
    </row>
    <row r="981" spans="2:4" x14ac:dyDescent="0.2">
      <c r="B981" s="20"/>
      <c r="D981" s="17"/>
    </row>
    <row r="982" spans="2:4" x14ac:dyDescent="0.2">
      <c r="B982" s="20"/>
      <c r="D982" s="17"/>
    </row>
    <row r="983" spans="2:4" x14ac:dyDescent="0.2">
      <c r="B983" s="20"/>
      <c r="D983" s="17"/>
    </row>
    <row r="984" spans="2:4" x14ac:dyDescent="0.2">
      <c r="B984" s="20"/>
      <c r="D984" s="17"/>
    </row>
    <row r="985" spans="2:4" x14ac:dyDescent="0.2">
      <c r="B985" s="20"/>
      <c r="D985" s="17"/>
    </row>
    <row r="986" spans="2:4" x14ac:dyDescent="0.2">
      <c r="B986" s="20"/>
      <c r="D986" s="17"/>
    </row>
    <row r="987" spans="2:4" x14ac:dyDescent="0.2">
      <c r="B987" s="20"/>
      <c r="D987" s="17"/>
    </row>
    <row r="988" spans="2:4" x14ac:dyDescent="0.2">
      <c r="B988" s="20"/>
      <c r="D988" s="17"/>
    </row>
    <row r="989" spans="2:4" x14ac:dyDescent="0.2">
      <c r="B989" s="20"/>
      <c r="D989" s="17"/>
    </row>
    <row r="990" spans="2:4" x14ac:dyDescent="0.2">
      <c r="B990" s="20"/>
      <c r="D990" s="17"/>
    </row>
    <row r="991" spans="2:4" x14ac:dyDescent="0.2">
      <c r="B991" s="20"/>
      <c r="D991" s="17"/>
    </row>
    <row r="992" spans="2:4" x14ac:dyDescent="0.2">
      <c r="B992" s="20"/>
      <c r="D992" s="17"/>
    </row>
    <row r="993" spans="2:7" x14ac:dyDescent="0.2">
      <c r="B993" s="20"/>
      <c r="D993" s="17"/>
    </row>
    <row r="994" spans="2:7" x14ac:dyDescent="0.2">
      <c r="B994" s="20"/>
      <c r="D994" s="17"/>
    </row>
    <row r="995" spans="2:7" x14ac:dyDescent="0.2">
      <c r="B995" s="20"/>
      <c r="D995" s="17"/>
    </row>
    <row r="996" spans="2:7" x14ac:dyDescent="0.2">
      <c r="B996" s="20"/>
      <c r="D996" s="17"/>
    </row>
    <row r="997" spans="2:7" x14ac:dyDescent="0.2">
      <c r="B997" s="20"/>
      <c r="D997" s="17"/>
    </row>
    <row r="998" spans="2:7" x14ac:dyDescent="0.2">
      <c r="B998" s="20"/>
      <c r="D998" s="17"/>
    </row>
    <row r="999" spans="2:7" x14ac:dyDescent="0.2">
      <c r="B999" s="20"/>
      <c r="D999" s="17"/>
    </row>
    <row r="1000" spans="2:7" x14ac:dyDescent="0.2">
      <c r="B1000" s="20"/>
      <c r="D1000" s="17"/>
    </row>
    <row r="1001" spans="2:7" x14ac:dyDescent="0.2">
      <c r="B1001" s="20"/>
      <c r="D1001" s="17"/>
    </row>
    <row r="1002" spans="2:7" x14ac:dyDescent="0.2">
      <c r="B1002" s="20"/>
      <c r="D1002" s="17"/>
    </row>
    <row r="1003" spans="2:7" x14ac:dyDescent="0.2">
      <c r="B1003" s="20"/>
      <c r="D1003" s="17"/>
    </row>
    <row r="1004" spans="2:7" x14ac:dyDescent="0.2">
      <c r="B1004" s="20"/>
      <c r="D1004" s="17"/>
      <c r="G1004" s="27"/>
    </row>
    <row r="1005" spans="2:7" x14ac:dyDescent="0.2">
      <c r="B1005" s="20"/>
      <c r="D1005" s="17"/>
      <c r="G1005" s="27"/>
    </row>
    <row r="1006" spans="2:7" x14ac:dyDescent="0.2">
      <c r="B1006" s="20"/>
      <c r="D1006" s="17"/>
      <c r="G1006" s="27"/>
    </row>
    <row r="1007" spans="2:7" x14ac:dyDescent="0.2">
      <c r="B1007" s="20"/>
      <c r="D1007" s="17"/>
      <c r="G1007" s="27"/>
    </row>
    <row r="1008" spans="2:7" x14ac:dyDescent="0.2">
      <c r="B1008" s="20"/>
      <c r="D1008" s="17"/>
      <c r="G1008" s="27"/>
    </row>
    <row r="1009" spans="2:7" x14ac:dyDescent="0.2">
      <c r="B1009" s="20"/>
      <c r="D1009" s="17"/>
      <c r="G1009" s="27"/>
    </row>
    <row r="1010" spans="2:7" x14ac:dyDescent="0.2">
      <c r="B1010" s="20"/>
      <c r="D1010" s="17"/>
      <c r="G1010" s="27"/>
    </row>
    <row r="1011" spans="2:7" x14ac:dyDescent="0.2">
      <c r="B1011" s="20"/>
      <c r="D1011" s="17"/>
      <c r="G1011" s="27"/>
    </row>
    <row r="1012" spans="2:7" x14ac:dyDescent="0.2">
      <c r="B1012" s="20"/>
      <c r="D1012" s="17"/>
      <c r="G1012" s="27"/>
    </row>
    <row r="1013" spans="2:7" x14ac:dyDescent="0.2">
      <c r="B1013" s="20"/>
      <c r="D1013" s="17"/>
      <c r="G1013" s="27"/>
    </row>
    <row r="1014" spans="2:7" x14ac:dyDescent="0.2">
      <c r="B1014" s="20"/>
      <c r="D1014" s="17"/>
      <c r="G1014" s="27"/>
    </row>
    <row r="1015" spans="2:7" x14ac:dyDescent="0.2">
      <c r="B1015" s="20"/>
      <c r="D1015" s="17"/>
      <c r="G1015" s="27"/>
    </row>
    <row r="1016" spans="2:7" x14ac:dyDescent="0.2">
      <c r="B1016" s="20"/>
      <c r="D1016" s="17"/>
      <c r="G1016" s="27"/>
    </row>
    <row r="1017" spans="2:7" x14ac:dyDescent="0.2">
      <c r="B1017" s="20"/>
      <c r="D1017" s="17"/>
      <c r="G1017" s="27"/>
    </row>
    <row r="1018" spans="2:7" x14ac:dyDescent="0.2">
      <c r="B1018" s="20"/>
      <c r="D1018" s="17"/>
      <c r="G1018" s="27"/>
    </row>
    <row r="1019" spans="2:7" x14ac:dyDescent="0.2">
      <c r="B1019" s="20"/>
      <c r="D1019" s="17"/>
      <c r="G1019" s="27"/>
    </row>
    <row r="1020" spans="2:7" x14ac:dyDescent="0.2">
      <c r="B1020" s="20"/>
      <c r="D1020" s="17"/>
      <c r="G1020" s="27"/>
    </row>
    <row r="1021" spans="2:7" x14ac:dyDescent="0.2">
      <c r="B1021" s="20"/>
      <c r="D1021" s="17"/>
      <c r="G1021" s="27"/>
    </row>
    <row r="1022" spans="2:7" x14ac:dyDescent="0.2">
      <c r="B1022" s="20"/>
      <c r="D1022" s="17"/>
      <c r="G1022" s="27"/>
    </row>
    <row r="1023" spans="2:7" x14ac:dyDescent="0.2">
      <c r="B1023" s="20"/>
      <c r="D1023" s="17"/>
      <c r="G1023" s="27"/>
    </row>
    <row r="1024" spans="2:7" x14ac:dyDescent="0.2">
      <c r="B1024" s="20"/>
      <c r="D1024" s="17"/>
      <c r="G1024" s="27"/>
    </row>
    <row r="1025" spans="2:7" x14ac:dyDescent="0.2">
      <c r="B1025" s="20"/>
      <c r="D1025" s="17"/>
      <c r="G1025" s="27"/>
    </row>
    <row r="1026" spans="2:7" x14ac:dyDescent="0.2">
      <c r="B1026" s="20"/>
      <c r="D1026" s="17"/>
      <c r="G1026" s="27"/>
    </row>
    <row r="1027" spans="2:7" x14ac:dyDescent="0.2">
      <c r="B1027" s="20"/>
      <c r="D1027" s="17"/>
      <c r="G1027" s="27"/>
    </row>
    <row r="1028" spans="2:7" x14ac:dyDescent="0.2">
      <c r="B1028" s="20"/>
      <c r="D1028" s="17"/>
      <c r="G1028" s="27"/>
    </row>
    <row r="1029" spans="2:7" x14ac:dyDescent="0.2">
      <c r="B1029" s="20"/>
      <c r="D1029" s="17"/>
      <c r="G1029" s="27"/>
    </row>
    <row r="1030" spans="2:7" x14ac:dyDescent="0.2">
      <c r="B1030" s="20"/>
      <c r="D1030" s="17"/>
      <c r="G1030" s="27"/>
    </row>
    <row r="1031" spans="2:7" x14ac:dyDescent="0.2">
      <c r="B1031" s="20"/>
      <c r="D1031" s="17"/>
      <c r="G1031" s="27"/>
    </row>
    <row r="1032" spans="2:7" x14ac:dyDescent="0.2">
      <c r="B1032" s="20"/>
      <c r="D1032" s="17"/>
      <c r="G1032" s="27"/>
    </row>
    <row r="1033" spans="2:7" x14ac:dyDescent="0.2">
      <c r="B1033" s="20"/>
      <c r="D1033" s="17"/>
      <c r="G1033" s="27"/>
    </row>
    <row r="1034" spans="2:7" x14ac:dyDescent="0.2">
      <c r="B1034" s="20"/>
      <c r="D1034" s="17"/>
      <c r="G1034" s="27"/>
    </row>
    <row r="1035" spans="2:7" x14ac:dyDescent="0.2">
      <c r="B1035" s="20"/>
      <c r="D1035" s="17"/>
      <c r="G1035" s="27"/>
    </row>
    <row r="1036" spans="2:7" x14ac:dyDescent="0.2">
      <c r="B1036" s="20"/>
      <c r="D1036" s="17"/>
      <c r="G1036" s="27"/>
    </row>
    <row r="1037" spans="2:7" x14ac:dyDescent="0.2">
      <c r="B1037" s="20"/>
      <c r="D1037" s="17"/>
      <c r="G1037" s="27"/>
    </row>
    <row r="1038" spans="2:7" x14ac:dyDescent="0.2">
      <c r="B1038" s="20"/>
      <c r="D1038" s="17"/>
      <c r="G1038" s="27"/>
    </row>
    <row r="1039" spans="2:7" x14ac:dyDescent="0.2">
      <c r="B1039" s="20"/>
      <c r="D1039" s="17"/>
      <c r="G1039" s="27"/>
    </row>
    <row r="1040" spans="2:7" x14ac:dyDescent="0.2">
      <c r="B1040" s="20"/>
      <c r="D1040" s="17"/>
    </row>
    <row r="1041" spans="2:4" x14ac:dyDescent="0.2">
      <c r="B1041" s="20"/>
      <c r="D1041" s="17"/>
    </row>
    <row r="1042" spans="2:4" x14ac:dyDescent="0.2">
      <c r="B1042" s="20"/>
      <c r="D1042" s="17"/>
    </row>
    <row r="1043" spans="2:4" x14ac:dyDescent="0.2">
      <c r="B1043" s="20"/>
      <c r="D1043" s="17"/>
    </row>
    <row r="1044" spans="2:4" x14ac:dyDescent="0.2">
      <c r="B1044" s="20"/>
      <c r="D1044" s="17"/>
    </row>
    <row r="1045" spans="2:4" x14ac:dyDescent="0.2">
      <c r="B1045" s="20"/>
      <c r="D1045" s="17"/>
    </row>
    <row r="1046" spans="2:4" x14ac:dyDescent="0.2">
      <c r="B1046" s="20"/>
      <c r="D1046" s="17"/>
    </row>
    <row r="1047" spans="2:4" x14ac:dyDescent="0.2">
      <c r="B1047" s="20"/>
      <c r="D1047" s="17"/>
    </row>
    <row r="1048" spans="2:4" x14ac:dyDescent="0.2">
      <c r="B1048" s="20"/>
      <c r="D1048" s="17"/>
    </row>
    <row r="1049" spans="2:4" x14ac:dyDescent="0.2">
      <c r="B1049" s="20"/>
      <c r="D1049" s="17"/>
    </row>
    <row r="1050" spans="2:4" x14ac:dyDescent="0.2">
      <c r="B1050" s="20"/>
      <c r="D1050" s="17"/>
    </row>
    <row r="1051" spans="2:4" x14ac:dyDescent="0.2">
      <c r="B1051" s="20"/>
      <c r="D1051" s="17"/>
    </row>
    <row r="1052" spans="2:4" x14ac:dyDescent="0.2">
      <c r="B1052" s="20"/>
      <c r="D1052" s="17"/>
    </row>
    <row r="1053" spans="2:4" x14ac:dyDescent="0.2">
      <c r="B1053" s="20"/>
      <c r="D1053" s="17"/>
    </row>
    <row r="1054" spans="2:4" x14ac:dyDescent="0.2">
      <c r="B1054" s="20"/>
      <c r="D1054" s="17"/>
    </row>
    <row r="1055" spans="2:4" x14ac:dyDescent="0.2">
      <c r="B1055" s="20"/>
      <c r="D1055" s="17"/>
    </row>
    <row r="1056" spans="2:4" x14ac:dyDescent="0.2">
      <c r="B1056" s="20"/>
      <c r="D1056" s="17"/>
    </row>
    <row r="1057" spans="2:4" x14ac:dyDescent="0.2">
      <c r="B1057" s="20"/>
      <c r="D1057" s="17"/>
    </row>
    <row r="1058" spans="2:4" x14ac:dyDescent="0.2">
      <c r="B1058" s="20"/>
      <c r="D1058" s="17"/>
    </row>
    <row r="1059" spans="2:4" x14ac:dyDescent="0.2">
      <c r="B1059" s="20"/>
      <c r="D1059" s="17"/>
    </row>
    <row r="1060" spans="2:4" x14ac:dyDescent="0.2">
      <c r="B1060" s="20"/>
      <c r="D1060" s="17"/>
    </row>
    <row r="1061" spans="2:4" x14ac:dyDescent="0.2">
      <c r="B1061" s="20"/>
      <c r="D1061" s="17"/>
    </row>
    <row r="1062" spans="2:4" x14ac:dyDescent="0.2">
      <c r="B1062" s="20"/>
      <c r="D1062" s="17"/>
    </row>
    <row r="1063" spans="2:4" x14ac:dyDescent="0.2">
      <c r="B1063" s="20"/>
      <c r="D1063" s="17"/>
    </row>
    <row r="1064" spans="2:4" x14ac:dyDescent="0.2">
      <c r="B1064" s="20"/>
      <c r="D1064" s="17"/>
    </row>
    <row r="1065" spans="2:4" x14ac:dyDescent="0.2">
      <c r="B1065" s="20"/>
      <c r="D1065" s="17"/>
    </row>
    <row r="1066" spans="2:4" x14ac:dyDescent="0.2">
      <c r="B1066" s="20"/>
      <c r="D1066" s="17"/>
    </row>
    <row r="1067" spans="2:4" x14ac:dyDescent="0.2">
      <c r="B1067" s="20"/>
      <c r="D1067" s="17"/>
    </row>
    <row r="1068" spans="2:4" x14ac:dyDescent="0.2">
      <c r="B1068" s="20"/>
      <c r="D1068" s="17"/>
    </row>
    <row r="1069" spans="2:4" x14ac:dyDescent="0.2">
      <c r="B1069" s="20"/>
      <c r="D1069" s="17"/>
    </row>
    <row r="1070" spans="2:4" x14ac:dyDescent="0.2">
      <c r="B1070" s="20"/>
      <c r="D1070" s="17"/>
    </row>
    <row r="1071" spans="2:4" x14ac:dyDescent="0.2">
      <c r="B1071" s="20"/>
      <c r="D1071" s="17"/>
    </row>
    <row r="1072" spans="2:4" x14ac:dyDescent="0.2">
      <c r="B1072" s="20"/>
      <c r="D1072" s="17"/>
    </row>
    <row r="1073" spans="2:4" x14ac:dyDescent="0.2">
      <c r="B1073" s="20"/>
      <c r="D1073" s="17"/>
    </row>
    <row r="1074" spans="2:4" x14ac:dyDescent="0.2">
      <c r="B1074" s="20"/>
      <c r="D1074" s="17"/>
    </row>
    <row r="1075" spans="2:4" x14ac:dyDescent="0.2">
      <c r="B1075" s="20"/>
      <c r="D1075" s="17"/>
    </row>
    <row r="1076" spans="2:4" x14ac:dyDescent="0.2">
      <c r="B1076" s="20"/>
      <c r="D1076" s="17"/>
    </row>
    <row r="1077" spans="2:4" x14ac:dyDescent="0.2">
      <c r="B1077" s="20"/>
      <c r="D1077" s="17"/>
    </row>
    <row r="1078" spans="2:4" x14ac:dyDescent="0.2">
      <c r="B1078" s="20"/>
      <c r="D1078" s="17"/>
    </row>
    <row r="1079" spans="2:4" x14ac:dyDescent="0.2">
      <c r="B1079" s="20"/>
      <c r="D1079" s="17"/>
    </row>
    <row r="1080" spans="2:4" x14ac:dyDescent="0.2">
      <c r="B1080" s="20"/>
      <c r="D1080" s="17"/>
    </row>
    <row r="1081" spans="2:4" x14ac:dyDescent="0.2">
      <c r="B1081" s="20"/>
      <c r="D1081" s="17"/>
    </row>
    <row r="1082" spans="2:4" x14ac:dyDescent="0.2">
      <c r="B1082" s="20"/>
      <c r="D1082" s="17"/>
    </row>
    <row r="1083" spans="2:4" x14ac:dyDescent="0.2">
      <c r="B1083" s="20"/>
      <c r="D1083" s="17"/>
    </row>
    <row r="1084" spans="2:4" x14ac:dyDescent="0.2">
      <c r="B1084" s="20"/>
      <c r="D1084" s="17"/>
    </row>
    <row r="1085" spans="2:4" x14ac:dyDescent="0.2">
      <c r="B1085" s="20"/>
      <c r="D1085" s="17"/>
    </row>
    <row r="1086" spans="2:4" x14ac:dyDescent="0.2">
      <c r="B1086" s="20"/>
      <c r="D1086" s="17"/>
    </row>
    <row r="1087" spans="2:4" x14ac:dyDescent="0.2">
      <c r="B1087" s="20"/>
      <c r="D1087" s="17"/>
    </row>
    <row r="1088" spans="2:4" x14ac:dyDescent="0.2">
      <c r="B1088" s="20"/>
      <c r="D1088" s="17"/>
    </row>
    <row r="1089" spans="2:7" x14ac:dyDescent="0.2">
      <c r="B1089" s="20"/>
      <c r="D1089" s="17"/>
    </row>
    <row r="1090" spans="2:7" x14ac:dyDescent="0.2">
      <c r="B1090" s="20"/>
      <c r="D1090" s="17"/>
      <c r="G1090" s="27"/>
    </row>
    <row r="1091" spans="2:7" x14ac:dyDescent="0.2">
      <c r="B1091" s="20"/>
      <c r="D1091" s="17"/>
      <c r="G1091" s="27"/>
    </row>
    <row r="1092" spans="2:7" x14ac:dyDescent="0.2">
      <c r="B1092" s="20"/>
      <c r="D1092" s="17"/>
      <c r="G1092" s="27"/>
    </row>
    <row r="1093" spans="2:7" x14ac:dyDescent="0.2">
      <c r="B1093" s="20"/>
      <c r="D1093" s="17"/>
      <c r="G1093" s="27"/>
    </row>
    <row r="1094" spans="2:7" x14ac:dyDescent="0.2">
      <c r="B1094" s="20"/>
      <c r="D1094" s="17"/>
      <c r="G1094" s="27"/>
    </row>
    <row r="1095" spans="2:7" x14ac:dyDescent="0.2">
      <c r="B1095" s="20"/>
      <c r="D1095" s="17"/>
      <c r="G1095" s="27"/>
    </row>
    <row r="1096" spans="2:7" x14ac:dyDescent="0.2">
      <c r="B1096" s="20"/>
      <c r="D1096" s="17"/>
      <c r="G1096" s="27"/>
    </row>
    <row r="1097" spans="2:7" x14ac:dyDescent="0.2">
      <c r="B1097" s="20"/>
      <c r="D1097" s="17"/>
      <c r="G1097" s="27"/>
    </row>
    <row r="1098" spans="2:7" x14ac:dyDescent="0.2">
      <c r="B1098" s="20"/>
      <c r="D1098" s="17"/>
      <c r="G1098" s="27"/>
    </row>
    <row r="1099" spans="2:7" x14ac:dyDescent="0.2">
      <c r="B1099" s="20"/>
      <c r="D1099" s="17"/>
      <c r="G1099" s="27"/>
    </row>
    <row r="1100" spans="2:7" x14ac:dyDescent="0.2">
      <c r="B1100" s="20"/>
      <c r="D1100" s="17"/>
      <c r="G1100" s="27"/>
    </row>
    <row r="1101" spans="2:7" x14ac:dyDescent="0.2">
      <c r="B1101" s="20"/>
      <c r="D1101" s="17"/>
      <c r="G1101" s="27"/>
    </row>
    <row r="1102" spans="2:7" x14ac:dyDescent="0.2">
      <c r="B1102" s="20"/>
      <c r="D1102" s="17"/>
      <c r="G1102" s="27"/>
    </row>
    <row r="1103" spans="2:7" x14ac:dyDescent="0.2">
      <c r="B1103" s="20"/>
      <c r="D1103" s="17"/>
      <c r="G1103" s="27"/>
    </row>
    <row r="1104" spans="2:7" x14ac:dyDescent="0.2">
      <c r="B1104" s="20"/>
      <c r="D1104" s="17"/>
    </row>
    <row r="1105" spans="2:4" x14ac:dyDescent="0.2">
      <c r="B1105" s="20"/>
      <c r="D1105" s="17"/>
    </row>
    <row r="1106" spans="2:4" x14ac:dyDescent="0.2">
      <c r="B1106" s="20"/>
      <c r="D1106" s="17"/>
    </row>
    <row r="1107" spans="2:4" x14ac:dyDescent="0.2">
      <c r="B1107" s="20"/>
      <c r="D1107" s="17"/>
    </row>
    <row r="1108" spans="2:4" x14ac:dyDescent="0.2">
      <c r="B1108" s="20"/>
      <c r="D1108" s="17"/>
    </row>
    <row r="1109" spans="2:4" x14ac:dyDescent="0.2">
      <c r="B1109" s="20"/>
      <c r="D1109" s="17"/>
    </row>
    <row r="1110" spans="2:4" x14ac:dyDescent="0.2">
      <c r="B1110" s="20"/>
      <c r="D1110" s="17"/>
    </row>
    <row r="1111" spans="2:4" x14ac:dyDescent="0.2">
      <c r="B1111" s="20"/>
      <c r="D1111" s="17"/>
    </row>
    <row r="1112" spans="2:4" x14ac:dyDescent="0.2">
      <c r="B1112" s="20"/>
      <c r="D1112" s="17"/>
    </row>
    <row r="1113" spans="2:4" x14ac:dyDescent="0.2">
      <c r="B1113" s="20"/>
      <c r="D1113" s="17"/>
    </row>
    <row r="1114" spans="2:4" x14ac:dyDescent="0.2">
      <c r="B1114" s="20"/>
      <c r="D1114" s="17"/>
    </row>
    <row r="1115" spans="2:4" x14ac:dyDescent="0.2">
      <c r="B1115" s="20"/>
      <c r="D1115" s="17"/>
    </row>
    <row r="1116" spans="2:4" x14ac:dyDescent="0.2">
      <c r="B1116" s="20"/>
      <c r="D1116" s="17"/>
    </row>
    <row r="1117" spans="2:4" x14ac:dyDescent="0.2">
      <c r="B1117" s="20"/>
      <c r="D1117" s="17"/>
    </row>
    <row r="1118" spans="2:4" x14ac:dyDescent="0.2">
      <c r="B1118" s="20"/>
      <c r="D1118" s="17"/>
    </row>
    <row r="1119" spans="2:4" x14ac:dyDescent="0.2">
      <c r="B1119" s="20"/>
      <c r="D1119" s="17"/>
    </row>
    <row r="1120" spans="2:4" x14ac:dyDescent="0.2">
      <c r="B1120" s="20"/>
      <c r="D1120" s="17"/>
    </row>
    <row r="1121" spans="2:4" x14ac:dyDescent="0.2">
      <c r="B1121" s="20"/>
      <c r="D1121" s="17"/>
    </row>
    <row r="1122" spans="2:4" x14ac:dyDescent="0.2">
      <c r="B1122" s="20"/>
      <c r="D1122" s="17"/>
    </row>
    <row r="1123" spans="2:4" x14ac:dyDescent="0.2">
      <c r="B1123" s="20"/>
      <c r="D1123" s="17"/>
    </row>
    <row r="1124" spans="2:4" x14ac:dyDescent="0.2">
      <c r="B1124" s="20"/>
      <c r="D1124" s="17"/>
    </row>
    <row r="1125" spans="2:4" x14ac:dyDescent="0.2">
      <c r="B1125" s="20"/>
      <c r="D1125" s="17"/>
    </row>
    <row r="1126" spans="2:4" x14ac:dyDescent="0.2">
      <c r="B1126" s="20"/>
      <c r="D1126" s="17"/>
    </row>
    <row r="1127" spans="2:4" x14ac:dyDescent="0.2">
      <c r="B1127" s="20"/>
      <c r="D1127" s="17"/>
    </row>
    <row r="1128" spans="2:4" x14ac:dyDescent="0.2">
      <c r="B1128" s="20"/>
      <c r="D1128" s="17"/>
    </row>
    <row r="1129" spans="2:4" x14ac:dyDescent="0.2">
      <c r="B1129" s="20"/>
      <c r="D1129" s="17"/>
    </row>
    <row r="1130" spans="2:4" x14ac:dyDescent="0.2">
      <c r="B1130" s="20"/>
      <c r="D1130" s="17"/>
    </row>
    <row r="1131" spans="2:4" x14ac:dyDescent="0.2">
      <c r="B1131" s="20"/>
      <c r="D1131" s="17"/>
    </row>
    <row r="1132" spans="2:4" x14ac:dyDescent="0.2">
      <c r="B1132" s="20"/>
      <c r="D1132" s="17"/>
    </row>
    <row r="1133" spans="2:4" x14ac:dyDescent="0.2">
      <c r="B1133" s="20"/>
      <c r="D1133" s="17"/>
    </row>
    <row r="1134" spans="2:4" x14ac:dyDescent="0.2">
      <c r="B1134" s="20"/>
      <c r="D1134" s="17"/>
    </row>
    <row r="1135" spans="2:4" x14ac:dyDescent="0.2">
      <c r="B1135" s="20"/>
      <c r="D1135" s="17"/>
    </row>
    <row r="1136" spans="2:4" x14ac:dyDescent="0.2">
      <c r="B1136" s="20"/>
      <c r="D1136" s="17"/>
    </row>
    <row r="1137" spans="2:4" x14ac:dyDescent="0.2">
      <c r="B1137" s="20"/>
      <c r="D1137" s="17"/>
    </row>
    <row r="1138" spans="2:4" x14ac:dyDescent="0.2">
      <c r="B1138" s="20"/>
      <c r="D1138" s="17"/>
    </row>
    <row r="1139" spans="2:4" x14ac:dyDescent="0.2">
      <c r="B1139" s="20"/>
      <c r="D1139" s="17"/>
    </row>
    <row r="1140" spans="2:4" x14ac:dyDescent="0.2">
      <c r="B1140" s="20"/>
      <c r="D1140" s="17"/>
    </row>
    <row r="1141" spans="2:4" x14ac:dyDescent="0.2">
      <c r="B1141" s="20"/>
      <c r="D1141" s="17"/>
    </row>
    <row r="1142" spans="2:4" x14ac:dyDescent="0.2">
      <c r="B1142" s="20"/>
      <c r="D1142" s="17"/>
    </row>
    <row r="1143" spans="2:4" x14ac:dyDescent="0.2">
      <c r="B1143" s="20"/>
      <c r="D1143" s="17"/>
    </row>
    <row r="1144" spans="2:4" x14ac:dyDescent="0.2">
      <c r="B1144" s="20"/>
      <c r="D1144" s="17"/>
    </row>
    <row r="1145" spans="2:4" x14ac:dyDescent="0.2">
      <c r="B1145" s="20"/>
      <c r="D1145" s="17"/>
    </row>
    <row r="1146" spans="2:4" x14ac:dyDescent="0.2">
      <c r="B1146" s="20"/>
      <c r="D1146" s="17"/>
    </row>
    <row r="1147" spans="2:4" x14ac:dyDescent="0.2">
      <c r="B1147" s="20"/>
      <c r="D1147" s="17"/>
    </row>
    <row r="1148" spans="2:4" x14ac:dyDescent="0.2">
      <c r="B1148" s="20"/>
      <c r="D1148" s="17"/>
    </row>
    <row r="1149" spans="2:4" x14ac:dyDescent="0.2">
      <c r="B1149" s="20"/>
      <c r="D1149" s="17"/>
    </row>
    <row r="1150" spans="2:4" x14ac:dyDescent="0.2">
      <c r="B1150" s="20"/>
      <c r="D1150" s="17"/>
    </row>
    <row r="1151" spans="2:4" x14ac:dyDescent="0.2">
      <c r="B1151" s="20"/>
      <c r="D1151" s="17"/>
    </row>
    <row r="1152" spans="2:4" x14ac:dyDescent="0.2">
      <c r="B1152" s="20"/>
      <c r="D1152" s="17"/>
    </row>
    <row r="1153" spans="2:7" x14ac:dyDescent="0.2">
      <c r="B1153" s="20"/>
      <c r="D1153" s="17"/>
    </row>
    <row r="1154" spans="2:7" x14ac:dyDescent="0.2">
      <c r="B1154" s="20"/>
      <c r="D1154" s="17"/>
    </row>
    <row r="1155" spans="2:7" x14ac:dyDescent="0.2">
      <c r="B1155" s="20"/>
      <c r="D1155" s="17"/>
    </row>
    <row r="1156" spans="2:7" x14ac:dyDescent="0.2">
      <c r="B1156" s="20"/>
      <c r="D1156" s="17"/>
    </row>
    <row r="1157" spans="2:7" x14ac:dyDescent="0.2">
      <c r="B1157" s="20"/>
      <c r="D1157" s="17"/>
    </row>
    <row r="1158" spans="2:7" x14ac:dyDescent="0.2">
      <c r="B1158" s="20"/>
      <c r="D1158" s="17"/>
    </row>
    <row r="1159" spans="2:7" x14ac:dyDescent="0.2">
      <c r="B1159" s="20"/>
      <c r="D1159" s="17"/>
      <c r="G1159" s="26"/>
    </row>
    <row r="1160" spans="2:7" x14ac:dyDescent="0.2">
      <c r="B1160" s="20"/>
      <c r="D1160" s="17"/>
      <c r="G1160" s="26"/>
    </row>
    <row r="1161" spans="2:7" x14ac:dyDescent="0.2">
      <c r="B1161" s="20"/>
      <c r="D1161" s="17"/>
      <c r="G1161" s="26"/>
    </row>
    <row r="1162" spans="2:7" x14ac:dyDescent="0.2">
      <c r="B1162" s="20"/>
      <c r="D1162" s="17"/>
      <c r="G1162" s="26"/>
    </row>
    <row r="1163" spans="2:7" x14ac:dyDescent="0.2">
      <c r="B1163" s="20"/>
      <c r="D1163" s="17"/>
      <c r="G1163" s="26"/>
    </row>
    <row r="1164" spans="2:7" x14ac:dyDescent="0.2">
      <c r="B1164" s="20"/>
      <c r="D1164" s="17"/>
      <c r="G1164" s="26"/>
    </row>
    <row r="1165" spans="2:7" x14ac:dyDescent="0.2">
      <c r="B1165" s="20"/>
      <c r="D1165" s="17"/>
      <c r="G1165" s="26"/>
    </row>
    <row r="1166" spans="2:7" x14ac:dyDescent="0.2">
      <c r="B1166" s="20"/>
      <c r="D1166" s="17"/>
      <c r="G1166" s="26"/>
    </row>
    <row r="1167" spans="2:7" x14ac:dyDescent="0.2">
      <c r="B1167" s="20"/>
      <c r="D1167" s="17"/>
      <c r="G1167" s="26"/>
    </row>
    <row r="1168" spans="2:7" x14ac:dyDescent="0.2">
      <c r="B1168" s="20"/>
      <c r="D1168" s="17"/>
      <c r="G1168" s="26"/>
    </row>
    <row r="1169" spans="2:7" x14ac:dyDescent="0.2">
      <c r="B1169" s="20"/>
      <c r="D1169" s="17"/>
      <c r="G1169" s="26"/>
    </row>
    <row r="1170" spans="2:7" x14ac:dyDescent="0.2">
      <c r="B1170" s="20"/>
      <c r="D1170" s="17"/>
      <c r="G1170" s="26"/>
    </row>
    <row r="1171" spans="2:7" x14ac:dyDescent="0.2">
      <c r="B1171" s="20"/>
      <c r="D1171" s="17"/>
    </row>
    <row r="1172" spans="2:7" x14ac:dyDescent="0.2">
      <c r="B1172" s="20"/>
      <c r="D1172" s="17"/>
    </row>
    <row r="1173" spans="2:7" x14ac:dyDescent="0.2">
      <c r="B1173" s="20"/>
      <c r="D1173" s="17"/>
    </row>
    <row r="1174" spans="2:7" x14ac:dyDescent="0.2">
      <c r="B1174" s="20"/>
      <c r="D1174" s="17"/>
    </row>
    <row r="1175" spans="2:7" x14ac:dyDescent="0.2">
      <c r="B1175" s="20"/>
      <c r="D1175" s="17"/>
    </row>
    <row r="1176" spans="2:7" x14ac:dyDescent="0.2">
      <c r="B1176" s="20"/>
      <c r="D1176" s="17"/>
    </row>
    <row r="1177" spans="2:7" x14ac:dyDescent="0.2">
      <c r="B1177" s="20"/>
      <c r="D1177" s="17"/>
    </row>
    <row r="1178" spans="2:7" x14ac:dyDescent="0.2">
      <c r="B1178" s="20"/>
      <c r="D1178" s="17"/>
    </row>
    <row r="1179" spans="2:7" x14ac:dyDescent="0.2">
      <c r="B1179" s="20"/>
      <c r="D1179" s="17"/>
    </row>
    <row r="1180" spans="2:7" x14ac:dyDescent="0.2">
      <c r="B1180" s="20"/>
      <c r="D1180" s="17"/>
    </row>
    <row r="1181" spans="2:7" x14ac:dyDescent="0.2">
      <c r="B1181" s="20"/>
      <c r="D1181" s="17"/>
    </row>
    <row r="1182" spans="2:7" x14ac:dyDescent="0.2">
      <c r="B1182" s="20"/>
      <c r="D1182" s="17"/>
    </row>
    <row r="1183" spans="2:7" x14ac:dyDescent="0.2">
      <c r="B1183" s="20"/>
      <c r="D1183" s="17"/>
    </row>
    <row r="1184" spans="2:7" x14ac:dyDescent="0.2">
      <c r="B1184" s="20"/>
      <c r="D1184" s="17"/>
    </row>
    <row r="1185" spans="2:4" x14ac:dyDescent="0.2">
      <c r="B1185" s="20"/>
      <c r="D1185" s="17"/>
    </row>
    <row r="1186" spans="2:4" x14ac:dyDescent="0.2">
      <c r="B1186" s="20"/>
      <c r="D1186" s="17"/>
    </row>
    <row r="1187" spans="2:4" x14ac:dyDescent="0.2">
      <c r="B1187" s="20"/>
      <c r="D1187" s="17"/>
    </row>
    <row r="1188" spans="2:4" x14ac:dyDescent="0.2">
      <c r="B1188" s="20"/>
      <c r="D1188" s="17"/>
    </row>
    <row r="1189" spans="2:4" x14ac:dyDescent="0.2">
      <c r="B1189" s="20"/>
      <c r="D1189" s="17"/>
    </row>
    <row r="1190" spans="2:4" x14ac:dyDescent="0.2">
      <c r="B1190" s="20"/>
      <c r="D1190" s="17"/>
    </row>
    <row r="1191" spans="2:4" x14ac:dyDescent="0.2">
      <c r="B1191" s="20"/>
      <c r="D1191" s="17"/>
    </row>
    <row r="1192" spans="2:4" x14ac:dyDescent="0.2">
      <c r="B1192" s="20"/>
      <c r="D1192" s="17"/>
    </row>
    <row r="1193" spans="2:4" x14ac:dyDescent="0.2">
      <c r="B1193" s="20"/>
      <c r="D1193" s="17"/>
    </row>
    <row r="1194" spans="2:4" x14ac:dyDescent="0.2">
      <c r="B1194" s="20"/>
      <c r="D1194" s="17"/>
    </row>
    <row r="1195" spans="2:4" x14ac:dyDescent="0.2">
      <c r="B1195" s="20"/>
      <c r="D1195" s="17"/>
    </row>
    <row r="1196" spans="2:4" x14ac:dyDescent="0.2">
      <c r="B1196" s="20"/>
      <c r="D1196" s="17"/>
    </row>
    <row r="1197" spans="2:4" x14ac:dyDescent="0.2">
      <c r="B1197" s="20"/>
      <c r="D1197" s="17"/>
    </row>
    <row r="1198" spans="2:4" x14ac:dyDescent="0.2">
      <c r="B1198" s="20"/>
      <c r="D1198" s="17"/>
    </row>
    <row r="1199" spans="2:4" x14ac:dyDescent="0.2">
      <c r="B1199" s="20"/>
      <c r="D1199" s="17"/>
    </row>
    <row r="1200" spans="2:4" x14ac:dyDescent="0.2">
      <c r="B1200" s="20"/>
      <c r="D1200" s="17"/>
    </row>
    <row r="1201" spans="2:4" x14ac:dyDescent="0.2">
      <c r="B1201" s="20"/>
      <c r="D1201" s="17"/>
    </row>
    <row r="1202" spans="2:4" x14ac:dyDescent="0.2">
      <c r="B1202" s="20"/>
      <c r="D1202" s="17"/>
    </row>
    <row r="1203" spans="2:4" x14ac:dyDescent="0.2">
      <c r="B1203" s="20"/>
      <c r="D1203" s="17"/>
    </row>
    <row r="1204" spans="2:4" x14ac:dyDescent="0.2">
      <c r="B1204" s="20"/>
      <c r="D1204" s="17"/>
    </row>
    <row r="1205" spans="2:4" x14ac:dyDescent="0.2">
      <c r="B1205" s="20"/>
      <c r="D1205" s="17"/>
    </row>
    <row r="1206" spans="2:4" x14ac:dyDescent="0.2">
      <c r="B1206" s="20"/>
      <c r="D1206" s="17"/>
    </row>
    <row r="1207" spans="2:4" x14ac:dyDescent="0.2">
      <c r="B1207" s="20"/>
      <c r="D1207" s="17"/>
    </row>
    <row r="1208" spans="2:4" x14ac:dyDescent="0.2">
      <c r="B1208" s="20"/>
      <c r="D1208" s="17"/>
    </row>
    <row r="1209" spans="2:4" x14ac:dyDescent="0.2">
      <c r="B1209" s="20"/>
      <c r="D1209" s="17"/>
    </row>
    <row r="1210" spans="2:4" x14ac:dyDescent="0.2">
      <c r="B1210" s="20"/>
      <c r="D1210" s="17"/>
    </row>
    <row r="1211" spans="2:4" x14ac:dyDescent="0.2">
      <c r="B1211" s="20"/>
      <c r="D1211" s="17"/>
    </row>
    <row r="1212" spans="2:4" x14ac:dyDescent="0.2">
      <c r="B1212" s="20"/>
      <c r="D1212" s="17"/>
    </row>
    <row r="1213" spans="2:4" x14ac:dyDescent="0.2">
      <c r="B1213" s="20"/>
      <c r="D1213" s="17"/>
    </row>
    <row r="1214" spans="2:4" x14ac:dyDescent="0.2">
      <c r="B1214" s="20"/>
      <c r="D1214" s="17"/>
    </row>
    <row r="1215" spans="2:4" x14ac:dyDescent="0.2">
      <c r="B1215" s="20"/>
      <c r="D1215" s="17"/>
    </row>
    <row r="1216" spans="2:4" x14ac:dyDescent="0.2">
      <c r="B1216" s="20"/>
      <c r="D1216" s="17"/>
    </row>
    <row r="1217" spans="2:4" x14ac:dyDescent="0.2">
      <c r="B1217" s="20"/>
      <c r="D1217" s="17"/>
    </row>
    <row r="1218" spans="2:4" x14ac:dyDescent="0.2">
      <c r="B1218" s="20"/>
      <c r="D1218" s="17"/>
    </row>
    <row r="1219" spans="2:4" x14ac:dyDescent="0.2">
      <c r="B1219" s="20"/>
      <c r="D1219" s="17"/>
    </row>
    <row r="1220" spans="2:4" x14ac:dyDescent="0.2">
      <c r="B1220" s="20"/>
      <c r="D1220" s="17"/>
    </row>
    <row r="1221" spans="2:4" x14ac:dyDescent="0.2">
      <c r="B1221" s="20"/>
      <c r="D1221" s="17"/>
    </row>
    <row r="1222" spans="2:4" x14ac:dyDescent="0.2">
      <c r="B1222" s="20"/>
      <c r="D1222" s="17"/>
    </row>
    <row r="1223" spans="2:4" x14ac:dyDescent="0.2">
      <c r="B1223" s="20"/>
      <c r="D1223" s="17"/>
    </row>
    <row r="1224" spans="2:4" x14ac:dyDescent="0.2">
      <c r="B1224" s="20"/>
      <c r="D1224" s="17"/>
    </row>
    <row r="1225" spans="2:4" x14ac:dyDescent="0.2">
      <c r="B1225" s="20"/>
      <c r="D1225" s="17"/>
    </row>
    <row r="1226" spans="2:4" x14ac:dyDescent="0.2">
      <c r="B1226" s="20"/>
      <c r="D1226" s="17"/>
    </row>
    <row r="1227" spans="2:4" x14ac:dyDescent="0.2">
      <c r="B1227" s="20"/>
      <c r="D1227" s="17"/>
    </row>
    <row r="1228" spans="2:4" x14ac:dyDescent="0.2">
      <c r="B1228" s="20"/>
      <c r="D1228" s="17"/>
    </row>
    <row r="1229" spans="2:4" x14ac:dyDescent="0.2">
      <c r="B1229" s="20"/>
      <c r="D1229" s="17"/>
    </row>
    <row r="1230" spans="2:4" x14ac:dyDescent="0.2">
      <c r="B1230" s="20"/>
      <c r="D1230" s="17"/>
    </row>
    <row r="1231" spans="2:4" x14ac:dyDescent="0.2">
      <c r="B1231" s="20"/>
      <c r="D1231" s="17"/>
    </row>
    <row r="1232" spans="2:4" x14ac:dyDescent="0.2">
      <c r="B1232" s="20"/>
      <c r="D1232" s="17"/>
    </row>
    <row r="1233" spans="2:4" x14ac:dyDescent="0.2">
      <c r="B1233" s="20"/>
      <c r="D1233" s="17"/>
    </row>
    <row r="1234" spans="2:4" x14ac:dyDescent="0.2">
      <c r="B1234" s="20"/>
      <c r="D1234" s="17"/>
    </row>
    <row r="1235" spans="2:4" x14ac:dyDescent="0.2">
      <c r="B1235" s="20"/>
      <c r="D1235" s="17"/>
    </row>
    <row r="1236" spans="2:4" x14ac:dyDescent="0.2">
      <c r="B1236" s="20"/>
      <c r="D1236" s="17"/>
    </row>
    <row r="1237" spans="2:4" x14ac:dyDescent="0.2">
      <c r="B1237" s="20"/>
      <c r="D1237" s="17"/>
    </row>
    <row r="1238" spans="2:4" x14ac:dyDescent="0.2">
      <c r="B1238" s="20"/>
      <c r="D1238" s="17"/>
    </row>
    <row r="1239" spans="2:4" x14ac:dyDescent="0.2">
      <c r="B1239" s="20"/>
      <c r="D1239" s="17"/>
    </row>
    <row r="1240" spans="2:4" x14ac:dyDescent="0.2">
      <c r="B1240" s="20"/>
      <c r="D1240" s="17"/>
    </row>
    <row r="1241" spans="2:4" x14ac:dyDescent="0.2">
      <c r="B1241" s="20"/>
      <c r="D1241" s="17"/>
    </row>
    <row r="1242" spans="2:4" x14ac:dyDescent="0.2">
      <c r="B1242" s="20"/>
      <c r="D1242" s="17"/>
    </row>
    <row r="1243" spans="2:4" x14ac:dyDescent="0.2">
      <c r="B1243" s="20"/>
      <c r="D1243" s="17"/>
    </row>
    <row r="1244" spans="2:4" x14ac:dyDescent="0.2">
      <c r="B1244" s="20"/>
      <c r="D1244" s="17"/>
    </row>
    <row r="1245" spans="2:4" x14ac:dyDescent="0.2">
      <c r="B1245" s="20"/>
      <c r="D1245" s="17"/>
    </row>
    <row r="1246" spans="2:4" x14ac:dyDescent="0.2">
      <c r="B1246" s="20"/>
      <c r="D1246" s="17"/>
    </row>
    <row r="1247" spans="2:4" x14ac:dyDescent="0.2">
      <c r="B1247" s="20"/>
      <c r="D1247" s="17"/>
    </row>
    <row r="1248" spans="2:4" x14ac:dyDescent="0.2">
      <c r="B1248" s="20"/>
      <c r="D1248" s="17"/>
    </row>
    <row r="1249" spans="2:4" x14ac:dyDescent="0.2">
      <c r="B1249" s="20"/>
      <c r="D1249" s="17"/>
    </row>
    <row r="1250" spans="2:4" x14ac:dyDescent="0.2">
      <c r="B1250" s="20"/>
      <c r="D1250" s="17"/>
    </row>
    <row r="1251" spans="2:4" x14ac:dyDescent="0.2">
      <c r="B1251" s="20"/>
      <c r="D1251" s="17"/>
    </row>
    <row r="1252" spans="2:4" x14ac:dyDescent="0.2">
      <c r="B1252" s="20"/>
      <c r="D1252" s="17"/>
    </row>
    <row r="1253" spans="2:4" x14ac:dyDescent="0.2">
      <c r="B1253" s="20"/>
      <c r="D1253" s="17"/>
    </row>
    <row r="1254" spans="2:4" x14ac:dyDescent="0.2">
      <c r="B1254" s="20"/>
      <c r="D1254" s="17"/>
    </row>
    <row r="1255" spans="2:4" x14ac:dyDescent="0.2">
      <c r="B1255" s="20"/>
      <c r="D1255" s="17"/>
    </row>
    <row r="1256" spans="2:4" x14ac:dyDescent="0.2">
      <c r="B1256" s="20"/>
      <c r="D1256" s="17"/>
    </row>
    <row r="1257" spans="2:4" x14ac:dyDescent="0.2">
      <c r="B1257" s="20"/>
      <c r="D1257" s="17"/>
    </row>
    <row r="1258" spans="2:4" x14ac:dyDescent="0.2">
      <c r="B1258" s="20"/>
      <c r="D1258" s="17"/>
    </row>
    <row r="1259" spans="2:4" x14ac:dyDescent="0.2">
      <c r="B1259" s="20"/>
      <c r="D1259" s="17"/>
    </row>
    <row r="1260" spans="2:4" x14ac:dyDescent="0.2">
      <c r="B1260" s="20"/>
      <c r="D1260" s="17"/>
    </row>
    <row r="1261" spans="2:4" x14ac:dyDescent="0.2">
      <c r="B1261" s="20"/>
      <c r="D1261" s="17"/>
    </row>
    <row r="1262" spans="2:4" x14ac:dyDescent="0.2">
      <c r="B1262" s="20"/>
      <c r="D1262" s="17"/>
    </row>
    <row r="1263" spans="2:4" x14ac:dyDescent="0.2">
      <c r="B1263" s="20"/>
      <c r="D1263" s="17"/>
    </row>
    <row r="1264" spans="2:4" x14ac:dyDescent="0.2">
      <c r="B1264" s="20"/>
      <c r="D1264" s="17"/>
    </row>
    <row r="1265" spans="2:7" x14ac:dyDescent="0.2">
      <c r="B1265" s="20"/>
      <c r="D1265" s="17"/>
      <c r="G1265" s="27"/>
    </row>
    <row r="1266" spans="2:7" x14ac:dyDescent="0.2">
      <c r="B1266" s="20"/>
      <c r="D1266" s="17"/>
      <c r="G1266" s="27"/>
    </row>
    <row r="1267" spans="2:7" x14ac:dyDescent="0.2">
      <c r="B1267" s="20"/>
      <c r="D1267" s="17"/>
      <c r="G1267" s="27"/>
    </row>
    <row r="1268" spans="2:7" x14ac:dyDescent="0.2">
      <c r="B1268" s="20"/>
      <c r="D1268" s="17"/>
      <c r="G1268" s="27"/>
    </row>
    <row r="1269" spans="2:7" x14ac:dyDescent="0.2">
      <c r="B1269" s="20"/>
      <c r="D1269" s="17"/>
      <c r="G1269" s="27"/>
    </row>
    <row r="1270" spans="2:7" x14ac:dyDescent="0.2">
      <c r="B1270" s="20"/>
      <c r="D1270" s="17"/>
      <c r="G1270" s="27"/>
    </row>
    <row r="1271" spans="2:7" x14ac:dyDescent="0.2">
      <c r="B1271" s="20"/>
      <c r="D1271" s="17"/>
      <c r="G1271" s="27"/>
    </row>
    <row r="1272" spans="2:7" x14ac:dyDescent="0.2">
      <c r="B1272" s="20"/>
      <c r="D1272" s="17"/>
      <c r="G1272" s="27"/>
    </row>
    <row r="1273" spans="2:7" x14ac:dyDescent="0.2">
      <c r="B1273" s="20"/>
      <c r="D1273" s="17"/>
      <c r="G1273" s="27"/>
    </row>
    <row r="1274" spans="2:7" x14ac:dyDescent="0.2">
      <c r="B1274" s="20"/>
      <c r="D1274" s="17"/>
      <c r="G1274" s="27"/>
    </row>
    <row r="1275" spans="2:7" x14ac:dyDescent="0.2">
      <c r="B1275" s="20"/>
      <c r="D1275" s="17"/>
      <c r="G1275" s="27"/>
    </row>
    <row r="1276" spans="2:7" x14ac:dyDescent="0.2">
      <c r="B1276" s="20"/>
      <c r="D1276" s="17"/>
      <c r="G1276" s="27"/>
    </row>
    <row r="1277" spans="2:7" x14ac:dyDescent="0.2">
      <c r="B1277" s="20"/>
      <c r="D1277" s="17"/>
      <c r="G1277" s="27"/>
    </row>
    <row r="1278" spans="2:7" x14ac:dyDescent="0.2">
      <c r="B1278" s="20"/>
      <c r="D1278" s="17"/>
      <c r="G1278" s="27"/>
    </row>
    <row r="1279" spans="2:7" x14ac:dyDescent="0.2">
      <c r="B1279" s="20"/>
      <c r="D1279" s="17"/>
      <c r="G1279" s="27"/>
    </row>
    <row r="1280" spans="2:7" x14ac:dyDescent="0.2">
      <c r="B1280" s="20"/>
      <c r="D1280" s="17"/>
      <c r="G1280" s="27"/>
    </row>
    <row r="1281" spans="2:7" x14ac:dyDescent="0.2">
      <c r="B1281" s="20"/>
      <c r="D1281" s="17"/>
      <c r="G1281" s="27"/>
    </row>
    <row r="1282" spans="2:7" x14ac:dyDescent="0.2">
      <c r="B1282" s="20"/>
      <c r="D1282" s="17"/>
      <c r="G1282" s="27"/>
    </row>
    <row r="1283" spans="2:7" x14ac:dyDescent="0.2">
      <c r="B1283" s="20"/>
      <c r="D1283" s="17"/>
      <c r="G1283" s="27"/>
    </row>
    <row r="1284" spans="2:7" x14ac:dyDescent="0.2">
      <c r="B1284" s="20"/>
      <c r="D1284" s="17"/>
      <c r="G1284" s="27"/>
    </row>
    <row r="1285" spans="2:7" x14ac:dyDescent="0.2">
      <c r="B1285" s="20"/>
      <c r="D1285" s="17"/>
      <c r="G1285" s="27"/>
    </row>
    <row r="1286" spans="2:7" x14ac:dyDescent="0.2">
      <c r="B1286" s="20"/>
      <c r="D1286" s="17"/>
      <c r="G1286" s="27"/>
    </row>
    <row r="1287" spans="2:7" x14ac:dyDescent="0.2">
      <c r="B1287" s="20"/>
      <c r="D1287" s="17"/>
      <c r="G1287" s="27"/>
    </row>
    <row r="1288" spans="2:7" x14ac:dyDescent="0.2">
      <c r="B1288" s="20"/>
      <c r="D1288" s="17"/>
      <c r="G1288" s="27"/>
    </row>
    <row r="1289" spans="2:7" x14ac:dyDescent="0.2">
      <c r="B1289" s="20"/>
      <c r="D1289" s="17"/>
      <c r="G1289" s="27"/>
    </row>
    <row r="1290" spans="2:7" x14ac:dyDescent="0.2">
      <c r="B1290" s="20"/>
      <c r="D1290" s="17"/>
      <c r="G1290" s="27"/>
    </row>
    <row r="1291" spans="2:7" x14ac:dyDescent="0.2">
      <c r="B1291" s="20"/>
      <c r="D1291" s="17"/>
      <c r="G1291" s="27"/>
    </row>
    <row r="1292" spans="2:7" x14ac:dyDescent="0.2">
      <c r="B1292" s="20"/>
      <c r="D1292" s="17"/>
      <c r="G1292" s="27"/>
    </row>
    <row r="1293" spans="2:7" x14ac:dyDescent="0.2">
      <c r="B1293" s="20"/>
      <c r="D1293" s="17"/>
      <c r="G1293" s="27"/>
    </row>
    <row r="1294" spans="2:7" x14ac:dyDescent="0.2">
      <c r="B1294" s="20"/>
      <c r="D1294" s="17"/>
      <c r="G1294" s="27"/>
    </row>
    <row r="1295" spans="2:7" x14ac:dyDescent="0.2">
      <c r="B1295" s="20"/>
      <c r="D1295" s="17"/>
      <c r="G1295" s="27"/>
    </row>
    <row r="1296" spans="2:7" x14ac:dyDescent="0.2">
      <c r="B1296" s="20"/>
      <c r="D1296" s="17"/>
    </row>
    <row r="1297" spans="2:4" x14ac:dyDescent="0.2">
      <c r="B1297" s="20"/>
      <c r="D1297" s="17"/>
    </row>
    <row r="1298" spans="2:4" x14ac:dyDescent="0.2">
      <c r="B1298" s="20"/>
      <c r="D1298" s="17"/>
    </row>
    <row r="1299" spans="2:4" x14ac:dyDescent="0.2">
      <c r="B1299" s="20"/>
      <c r="D1299" s="17"/>
    </row>
    <row r="1300" spans="2:4" x14ac:dyDescent="0.2">
      <c r="B1300" s="20"/>
      <c r="D1300" s="17"/>
    </row>
    <row r="1301" spans="2:4" x14ac:dyDescent="0.2">
      <c r="B1301" s="20"/>
      <c r="D1301" s="17"/>
    </row>
    <row r="1302" spans="2:4" x14ac:dyDescent="0.2">
      <c r="B1302" s="20"/>
      <c r="D1302" s="17"/>
    </row>
    <row r="1303" spans="2:4" x14ac:dyDescent="0.2">
      <c r="B1303" s="20"/>
      <c r="D1303" s="17"/>
    </row>
    <row r="1304" spans="2:4" x14ac:dyDescent="0.2">
      <c r="B1304" s="20"/>
      <c r="D1304" s="17"/>
    </row>
    <row r="1305" spans="2:4" x14ac:dyDescent="0.2">
      <c r="B1305" s="20"/>
      <c r="D1305" s="17"/>
    </row>
    <row r="1306" spans="2:4" x14ac:dyDescent="0.2">
      <c r="B1306" s="20"/>
      <c r="D1306" s="17"/>
    </row>
    <row r="1307" spans="2:4" x14ac:dyDescent="0.2">
      <c r="B1307" s="20"/>
      <c r="D1307" s="17"/>
    </row>
    <row r="1308" spans="2:4" x14ac:dyDescent="0.2">
      <c r="B1308" s="20"/>
      <c r="D1308" s="17"/>
    </row>
    <row r="1309" spans="2:4" x14ac:dyDescent="0.2">
      <c r="B1309" s="20"/>
      <c r="D1309" s="17"/>
    </row>
    <row r="1310" spans="2:4" x14ac:dyDescent="0.2">
      <c r="B1310" s="20"/>
      <c r="D1310" s="17"/>
    </row>
    <row r="1311" spans="2:4" x14ac:dyDescent="0.2">
      <c r="B1311" s="20"/>
      <c r="D1311" s="17"/>
    </row>
    <row r="1312" spans="2:4" x14ac:dyDescent="0.2">
      <c r="B1312" s="20"/>
      <c r="D1312" s="17"/>
    </row>
    <row r="1313" spans="2:4" x14ac:dyDescent="0.2">
      <c r="B1313" s="20"/>
      <c r="D1313" s="17"/>
    </row>
    <row r="1314" spans="2:4" x14ac:dyDescent="0.2">
      <c r="B1314" s="20"/>
      <c r="D1314" s="17"/>
    </row>
    <row r="1315" spans="2:4" x14ac:dyDescent="0.2">
      <c r="B1315" s="20"/>
      <c r="D1315" s="17"/>
    </row>
    <row r="1316" spans="2:4" x14ac:dyDescent="0.2">
      <c r="B1316" s="20"/>
      <c r="D1316" s="17"/>
    </row>
    <row r="1317" spans="2:4" x14ac:dyDescent="0.2">
      <c r="B1317" s="20"/>
      <c r="D1317" s="17"/>
    </row>
    <row r="1318" spans="2:4" x14ac:dyDescent="0.2">
      <c r="B1318" s="20"/>
      <c r="D1318" s="17"/>
    </row>
    <row r="1319" spans="2:4" x14ac:dyDescent="0.2">
      <c r="B1319" s="20"/>
      <c r="D1319" s="17"/>
    </row>
    <row r="1320" spans="2:4" x14ac:dyDescent="0.2">
      <c r="B1320" s="20"/>
      <c r="D1320" s="17"/>
    </row>
    <row r="1321" spans="2:4" x14ac:dyDescent="0.2">
      <c r="B1321" s="20"/>
      <c r="D1321" s="17"/>
    </row>
    <row r="1322" spans="2:4" x14ac:dyDescent="0.2">
      <c r="B1322" s="20"/>
      <c r="D1322" s="17"/>
    </row>
    <row r="1323" spans="2:4" x14ac:dyDescent="0.2">
      <c r="B1323" s="20"/>
      <c r="D1323" s="17"/>
    </row>
    <row r="1324" spans="2:4" x14ac:dyDescent="0.2">
      <c r="B1324" s="20"/>
      <c r="D1324" s="17"/>
    </row>
    <row r="1325" spans="2:4" x14ac:dyDescent="0.2">
      <c r="B1325" s="20"/>
      <c r="D1325" s="17"/>
    </row>
    <row r="1326" spans="2:4" x14ac:dyDescent="0.2">
      <c r="B1326" s="20"/>
      <c r="D1326" s="17"/>
    </row>
    <row r="1327" spans="2:4" x14ac:dyDescent="0.2">
      <c r="B1327" s="20"/>
      <c r="D1327" s="17"/>
    </row>
    <row r="1328" spans="2:4" x14ac:dyDescent="0.2">
      <c r="B1328" s="20"/>
      <c r="D1328" s="17"/>
    </row>
    <row r="1329" spans="2:4" x14ac:dyDescent="0.2">
      <c r="B1329" s="20"/>
      <c r="D1329" s="17"/>
    </row>
    <row r="1330" spans="2:4" x14ac:dyDescent="0.2">
      <c r="B1330" s="20"/>
      <c r="D1330" s="17"/>
    </row>
    <row r="1331" spans="2:4" x14ac:dyDescent="0.2">
      <c r="B1331" s="20"/>
      <c r="D1331" s="17"/>
    </row>
    <row r="1332" spans="2:4" x14ac:dyDescent="0.2">
      <c r="B1332" s="20"/>
      <c r="D1332" s="17"/>
    </row>
    <row r="1333" spans="2:4" x14ac:dyDescent="0.2">
      <c r="B1333" s="20"/>
      <c r="D1333" s="17"/>
    </row>
    <row r="1334" spans="2:4" x14ac:dyDescent="0.2">
      <c r="B1334" s="20"/>
      <c r="D1334" s="17"/>
    </row>
    <row r="1335" spans="2:4" x14ac:dyDescent="0.2">
      <c r="B1335" s="20"/>
      <c r="D1335" s="17"/>
    </row>
    <row r="1336" spans="2:4" x14ac:dyDescent="0.2">
      <c r="B1336" s="20"/>
      <c r="D1336" s="17"/>
    </row>
    <row r="1337" spans="2:4" x14ac:dyDescent="0.2">
      <c r="B1337" s="20"/>
      <c r="D1337" s="17"/>
    </row>
    <row r="1338" spans="2:4" x14ac:dyDescent="0.2">
      <c r="B1338" s="20"/>
      <c r="D1338" s="17"/>
    </row>
    <row r="1339" spans="2:4" x14ac:dyDescent="0.2">
      <c r="B1339" s="20"/>
      <c r="D1339" s="17"/>
    </row>
    <row r="1340" spans="2:4" x14ac:dyDescent="0.2">
      <c r="B1340" s="20"/>
      <c r="D1340" s="17"/>
    </row>
    <row r="1341" spans="2:4" x14ac:dyDescent="0.2">
      <c r="B1341" s="20"/>
      <c r="D1341" s="17"/>
    </row>
    <row r="1342" spans="2:4" x14ac:dyDescent="0.2">
      <c r="B1342" s="20"/>
    </row>
    <row r="1343" spans="2:4" x14ac:dyDescent="0.2">
      <c r="B1343" s="20"/>
    </row>
    <row r="1344" spans="2:4" x14ac:dyDescent="0.2">
      <c r="B1344" s="20"/>
    </row>
    <row r="1345" spans="2:2" x14ac:dyDescent="0.2">
      <c r="B1345" s="20"/>
    </row>
    <row r="1346" spans="2:2" x14ac:dyDescent="0.2">
      <c r="B1346" s="20"/>
    </row>
    <row r="1347" spans="2:2" x14ac:dyDescent="0.2">
      <c r="B1347" s="20"/>
    </row>
    <row r="1348" spans="2:2" x14ac:dyDescent="0.2">
      <c r="B1348" s="20"/>
    </row>
    <row r="1349" spans="2:2" x14ac:dyDescent="0.2">
      <c r="B1349" s="20"/>
    </row>
    <row r="1350" spans="2:2" x14ac:dyDescent="0.2">
      <c r="B1350" s="20"/>
    </row>
    <row r="1351" spans="2:2" x14ac:dyDescent="0.2">
      <c r="B1351" s="20"/>
    </row>
    <row r="1352" spans="2:2" x14ac:dyDescent="0.2">
      <c r="B1352" s="20"/>
    </row>
    <row r="1353" spans="2:2" x14ac:dyDescent="0.2">
      <c r="B1353" s="20"/>
    </row>
    <row r="1354" spans="2:2" x14ac:dyDescent="0.2">
      <c r="B1354" s="20"/>
    </row>
    <row r="1355" spans="2:2" x14ac:dyDescent="0.2">
      <c r="B1355" s="20"/>
    </row>
    <row r="1356" spans="2:2" x14ac:dyDescent="0.2">
      <c r="B1356" s="20"/>
    </row>
    <row r="1357" spans="2:2" x14ac:dyDescent="0.2">
      <c r="B1357" s="20"/>
    </row>
    <row r="1358" spans="2:2" x14ac:dyDescent="0.2">
      <c r="B1358" s="20"/>
    </row>
    <row r="1359" spans="2:2" x14ac:dyDescent="0.2">
      <c r="B1359" s="20"/>
    </row>
    <row r="1360" spans="2:2" x14ac:dyDescent="0.2">
      <c r="B1360" s="20"/>
    </row>
    <row r="1361" spans="2:2" x14ac:dyDescent="0.2">
      <c r="B1361" s="20"/>
    </row>
    <row r="1362" spans="2:2" x14ac:dyDescent="0.2">
      <c r="B1362" s="20"/>
    </row>
    <row r="1363" spans="2:2" x14ac:dyDescent="0.2">
      <c r="B1363" s="20"/>
    </row>
    <row r="1364" spans="2:2" x14ac:dyDescent="0.2">
      <c r="B1364" s="20"/>
    </row>
    <row r="1365" spans="2:2" x14ac:dyDescent="0.2">
      <c r="B1365" s="20"/>
    </row>
    <row r="1366" spans="2:2" x14ac:dyDescent="0.2">
      <c r="B1366" s="20"/>
    </row>
    <row r="1367" spans="2:2" x14ac:dyDescent="0.2">
      <c r="B1367" s="20"/>
    </row>
    <row r="1368" spans="2:2" x14ac:dyDescent="0.2">
      <c r="B1368" s="20"/>
    </row>
    <row r="1369" spans="2:2" x14ac:dyDescent="0.2">
      <c r="B1369" s="20"/>
    </row>
    <row r="1370" spans="2:2" x14ac:dyDescent="0.2">
      <c r="B1370" s="20"/>
    </row>
    <row r="1371" spans="2:2" x14ac:dyDescent="0.2">
      <c r="B1371" s="20"/>
    </row>
    <row r="1372" spans="2:2" x14ac:dyDescent="0.2">
      <c r="B1372" s="20"/>
    </row>
    <row r="1373" spans="2:2" x14ac:dyDescent="0.2">
      <c r="B1373" s="20"/>
    </row>
    <row r="1374" spans="2:2" x14ac:dyDescent="0.2">
      <c r="B1374" s="20"/>
    </row>
    <row r="1375" spans="2:2" x14ac:dyDescent="0.2">
      <c r="B1375" s="20"/>
    </row>
    <row r="1376" spans="2:2" x14ac:dyDescent="0.2">
      <c r="B1376" s="20"/>
    </row>
    <row r="1377" spans="2:4" x14ac:dyDescent="0.2">
      <c r="B1377" s="20"/>
    </row>
    <row r="1378" spans="2:4" x14ac:dyDescent="0.2">
      <c r="B1378" s="20"/>
    </row>
    <row r="1379" spans="2:4" x14ac:dyDescent="0.2">
      <c r="B1379" s="20"/>
    </row>
    <row r="1380" spans="2:4" x14ac:dyDescent="0.2">
      <c r="B1380" s="20"/>
    </row>
    <row r="1381" spans="2:4" x14ac:dyDescent="0.2">
      <c r="B1381" s="20"/>
    </row>
    <row r="1382" spans="2:4" x14ac:dyDescent="0.2">
      <c r="B1382" s="20"/>
    </row>
    <row r="1383" spans="2:4" x14ac:dyDescent="0.2">
      <c r="B1383" s="20"/>
    </row>
    <row r="1384" spans="2:4" x14ac:dyDescent="0.2">
      <c r="B1384" s="20"/>
    </row>
    <row r="1385" spans="2:4" x14ac:dyDescent="0.2">
      <c r="B1385" s="20"/>
      <c r="D1385" s="17"/>
    </row>
    <row r="1386" spans="2:4" x14ac:dyDescent="0.2">
      <c r="B1386" s="20"/>
      <c r="D1386" s="17"/>
    </row>
    <row r="1387" spans="2:4" x14ac:dyDescent="0.2">
      <c r="B1387" s="20"/>
      <c r="D1387" s="17"/>
    </row>
    <row r="1388" spans="2:4" x14ac:dyDescent="0.2">
      <c r="B1388" s="20"/>
      <c r="D1388" s="17"/>
    </row>
    <row r="1389" spans="2:4" x14ac:dyDescent="0.2">
      <c r="B1389" s="20"/>
      <c r="D1389" s="17"/>
    </row>
    <row r="1390" spans="2:4" x14ac:dyDescent="0.2">
      <c r="B1390" s="20"/>
      <c r="D1390" s="17"/>
    </row>
    <row r="1391" spans="2:4" x14ac:dyDescent="0.2">
      <c r="B1391" s="20"/>
      <c r="D1391" s="17"/>
    </row>
    <row r="1392" spans="2:4" x14ac:dyDescent="0.2">
      <c r="B1392" s="20"/>
      <c r="D1392" s="17"/>
    </row>
    <row r="1393" spans="2:4" x14ac:dyDescent="0.2">
      <c r="B1393" s="20"/>
      <c r="D1393" s="17"/>
    </row>
    <row r="1394" spans="2:4" x14ac:dyDescent="0.2">
      <c r="B1394" s="20"/>
      <c r="D1394" s="17"/>
    </row>
    <row r="1395" spans="2:4" x14ac:dyDescent="0.2">
      <c r="B1395" s="20"/>
      <c r="D1395" s="17"/>
    </row>
    <row r="1396" spans="2:4" x14ac:dyDescent="0.2">
      <c r="B1396" s="20"/>
      <c r="D1396" s="17"/>
    </row>
    <row r="1397" spans="2:4" x14ac:dyDescent="0.2">
      <c r="B1397" s="20"/>
      <c r="D1397" s="17"/>
    </row>
    <row r="1398" spans="2:4" x14ac:dyDescent="0.2">
      <c r="B1398" s="20"/>
      <c r="D1398" s="17"/>
    </row>
    <row r="1399" spans="2:4" x14ac:dyDescent="0.2">
      <c r="B1399" s="20"/>
      <c r="D1399" s="17"/>
    </row>
    <row r="1400" spans="2:4" x14ac:dyDescent="0.2">
      <c r="B1400" s="20"/>
      <c r="D1400" s="17"/>
    </row>
    <row r="1401" spans="2:4" x14ac:dyDescent="0.2">
      <c r="B1401" s="20"/>
      <c r="D1401" s="17"/>
    </row>
    <row r="1402" spans="2:4" x14ac:dyDescent="0.2">
      <c r="B1402" s="20"/>
    </row>
    <row r="1403" spans="2:4" x14ac:dyDescent="0.2">
      <c r="B1403" s="20"/>
    </row>
    <row r="1404" spans="2:4" x14ac:dyDescent="0.2">
      <c r="B1404" s="20"/>
    </row>
    <row r="1405" spans="2:4" x14ac:dyDescent="0.2">
      <c r="B1405" s="20"/>
    </row>
    <row r="1406" spans="2:4" x14ac:dyDescent="0.2">
      <c r="B1406" s="20"/>
    </row>
    <row r="1407" spans="2:4" x14ac:dyDescent="0.2">
      <c r="B1407" s="20"/>
    </row>
    <row r="1408" spans="2:4" x14ac:dyDescent="0.2">
      <c r="B1408" s="20"/>
    </row>
    <row r="1409" spans="2:2" x14ac:dyDescent="0.2">
      <c r="B1409" s="20"/>
    </row>
    <row r="1410" spans="2:2" x14ac:dyDescent="0.2">
      <c r="B1410" s="20"/>
    </row>
    <row r="1411" spans="2:2" x14ac:dyDescent="0.2">
      <c r="B1411" s="20"/>
    </row>
    <row r="1412" spans="2:2" x14ac:dyDescent="0.2">
      <c r="B1412" s="20"/>
    </row>
    <row r="1413" spans="2:2" x14ac:dyDescent="0.2">
      <c r="B1413" s="20"/>
    </row>
    <row r="1414" spans="2:2" x14ac:dyDescent="0.2">
      <c r="B1414" s="20"/>
    </row>
    <row r="1415" spans="2:2" x14ac:dyDescent="0.2">
      <c r="B1415" s="20"/>
    </row>
    <row r="1416" spans="2:2" x14ac:dyDescent="0.2">
      <c r="B1416" s="20"/>
    </row>
    <row r="1417" spans="2:2" x14ac:dyDescent="0.2">
      <c r="B1417" s="20"/>
    </row>
    <row r="1418" spans="2:2" x14ac:dyDescent="0.2">
      <c r="B1418" s="20"/>
    </row>
    <row r="1419" spans="2:2" x14ac:dyDescent="0.2">
      <c r="B1419" s="20"/>
    </row>
    <row r="1420" spans="2:2" x14ac:dyDescent="0.2">
      <c r="B1420" s="20"/>
    </row>
    <row r="1421" spans="2:2" x14ac:dyDescent="0.2">
      <c r="B1421" s="20"/>
    </row>
    <row r="1422" spans="2:2" x14ac:dyDescent="0.2">
      <c r="B1422" s="20"/>
    </row>
    <row r="1423" spans="2:2" x14ac:dyDescent="0.2">
      <c r="B1423" s="20"/>
    </row>
    <row r="1424" spans="2:2" x14ac:dyDescent="0.2">
      <c r="B1424" s="20"/>
    </row>
    <row r="1425" spans="2:2" x14ac:dyDescent="0.2">
      <c r="B1425" s="20"/>
    </row>
    <row r="1426" spans="2:2" x14ac:dyDescent="0.2">
      <c r="B1426" s="20"/>
    </row>
    <row r="1427" spans="2:2" x14ac:dyDescent="0.2">
      <c r="B1427" s="20"/>
    </row>
    <row r="1428" spans="2:2" x14ac:dyDescent="0.2">
      <c r="B1428" s="20"/>
    </row>
    <row r="1429" spans="2:2" x14ac:dyDescent="0.2">
      <c r="B1429" s="20"/>
    </row>
    <row r="1430" spans="2:2" x14ac:dyDescent="0.2">
      <c r="B1430" s="20"/>
    </row>
    <row r="1431" spans="2:2" x14ac:dyDescent="0.2">
      <c r="B1431" s="20"/>
    </row>
    <row r="1432" spans="2:2" x14ac:dyDescent="0.2">
      <c r="B1432" s="20"/>
    </row>
    <row r="1433" spans="2:2" x14ac:dyDescent="0.2">
      <c r="B1433" s="20"/>
    </row>
    <row r="1434" spans="2:2" x14ac:dyDescent="0.2">
      <c r="B1434" s="20"/>
    </row>
    <row r="1435" spans="2:2" x14ac:dyDescent="0.2">
      <c r="B1435" s="20"/>
    </row>
    <row r="1436" spans="2:2" x14ac:dyDescent="0.2">
      <c r="B1436" s="20"/>
    </row>
    <row r="1437" spans="2:2" x14ac:dyDescent="0.2">
      <c r="B1437" s="20"/>
    </row>
    <row r="1438" spans="2:2" x14ac:dyDescent="0.2">
      <c r="B1438" s="20"/>
    </row>
    <row r="1439" spans="2:2" x14ac:dyDescent="0.2">
      <c r="B1439" s="20"/>
    </row>
    <row r="1440" spans="2:2" x14ac:dyDescent="0.2">
      <c r="B1440" s="20"/>
    </row>
    <row r="1441" spans="2:2" x14ac:dyDescent="0.2">
      <c r="B1441" s="20"/>
    </row>
    <row r="1442" spans="2:2" x14ac:dyDescent="0.2">
      <c r="B1442" s="20"/>
    </row>
    <row r="1443" spans="2:2" x14ac:dyDescent="0.2">
      <c r="B1443" s="20"/>
    </row>
    <row r="1444" spans="2:2" x14ac:dyDescent="0.2">
      <c r="B1444" s="20"/>
    </row>
    <row r="1445" spans="2:2" x14ac:dyDescent="0.2">
      <c r="B1445" s="20"/>
    </row>
    <row r="1446" spans="2:2" x14ac:dyDescent="0.2">
      <c r="B1446" s="20"/>
    </row>
    <row r="1447" spans="2:2" x14ac:dyDescent="0.2">
      <c r="B1447" s="20"/>
    </row>
    <row r="1448" spans="2:2" x14ac:dyDescent="0.2">
      <c r="B1448" s="20"/>
    </row>
    <row r="1449" spans="2:2" x14ac:dyDescent="0.2">
      <c r="B1449" s="20"/>
    </row>
    <row r="1450" spans="2:2" x14ac:dyDescent="0.2">
      <c r="B1450" s="20"/>
    </row>
    <row r="1451" spans="2:2" x14ac:dyDescent="0.2">
      <c r="B1451" s="20"/>
    </row>
    <row r="1452" spans="2:2" x14ac:dyDescent="0.2">
      <c r="B1452" s="20"/>
    </row>
    <row r="1453" spans="2:2" x14ac:dyDescent="0.2">
      <c r="B1453" s="20"/>
    </row>
    <row r="1454" spans="2:2" x14ac:dyDescent="0.2">
      <c r="B1454" s="20"/>
    </row>
    <row r="1455" spans="2:2" x14ac:dyDescent="0.2">
      <c r="B1455" s="20"/>
    </row>
    <row r="1456" spans="2:2" x14ac:dyDescent="0.2">
      <c r="B1456" s="20"/>
    </row>
    <row r="1457" spans="2:4" x14ac:dyDescent="0.2">
      <c r="B1457" s="20"/>
    </row>
    <row r="1458" spans="2:4" x14ac:dyDescent="0.2">
      <c r="B1458" s="20"/>
    </row>
    <row r="1459" spans="2:4" x14ac:dyDescent="0.2">
      <c r="B1459" s="20"/>
    </row>
    <row r="1460" spans="2:4" x14ac:dyDescent="0.2">
      <c r="B1460" s="20"/>
    </row>
    <row r="1461" spans="2:4" x14ac:dyDescent="0.2">
      <c r="B1461" s="20"/>
    </row>
    <row r="1462" spans="2:4" x14ac:dyDescent="0.2">
      <c r="B1462" s="20"/>
    </row>
    <row r="1463" spans="2:4" x14ac:dyDescent="0.2">
      <c r="B1463" s="20"/>
    </row>
    <row r="1464" spans="2:4" x14ac:dyDescent="0.2">
      <c r="B1464" s="20"/>
    </row>
    <row r="1465" spans="2:4" x14ac:dyDescent="0.2">
      <c r="B1465" s="20"/>
    </row>
    <row r="1466" spans="2:4" x14ac:dyDescent="0.2">
      <c r="B1466" s="20"/>
    </row>
    <row r="1467" spans="2:4" x14ac:dyDescent="0.2">
      <c r="B1467" s="20"/>
      <c r="D1467" s="17"/>
    </row>
    <row r="1468" spans="2:4" x14ac:dyDescent="0.2">
      <c r="B1468" s="20"/>
      <c r="D1468" s="17"/>
    </row>
    <row r="1469" spans="2:4" x14ac:dyDescent="0.2">
      <c r="B1469" s="20"/>
      <c r="D1469" s="17"/>
    </row>
    <row r="1470" spans="2:4" x14ac:dyDescent="0.2">
      <c r="B1470" s="20"/>
      <c r="D1470" s="17"/>
    </row>
    <row r="1471" spans="2:4" x14ac:dyDescent="0.2">
      <c r="B1471" s="20"/>
      <c r="D1471" s="17"/>
    </row>
    <row r="1472" spans="2:4" x14ac:dyDescent="0.2">
      <c r="B1472" s="20"/>
      <c r="D1472" s="17"/>
    </row>
    <row r="1473" spans="2:4" x14ac:dyDescent="0.2">
      <c r="B1473" s="20"/>
      <c r="D1473" s="17"/>
    </row>
    <row r="1474" spans="2:4" x14ac:dyDescent="0.2">
      <c r="B1474" s="20"/>
      <c r="D1474" s="17"/>
    </row>
    <row r="1475" spans="2:4" x14ac:dyDescent="0.2">
      <c r="B1475" s="20"/>
      <c r="D1475" s="17"/>
    </row>
    <row r="1476" spans="2:4" x14ac:dyDescent="0.2">
      <c r="B1476" s="20"/>
      <c r="D1476" s="17"/>
    </row>
    <row r="1477" spans="2:4" x14ac:dyDescent="0.2">
      <c r="B1477" s="20"/>
      <c r="D1477" s="17"/>
    </row>
    <row r="1478" spans="2:4" x14ac:dyDescent="0.2">
      <c r="B1478" s="20"/>
      <c r="D1478" s="17"/>
    </row>
    <row r="1479" spans="2:4" x14ac:dyDescent="0.2">
      <c r="B1479" s="20"/>
    </row>
    <row r="1480" spans="2:4" x14ac:dyDescent="0.2">
      <c r="B1480" s="20"/>
    </row>
    <row r="1481" spans="2:4" x14ac:dyDescent="0.2">
      <c r="B1481" s="20"/>
    </row>
    <row r="1482" spans="2:4" x14ac:dyDescent="0.2">
      <c r="B1482" s="20"/>
    </row>
    <row r="1483" spans="2:4" x14ac:dyDescent="0.2">
      <c r="B1483" s="20"/>
    </row>
    <row r="1484" spans="2:4" x14ac:dyDescent="0.2">
      <c r="B1484" s="20"/>
    </row>
    <row r="1485" spans="2:4" x14ac:dyDescent="0.2">
      <c r="B1485" s="20"/>
    </row>
    <row r="1486" spans="2:4" x14ac:dyDescent="0.2">
      <c r="B1486" s="20"/>
    </row>
    <row r="1487" spans="2:4" x14ac:dyDescent="0.2">
      <c r="B1487" s="20"/>
    </row>
    <row r="1488" spans="2:4" x14ac:dyDescent="0.2">
      <c r="B1488" s="20"/>
    </row>
    <row r="1489" spans="2:2" x14ac:dyDescent="0.2">
      <c r="B1489" s="20"/>
    </row>
    <row r="1490" spans="2:2" x14ac:dyDescent="0.2">
      <c r="B1490" s="20"/>
    </row>
    <row r="1491" spans="2:2" x14ac:dyDescent="0.2">
      <c r="B1491" s="20"/>
    </row>
    <row r="1492" spans="2:2" x14ac:dyDescent="0.2">
      <c r="B1492" s="20"/>
    </row>
    <row r="1493" spans="2:2" x14ac:dyDescent="0.2">
      <c r="B1493" s="20"/>
    </row>
    <row r="1494" spans="2:2" x14ac:dyDescent="0.2">
      <c r="B1494" s="20"/>
    </row>
    <row r="1495" spans="2:2" x14ac:dyDescent="0.2">
      <c r="B1495" s="20"/>
    </row>
    <row r="1496" spans="2:2" x14ac:dyDescent="0.2">
      <c r="B1496" s="20"/>
    </row>
    <row r="1497" spans="2:2" x14ac:dyDescent="0.2">
      <c r="B1497" s="20"/>
    </row>
    <row r="1498" spans="2:2" x14ac:dyDescent="0.2">
      <c r="B1498" s="20"/>
    </row>
    <row r="1499" spans="2:2" x14ac:dyDescent="0.2">
      <c r="B1499" s="20"/>
    </row>
    <row r="1500" spans="2:2" x14ac:dyDescent="0.2">
      <c r="B1500" s="20"/>
    </row>
    <row r="1501" spans="2:2" x14ac:dyDescent="0.2">
      <c r="B1501" s="20"/>
    </row>
    <row r="1502" spans="2:2" x14ac:dyDescent="0.2">
      <c r="B1502" s="20"/>
    </row>
    <row r="1503" spans="2:2" x14ac:dyDescent="0.2">
      <c r="B1503" s="20"/>
    </row>
    <row r="1504" spans="2:2" x14ac:dyDescent="0.2">
      <c r="B1504" s="20"/>
    </row>
    <row r="1505" spans="2:2" x14ac:dyDescent="0.2">
      <c r="B1505" s="20"/>
    </row>
    <row r="1506" spans="2:2" x14ac:dyDescent="0.2">
      <c r="B1506" s="20"/>
    </row>
    <row r="1507" spans="2:2" x14ac:dyDescent="0.2">
      <c r="B1507" s="20"/>
    </row>
    <row r="1508" spans="2:2" x14ac:dyDescent="0.2">
      <c r="B1508" s="20"/>
    </row>
    <row r="1509" spans="2:2" x14ac:dyDescent="0.2">
      <c r="B1509" s="20"/>
    </row>
    <row r="1510" spans="2:2" x14ac:dyDescent="0.2">
      <c r="B1510" s="20"/>
    </row>
    <row r="1511" spans="2:2" x14ac:dyDescent="0.2">
      <c r="B1511" s="20"/>
    </row>
    <row r="1512" spans="2:2" x14ac:dyDescent="0.2">
      <c r="B1512" s="20"/>
    </row>
    <row r="1513" spans="2:2" x14ac:dyDescent="0.2">
      <c r="B1513" s="20"/>
    </row>
    <row r="1514" spans="2:2" x14ac:dyDescent="0.2">
      <c r="B1514" s="20"/>
    </row>
    <row r="1515" spans="2:2" x14ac:dyDescent="0.2">
      <c r="B1515" s="20"/>
    </row>
    <row r="1516" spans="2:2" x14ac:dyDescent="0.2">
      <c r="B1516" s="20"/>
    </row>
    <row r="1517" spans="2:2" x14ac:dyDescent="0.2">
      <c r="B1517" s="20"/>
    </row>
    <row r="1518" spans="2:2" x14ac:dyDescent="0.2">
      <c r="B1518" s="20"/>
    </row>
    <row r="1519" spans="2:2" x14ac:dyDescent="0.2">
      <c r="B1519" s="20"/>
    </row>
    <row r="1520" spans="2:2" x14ac:dyDescent="0.2">
      <c r="B1520" s="20"/>
    </row>
    <row r="1521" spans="2:4" x14ac:dyDescent="0.2">
      <c r="B1521" s="20"/>
    </row>
    <row r="1522" spans="2:4" x14ac:dyDescent="0.2">
      <c r="B1522" s="20"/>
    </row>
    <row r="1523" spans="2:4" x14ac:dyDescent="0.2">
      <c r="B1523" s="20"/>
    </row>
    <row r="1524" spans="2:4" x14ac:dyDescent="0.2">
      <c r="B1524" s="20"/>
    </row>
    <row r="1525" spans="2:4" x14ac:dyDescent="0.2">
      <c r="B1525" s="20"/>
    </row>
    <row r="1526" spans="2:4" x14ac:dyDescent="0.2">
      <c r="B1526" s="20"/>
    </row>
    <row r="1527" spans="2:4" x14ac:dyDescent="0.2">
      <c r="B1527" s="20"/>
    </row>
    <row r="1528" spans="2:4" x14ac:dyDescent="0.2">
      <c r="B1528" s="20"/>
      <c r="D1528" s="17"/>
    </row>
    <row r="1529" spans="2:4" x14ac:dyDescent="0.2">
      <c r="B1529" s="20"/>
      <c r="D1529" s="17"/>
    </row>
    <row r="1530" spans="2:4" x14ac:dyDescent="0.2">
      <c r="B1530" s="20"/>
      <c r="D1530" s="17"/>
    </row>
    <row r="1531" spans="2:4" x14ac:dyDescent="0.2">
      <c r="B1531" s="20"/>
      <c r="D1531" s="17"/>
    </row>
    <row r="1532" spans="2:4" x14ac:dyDescent="0.2">
      <c r="B1532" s="20"/>
      <c r="D1532" s="17"/>
    </row>
    <row r="1533" spans="2:4" x14ac:dyDescent="0.2">
      <c r="B1533" s="20"/>
      <c r="D1533" s="17"/>
    </row>
    <row r="1534" spans="2:4" x14ac:dyDescent="0.2">
      <c r="B1534" s="20"/>
      <c r="D1534" s="17"/>
    </row>
    <row r="1535" spans="2:4" x14ac:dyDescent="0.2">
      <c r="B1535" s="20"/>
      <c r="D1535" s="17"/>
    </row>
    <row r="1536" spans="2:4" x14ac:dyDescent="0.2">
      <c r="B1536" s="20"/>
      <c r="D1536" s="17"/>
    </row>
    <row r="1537" spans="2:5" x14ac:dyDescent="0.2">
      <c r="B1537" s="20"/>
      <c r="D1537" s="17"/>
    </row>
    <row r="1538" spans="2:5" x14ac:dyDescent="0.2">
      <c r="B1538" s="20"/>
      <c r="D1538" s="17"/>
    </row>
    <row r="1539" spans="2:5" x14ac:dyDescent="0.2">
      <c r="B1539" s="20"/>
      <c r="D1539" s="17"/>
    </row>
    <row r="1540" spans="2:5" x14ac:dyDescent="0.2">
      <c r="B1540" s="20"/>
      <c r="D1540" s="17"/>
    </row>
    <row r="1541" spans="2:5" x14ac:dyDescent="0.2">
      <c r="B1541" s="20"/>
      <c r="D1541" s="17"/>
    </row>
    <row r="1542" spans="2:5" x14ac:dyDescent="0.2">
      <c r="B1542" s="20"/>
      <c r="D1542" s="17"/>
    </row>
    <row r="1543" spans="2:5" x14ac:dyDescent="0.2">
      <c r="B1543" s="20"/>
      <c r="D1543" s="17"/>
    </row>
    <row r="1544" spans="2:5" x14ac:dyDescent="0.2">
      <c r="B1544" s="20"/>
      <c r="D1544" s="17"/>
    </row>
    <row r="1545" spans="2:5" x14ac:dyDescent="0.2">
      <c r="B1545" s="20"/>
      <c r="D1545" s="17"/>
      <c r="E1545" s="17"/>
    </row>
    <row r="1546" spans="2:5" x14ac:dyDescent="0.2">
      <c r="B1546" s="20"/>
      <c r="D1546" s="17"/>
      <c r="E1546" s="17"/>
    </row>
    <row r="1547" spans="2:5" x14ac:dyDescent="0.2">
      <c r="B1547" s="20"/>
      <c r="D1547" s="17"/>
      <c r="E1547" s="17"/>
    </row>
    <row r="1548" spans="2:5" x14ac:dyDescent="0.2">
      <c r="B1548" s="20"/>
      <c r="D1548" s="17"/>
      <c r="E1548" s="17"/>
    </row>
    <row r="1549" spans="2:5" x14ac:dyDescent="0.2">
      <c r="B1549" s="20"/>
      <c r="D1549" s="17"/>
      <c r="E1549" s="17"/>
    </row>
    <row r="1550" spans="2:5" x14ac:dyDescent="0.2">
      <c r="B1550" s="20"/>
      <c r="D1550" s="17"/>
      <c r="E1550" s="17"/>
    </row>
    <row r="1551" spans="2:5" x14ac:dyDescent="0.2">
      <c r="B1551" s="20"/>
      <c r="D1551" s="17"/>
      <c r="E1551" s="17"/>
    </row>
    <row r="1552" spans="2:5" x14ac:dyDescent="0.2">
      <c r="B1552" s="20"/>
      <c r="D1552" s="17"/>
      <c r="E1552" s="17"/>
    </row>
    <row r="1553" spans="2:5" x14ac:dyDescent="0.2">
      <c r="B1553" s="20"/>
      <c r="D1553" s="17"/>
      <c r="E1553" s="17"/>
    </row>
    <row r="1554" spans="2:5" x14ac:dyDescent="0.2">
      <c r="B1554" s="20"/>
      <c r="D1554" s="17"/>
      <c r="E1554" s="17"/>
    </row>
    <row r="1555" spans="2:5" x14ac:dyDescent="0.2">
      <c r="B1555" s="20"/>
      <c r="D1555" s="17"/>
      <c r="E1555" s="17"/>
    </row>
    <row r="1556" spans="2:5" x14ac:dyDescent="0.2">
      <c r="B1556" s="20"/>
      <c r="D1556" s="17"/>
      <c r="E1556" s="17"/>
    </row>
    <row r="1557" spans="2:5" x14ac:dyDescent="0.2">
      <c r="B1557" s="20"/>
    </row>
    <row r="1558" spans="2:5" x14ac:dyDescent="0.2">
      <c r="B1558" s="20"/>
    </row>
    <row r="1559" spans="2:5" x14ac:dyDescent="0.2">
      <c r="B1559" s="20"/>
    </row>
    <row r="1560" spans="2:5" x14ac:dyDescent="0.2">
      <c r="B1560" s="20"/>
    </row>
    <row r="1561" spans="2:5" x14ac:dyDescent="0.2">
      <c r="B1561" s="20"/>
    </row>
    <row r="1562" spans="2:5" x14ac:dyDescent="0.2">
      <c r="B1562" s="20"/>
    </row>
    <row r="1563" spans="2:5" x14ac:dyDescent="0.2">
      <c r="B1563" s="20"/>
    </row>
    <row r="1564" spans="2:5" x14ac:dyDescent="0.2">
      <c r="B1564" s="20"/>
    </row>
    <row r="1565" spans="2:5" x14ac:dyDescent="0.2">
      <c r="B1565" s="20"/>
    </row>
    <row r="1566" spans="2:5" x14ac:dyDescent="0.2">
      <c r="B1566" s="20"/>
    </row>
    <row r="1567" spans="2:5" x14ac:dyDescent="0.2">
      <c r="B1567" s="20"/>
    </row>
    <row r="1568" spans="2:5" x14ac:dyDescent="0.2">
      <c r="B1568" s="20"/>
    </row>
    <row r="1569" spans="2:2" x14ac:dyDescent="0.2">
      <c r="B1569" s="20"/>
    </row>
    <row r="1570" spans="2:2" x14ac:dyDescent="0.2">
      <c r="B1570" s="20"/>
    </row>
    <row r="1571" spans="2:2" x14ac:dyDescent="0.2">
      <c r="B1571" s="20"/>
    </row>
    <row r="1572" spans="2:2" x14ac:dyDescent="0.2">
      <c r="B1572" s="20"/>
    </row>
    <row r="1573" spans="2:2" x14ac:dyDescent="0.2">
      <c r="B1573" s="20"/>
    </row>
    <row r="1574" spans="2:2" x14ac:dyDescent="0.2">
      <c r="B1574" s="20"/>
    </row>
    <row r="1575" spans="2:2" x14ac:dyDescent="0.2">
      <c r="B1575" s="20"/>
    </row>
    <row r="1576" spans="2:2" x14ac:dyDescent="0.2">
      <c r="B1576" s="20"/>
    </row>
    <row r="1577" spans="2:2" x14ac:dyDescent="0.2">
      <c r="B1577" s="20"/>
    </row>
    <row r="1578" spans="2:2" x14ac:dyDescent="0.2">
      <c r="B1578" s="20"/>
    </row>
    <row r="1579" spans="2:2" x14ac:dyDescent="0.2">
      <c r="B1579" s="20"/>
    </row>
    <row r="1580" spans="2:2" x14ac:dyDescent="0.2">
      <c r="B1580" s="20"/>
    </row>
    <row r="1581" spans="2:2" x14ac:dyDescent="0.2">
      <c r="B1581" s="20"/>
    </row>
    <row r="1582" spans="2:2" x14ac:dyDescent="0.2">
      <c r="B1582" s="20"/>
    </row>
    <row r="1583" spans="2:2" x14ac:dyDescent="0.2">
      <c r="B1583" s="20"/>
    </row>
    <row r="1584" spans="2:2" x14ac:dyDescent="0.2">
      <c r="B1584" s="20"/>
    </row>
    <row r="1585" spans="2:2" x14ac:dyDescent="0.2">
      <c r="B1585" s="20"/>
    </row>
    <row r="1586" spans="2:2" x14ac:dyDescent="0.2">
      <c r="B1586" s="20"/>
    </row>
    <row r="1587" spans="2:2" x14ac:dyDescent="0.2">
      <c r="B1587" s="20"/>
    </row>
    <row r="1588" spans="2:2" x14ac:dyDescent="0.2">
      <c r="B1588" s="20"/>
    </row>
    <row r="1589" spans="2:2" x14ac:dyDescent="0.2">
      <c r="B1589" s="20"/>
    </row>
    <row r="1590" spans="2:2" x14ac:dyDescent="0.2">
      <c r="B1590" s="20"/>
    </row>
    <row r="1591" spans="2:2" x14ac:dyDescent="0.2">
      <c r="B1591" s="20"/>
    </row>
    <row r="1592" spans="2:2" x14ac:dyDescent="0.2">
      <c r="B1592" s="20"/>
    </row>
    <row r="1593" spans="2:2" x14ac:dyDescent="0.2">
      <c r="B1593" s="20"/>
    </row>
    <row r="1594" spans="2:2" x14ac:dyDescent="0.2">
      <c r="B1594" s="20"/>
    </row>
    <row r="1595" spans="2:2" x14ac:dyDescent="0.2">
      <c r="B1595" s="20"/>
    </row>
    <row r="1596" spans="2:2" x14ac:dyDescent="0.2">
      <c r="B1596" s="20"/>
    </row>
    <row r="1597" spans="2:2" x14ac:dyDescent="0.2">
      <c r="B1597" s="20"/>
    </row>
    <row r="1598" spans="2:2" x14ac:dyDescent="0.2">
      <c r="B1598" s="20"/>
    </row>
    <row r="1599" spans="2:2" x14ac:dyDescent="0.2">
      <c r="B1599" s="20"/>
    </row>
    <row r="1600" spans="2:2" x14ac:dyDescent="0.2">
      <c r="B1600" s="20"/>
    </row>
    <row r="1601" spans="2:2" x14ac:dyDescent="0.2">
      <c r="B1601" s="20"/>
    </row>
    <row r="1602" spans="2:2" x14ac:dyDescent="0.2">
      <c r="B1602" s="20"/>
    </row>
    <row r="1603" spans="2:2" x14ac:dyDescent="0.2">
      <c r="B1603" s="20"/>
    </row>
    <row r="1604" spans="2:2" x14ac:dyDescent="0.2">
      <c r="B1604" s="20"/>
    </row>
    <row r="1605" spans="2:2" x14ac:dyDescent="0.2">
      <c r="B1605" s="20"/>
    </row>
    <row r="1606" spans="2:2" x14ac:dyDescent="0.2">
      <c r="B1606" s="20"/>
    </row>
    <row r="1607" spans="2:2" x14ac:dyDescent="0.2">
      <c r="B1607" s="20"/>
    </row>
    <row r="1608" spans="2:2" x14ac:dyDescent="0.2">
      <c r="B1608" s="20"/>
    </row>
    <row r="1609" spans="2:2" x14ac:dyDescent="0.2">
      <c r="B1609" s="20"/>
    </row>
    <row r="1610" spans="2:2" x14ac:dyDescent="0.2">
      <c r="B1610" s="20"/>
    </row>
    <row r="1611" spans="2:2" x14ac:dyDescent="0.2">
      <c r="B1611" s="20"/>
    </row>
    <row r="1612" spans="2:2" x14ac:dyDescent="0.2">
      <c r="B1612" s="20"/>
    </row>
    <row r="1613" spans="2:2" x14ac:dyDescent="0.2">
      <c r="B1613" s="20"/>
    </row>
    <row r="1614" spans="2:2" x14ac:dyDescent="0.2">
      <c r="B1614" s="20"/>
    </row>
    <row r="1615" spans="2:2" x14ac:dyDescent="0.2">
      <c r="B1615" s="20"/>
    </row>
    <row r="1616" spans="2:2" x14ac:dyDescent="0.2">
      <c r="B1616" s="20"/>
    </row>
    <row r="1617" spans="2:2" x14ac:dyDescent="0.2">
      <c r="B1617" s="20"/>
    </row>
    <row r="1618" spans="2:2" x14ac:dyDescent="0.2">
      <c r="B1618" s="20"/>
    </row>
    <row r="1619" spans="2:2" x14ac:dyDescent="0.2">
      <c r="B1619" s="20"/>
    </row>
    <row r="1620" spans="2:2" x14ac:dyDescent="0.2">
      <c r="B1620" s="20"/>
    </row>
    <row r="1621" spans="2:2" x14ac:dyDescent="0.2">
      <c r="B1621" s="20"/>
    </row>
    <row r="1622" spans="2:2" x14ac:dyDescent="0.2">
      <c r="B1622" s="20"/>
    </row>
    <row r="1623" spans="2:2" x14ac:dyDescent="0.2">
      <c r="B1623" s="20"/>
    </row>
    <row r="1624" spans="2:2" x14ac:dyDescent="0.2">
      <c r="B1624" s="20"/>
    </row>
    <row r="1625" spans="2:2" x14ac:dyDescent="0.2">
      <c r="B1625" s="20"/>
    </row>
    <row r="1626" spans="2:2" x14ac:dyDescent="0.2">
      <c r="B1626" s="20"/>
    </row>
    <row r="1627" spans="2:2" x14ac:dyDescent="0.2">
      <c r="B1627" s="20"/>
    </row>
    <row r="1628" spans="2:2" x14ac:dyDescent="0.2">
      <c r="B1628" s="20"/>
    </row>
    <row r="1629" spans="2:2" x14ac:dyDescent="0.2">
      <c r="B1629" s="20"/>
    </row>
    <row r="1630" spans="2:2" x14ac:dyDescent="0.2">
      <c r="B1630" s="20"/>
    </row>
    <row r="1631" spans="2:2" x14ac:dyDescent="0.2">
      <c r="B1631" s="20"/>
    </row>
    <row r="1632" spans="2:2" x14ac:dyDescent="0.2">
      <c r="B1632" s="20"/>
    </row>
    <row r="1633" spans="2:2" x14ac:dyDescent="0.2">
      <c r="B1633" s="20"/>
    </row>
    <row r="1634" spans="2:2" x14ac:dyDescent="0.2">
      <c r="B1634" s="20"/>
    </row>
    <row r="1635" spans="2:2" x14ac:dyDescent="0.2">
      <c r="B1635" s="20"/>
    </row>
    <row r="1636" spans="2:2" x14ac:dyDescent="0.2">
      <c r="B1636" s="20"/>
    </row>
    <row r="1637" spans="2:2" x14ac:dyDescent="0.2">
      <c r="B1637" s="20"/>
    </row>
    <row r="1638" spans="2:2" x14ac:dyDescent="0.2">
      <c r="B1638" s="20"/>
    </row>
    <row r="1639" spans="2:2" x14ac:dyDescent="0.2">
      <c r="B1639" s="20"/>
    </row>
    <row r="1640" spans="2:2" x14ac:dyDescent="0.2">
      <c r="B1640" s="20"/>
    </row>
    <row r="1641" spans="2:2" x14ac:dyDescent="0.2">
      <c r="B1641" s="20"/>
    </row>
    <row r="1642" spans="2:2" x14ac:dyDescent="0.2">
      <c r="B1642" s="20"/>
    </row>
    <row r="1643" spans="2:2" x14ac:dyDescent="0.2">
      <c r="B1643" s="20"/>
    </row>
    <row r="1644" spans="2:2" x14ac:dyDescent="0.2">
      <c r="B1644" s="20"/>
    </row>
    <row r="1645" spans="2:2" x14ac:dyDescent="0.2">
      <c r="B1645" s="20"/>
    </row>
    <row r="1646" spans="2:2" x14ac:dyDescent="0.2">
      <c r="B1646" s="20"/>
    </row>
    <row r="1647" spans="2:2" x14ac:dyDescent="0.2">
      <c r="B1647" s="20"/>
    </row>
    <row r="1648" spans="2:2" x14ac:dyDescent="0.2">
      <c r="B1648" s="20"/>
    </row>
    <row r="1649" spans="2:2" x14ac:dyDescent="0.2">
      <c r="B1649" s="20"/>
    </row>
    <row r="1650" spans="2:2" x14ac:dyDescent="0.2">
      <c r="B1650" s="20"/>
    </row>
    <row r="1651" spans="2:2" x14ac:dyDescent="0.2">
      <c r="B1651" s="20"/>
    </row>
    <row r="1652" spans="2:2" x14ac:dyDescent="0.2">
      <c r="B1652" s="20"/>
    </row>
    <row r="1653" spans="2:2" x14ac:dyDescent="0.2">
      <c r="B1653" s="20"/>
    </row>
    <row r="1654" spans="2:2" x14ac:dyDescent="0.2">
      <c r="B1654" s="20"/>
    </row>
    <row r="1655" spans="2:2" x14ac:dyDescent="0.2">
      <c r="B1655" s="20"/>
    </row>
    <row r="1656" spans="2:2" x14ac:dyDescent="0.2">
      <c r="B1656" s="20"/>
    </row>
    <row r="1657" spans="2:2" x14ac:dyDescent="0.2">
      <c r="B1657" s="20"/>
    </row>
    <row r="1658" spans="2:2" x14ac:dyDescent="0.2">
      <c r="B1658" s="20"/>
    </row>
    <row r="1659" spans="2:2" x14ac:dyDescent="0.2">
      <c r="B1659" s="20"/>
    </row>
    <row r="1660" spans="2:2" x14ac:dyDescent="0.2">
      <c r="B1660" s="20"/>
    </row>
    <row r="1661" spans="2:2" x14ac:dyDescent="0.2">
      <c r="B1661" s="20"/>
    </row>
    <row r="1662" spans="2:2" x14ac:dyDescent="0.2">
      <c r="B1662" s="20"/>
    </row>
    <row r="1663" spans="2:2" x14ac:dyDescent="0.2">
      <c r="B1663" s="20"/>
    </row>
    <row r="1664" spans="2:2" x14ac:dyDescent="0.2">
      <c r="B1664" s="20"/>
    </row>
    <row r="1665" spans="2:2" x14ac:dyDescent="0.2">
      <c r="B1665" s="20"/>
    </row>
    <row r="1666" spans="2:2" x14ac:dyDescent="0.2">
      <c r="B1666" s="20"/>
    </row>
  </sheetData>
  <conditionalFormatting sqref="D558:D857 H559:H1112 G757:G1112 E851:F924 D3:D451 G3:H558 D214:F249">
    <cfRule type="cellIs" dxfId="182" priority="31" stopIfTrue="1" operator="lessThan">
      <formula>0</formula>
    </cfRule>
  </conditionalFormatting>
  <conditionalFormatting sqref="D859:D877">
    <cfRule type="cellIs" dxfId="181" priority="1" stopIfTrue="1" operator="lessThan">
      <formula>0</formula>
    </cfRule>
  </conditionalFormatting>
  <conditionalFormatting sqref="D925:D1103">
    <cfRule type="cellIs" dxfId="180" priority="99" stopIfTrue="1" operator="lessThan">
      <formula>0</formula>
    </cfRule>
  </conditionalFormatting>
  <conditionalFormatting sqref="D1113:D1170">
    <cfRule type="cellIs" dxfId="179" priority="221" stopIfTrue="1" operator="lessThan">
      <formula>0</formula>
    </cfRule>
  </conditionalFormatting>
  <conditionalFormatting sqref="D299:F315">
    <cfRule type="cellIs" dxfId="178" priority="46" stopIfTrue="1" operator="lessThan">
      <formula>0</formula>
    </cfRule>
  </conditionalFormatting>
  <conditionalFormatting sqref="D452:F557">
    <cfRule type="cellIs" dxfId="177" priority="6" stopIfTrue="1" operator="lessThan">
      <formula>0</formula>
    </cfRule>
  </conditionalFormatting>
  <conditionalFormatting sqref="D1104:F1112">
    <cfRule type="cellIs" dxfId="176" priority="96" stopIfTrue="1" operator="lessThan">
      <formula>0</formula>
    </cfRule>
  </conditionalFormatting>
  <conditionalFormatting sqref="D1171:F1172">
    <cfRule type="cellIs" dxfId="175" priority="88" stopIfTrue="1" operator="lessThan">
      <formula>0</formula>
    </cfRule>
  </conditionalFormatting>
  <conditionalFormatting sqref="D1385:F1401">
    <cfRule type="cellIs" dxfId="174" priority="174" stopIfTrue="1" operator="lessThan">
      <formula>0</formula>
    </cfRule>
  </conditionalFormatting>
  <conditionalFormatting sqref="D1467:F1478">
    <cfRule type="cellIs" dxfId="173" priority="169" stopIfTrue="1" operator="lessThan">
      <formula>0</formula>
    </cfRule>
  </conditionalFormatting>
  <conditionalFormatting sqref="D1528:F1556">
    <cfRule type="cellIs" dxfId="172" priority="161" stopIfTrue="1" operator="lessThan">
      <formula>0</formula>
    </cfRule>
  </conditionalFormatting>
  <conditionalFormatting sqref="E140:F213">
    <cfRule type="cellIs" dxfId="171" priority="63" stopIfTrue="1" operator="lessThan">
      <formula>0</formula>
    </cfRule>
  </conditionalFormatting>
  <conditionalFormatting sqref="E250:F298">
    <cfRule type="cellIs" dxfId="170" priority="49" stopIfTrue="1" operator="lessThan">
      <formula>0</formula>
    </cfRule>
  </conditionalFormatting>
  <conditionalFormatting sqref="E316:F360">
    <cfRule type="cellIs" dxfId="169" priority="34" stopIfTrue="1" operator="lessThan">
      <formula>0</formula>
    </cfRule>
  </conditionalFormatting>
  <conditionalFormatting sqref="E365:F451">
    <cfRule type="cellIs" dxfId="168" priority="30" stopIfTrue="1" operator="lessThan">
      <formula>0</formula>
    </cfRule>
  </conditionalFormatting>
  <conditionalFormatting sqref="E1173:F1264 D1173:D1341">
    <cfRule type="cellIs" dxfId="167" priority="85" stopIfTrue="1" operator="lessThan">
      <formula>0</formula>
    </cfRule>
  </conditionalFormatting>
  <conditionalFormatting sqref="G559:G687">
    <cfRule type="cellIs" dxfId="166" priority="3" stopIfTrue="1" operator="lessThan">
      <formula>0</formula>
    </cfRule>
  </conditionalFormatting>
  <conditionalFormatting sqref="G1113:H1445">
    <cfRule type="cellIs" dxfId="165" priority="78" stopIfTrue="1" operator="lessThan">
      <formula>0</formula>
    </cfRule>
  </conditionalFormatting>
  <conditionalFormatting sqref="G1467:H1666">
    <cfRule type="cellIs" dxfId="164" priority="155" stopIfTrue="1" operator="lessThan">
      <formula>0</formula>
    </cfRule>
  </conditionalFormatting>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89AB-D346-4399-A7AA-588DE731F5B0}">
  <sheetPr>
    <tabColor theme="1" tint="0.39997558519241921"/>
  </sheetPr>
  <dimension ref="A1:AX310"/>
  <sheetViews>
    <sheetView workbookViewId="0">
      <selection activeCell="AK9" sqref="AK9"/>
    </sheetView>
  </sheetViews>
  <sheetFormatPr defaultRowHeight="12" x14ac:dyDescent="0.2"/>
  <cols>
    <col min="1" max="1" width="12" style="40" bestFit="1" customWidth="1"/>
    <col min="2" max="2" width="14.5703125" style="40" bestFit="1" customWidth="1"/>
    <col min="3" max="3" width="9.140625" style="105" bestFit="1" customWidth="1"/>
    <col min="4" max="4" width="6" style="40" bestFit="1" customWidth="1"/>
    <col min="5" max="5" width="6.5703125" style="40" bestFit="1" customWidth="1"/>
    <col min="6" max="6" width="19.28515625" style="40" bestFit="1" customWidth="1"/>
    <col min="7" max="7" width="14.5703125" style="40" bestFit="1" customWidth="1"/>
    <col min="8" max="9" width="11.85546875" style="40" bestFit="1" customWidth="1"/>
    <col min="10" max="10" width="6.5703125" style="40" bestFit="1" customWidth="1"/>
    <col min="11" max="11" width="43.28515625" style="40" bestFit="1" customWidth="1"/>
    <col min="12" max="12" width="19.28515625" style="40" bestFit="1" customWidth="1"/>
    <col min="13" max="13" width="9.140625" style="40"/>
    <col min="14" max="14" width="2.42578125" style="40" customWidth="1"/>
    <col min="15" max="15" width="16.140625" style="40" customWidth="1"/>
    <col min="16" max="16" width="40.42578125" style="40" bestFit="1" customWidth="1"/>
    <col min="17" max="17" width="9.140625" style="40"/>
    <col min="18" max="18" width="12" style="40" bestFit="1" customWidth="1"/>
    <col min="19" max="19" width="19.28515625" style="40" bestFit="1" customWidth="1"/>
    <col min="20" max="20" width="9.140625" style="40"/>
    <col min="21" max="21" width="3.140625" style="40" customWidth="1"/>
    <col min="22" max="22" width="15.140625" style="40" customWidth="1"/>
    <col min="23" max="23" width="10" style="40" bestFit="1" customWidth="1"/>
    <col min="24" max="24" width="25" style="40" bestFit="1" customWidth="1"/>
    <col min="25" max="25" width="9.140625" style="40"/>
    <col min="26" max="26" width="8.7109375" style="40" customWidth="1"/>
    <col min="27" max="30" width="7.140625" style="40" customWidth="1"/>
    <col min="31" max="31" width="9.140625" style="40"/>
    <col min="32" max="32" width="11.28515625" style="40" bestFit="1" customWidth="1"/>
    <col min="33" max="44" width="15" style="40" customWidth="1"/>
    <col min="45" max="45" width="9.140625" style="40"/>
    <col min="46" max="46" width="10.5703125" style="40" customWidth="1"/>
    <col min="47" max="47" width="15.140625" style="40" customWidth="1"/>
    <col min="48" max="48" width="14.5703125" style="40" customWidth="1"/>
    <col min="49" max="49" width="8" style="40" customWidth="1"/>
    <col min="50" max="16384" width="9.140625" style="40"/>
  </cols>
  <sheetData>
    <row r="1" spans="1:50" s="93" customFormat="1" ht="18.75" x14ac:dyDescent="0.3">
      <c r="A1" s="91" t="s">
        <v>147</v>
      </c>
      <c r="B1" s="91"/>
      <c r="C1" s="92"/>
      <c r="D1" s="91"/>
      <c r="F1" s="91" t="s">
        <v>149</v>
      </c>
      <c r="G1" s="91"/>
      <c r="H1" s="92"/>
      <c r="I1" s="91"/>
      <c r="K1" s="91" t="s">
        <v>151</v>
      </c>
      <c r="L1" s="91"/>
      <c r="N1" s="91" t="s">
        <v>156</v>
      </c>
      <c r="O1" s="91"/>
      <c r="P1" s="91"/>
      <c r="R1" s="91" t="s">
        <v>151</v>
      </c>
      <c r="S1" s="91"/>
      <c r="U1" s="91" t="s">
        <v>157</v>
      </c>
      <c r="V1" s="91"/>
      <c r="W1" s="91"/>
      <c r="X1" s="91"/>
      <c r="Z1" s="91" t="s">
        <v>589</v>
      </c>
      <c r="AA1" s="91"/>
      <c r="AB1" s="91"/>
      <c r="AC1" s="91"/>
      <c r="AD1" s="91"/>
      <c r="AF1" s="91" t="s">
        <v>1429</v>
      </c>
      <c r="AG1" s="91"/>
      <c r="AH1" s="91"/>
      <c r="AI1" s="91"/>
      <c r="AJ1" s="91"/>
      <c r="AK1" s="91"/>
      <c r="AL1" s="91"/>
      <c r="AM1" s="91"/>
      <c r="AN1" s="91"/>
      <c r="AO1" s="91"/>
      <c r="AP1" s="91"/>
      <c r="AQ1" s="91"/>
      <c r="AR1" s="91"/>
      <c r="AT1" s="91" t="s">
        <v>590</v>
      </c>
      <c r="AU1" s="91"/>
      <c r="AV1" s="93" t="s">
        <v>592</v>
      </c>
      <c r="AW1" s="93" t="s">
        <v>593</v>
      </c>
      <c r="AX1" s="93" t="s">
        <v>594</v>
      </c>
    </row>
    <row r="2" spans="1:50" ht="15" x14ac:dyDescent="0.25">
      <c r="A2" s="94" t="s">
        <v>139</v>
      </c>
      <c r="B2" s="94" t="s">
        <v>141</v>
      </c>
      <c r="C2" s="95"/>
      <c r="D2" s="95"/>
      <c r="E2" s="108"/>
      <c r="F2" s="94" t="s">
        <v>148</v>
      </c>
      <c r="G2" s="94" t="s">
        <v>141</v>
      </c>
      <c r="H2" s="95"/>
      <c r="I2" s="95"/>
      <c r="J2" s="108"/>
      <c r="K2" s="94" t="s">
        <v>72</v>
      </c>
      <c r="L2" s="95" t="s">
        <v>148</v>
      </c>
      <c r="N2" s="96" t="s">
        <v>145</v>
      </c>
      <c r="O2" s="96" t="s">
        <v>152</v>
      </c>
      <c r="P2" s="96" t="s">
        <v>150</v>
      </c>
      <c r="R2" s="94" t="s">
        <v>72</v>
      </c>
      <c r="S2" s="95" t="s">
        <v>148</v>
      </c>
      <c r="U2" s="96" t="s">
        <v>145</v>
      </c>
      <c r="V2" s="96" t="s">
        <v>152</v>
      </c>
      <c r="W2" s="96" t="s">
        <v>314</v>
      </c>
      <c r="X2" s="96" t="s">
        <v>158</v>
      </c>
      <c r="Z2" s="96" t="s">
        <v>591</v>
      </c>
      <c r="AA2" s="96" t="s">
        <v>155</v>
      </c>
      <c r="AB2" s="96" t="s">
        <v>153</v>
      </c>
      <c r="AC2" s="96" t="s">
        <v>154</v>
      </c>
      <c r="AD2" s="96"/>
      <c r="AF2" s="96"/>
      <c r="AG2" s="97" t="s">
        <v>596</v>
      </c>
      <c r="AH2" s="97" t="s">
        <v>593</v>
      </c>
      <c r="AI2" s="97"/>
      <c r="AJ2" s="97"/>
      <c r="AK2" s="98" t="s">
        <v>596</v>
      </c>
      <c r="AL2" s="98" t="s">
        <v>593</v>
      </c>
      <c r="AM2" s="98"/>
      <c r="AN2" s="98"/>
      <c r="AO2" s="99" t="s">
        <v>596</v>
      </c>
      <c r="AP2" s="99" t="s">
        <v>593</v>
      </c>
      <c r="AQ2" s="99"/>
      <c r="AR2" s="99"/>
      <c r="AT2" s="40" t="s">
        <v>155</v>
      </c>
      <c r="AU2" s="100">
        <f>SUMIF('All Invoices'!I:I,'Tables and Pivots'!AT2,'All Invoices'!J:J)</f>
        <v>2119859.709999999</v>
      </c>
      <c r="AV2" s="100">
        <f>SUMIF('All Invoices'!I:I,'Tables and Pivots'!AT2,'All Invoices'!G:G)</f>
        <v>7787656.299999997</v>
      </c>
      <c r="AW2" s="101">
        <f>AU2/AV2</f>
        <v>0.27220766150144554</v>
      </c>
      <c r="AX2" s="101">
        <f>1-AW2</f>
        <v>0.72779233849855451</v>
      </c>
    </row>
    <row r="3" spans="1:50" ht="15" x14ac:dyDescent="0.25">
      <c r="A3" s="94" t="s">
        <v>72</v>
      </c>
      <c r="B3" s="95" t="s">
        <v>154</v>
      </c>
      <c r="C3" s="95" t="s">
        <v>153</v>
      </c>
      <c r="D3" s="95" t="s">
        <v>155</v>
      </c>
      <c r="E3" s="108"/>
      <c r="F3" s="94" t="s">
        <v>72</v>
      </c>
      <c r="G3" s="95" t="s">
        <v>154</v>
      </c>
      <c r="H3" s="95" t="s">
        <v>153</v>
      </c>
      <c r="I3" s="95" t="s">
        <v>155</v>
      </c>
      <c r="J3" s="108"/>
      <c r="K3" s="102" t="s">
        <v>1518</v>
      </c>
      <c r="L3" s="103">
        <v>68744.479999999996</v>
      </c>
      <c r="N3" s="40">
        <v>1</v>
      </c>
      <c r="O3" s="100">
        <f>LARGE(L$3:L$1048576,ROW(O3)-ROW(O$2))</f>
        <v>1080000</v>
      </c>
      <c r="P3" s="40" t="str">
        <f>_xlfn.XLOOKUP(O3,L:L,K:K)</f>
        <v>Parker-Hannifin Corporation</v>
      </c>
      <c r="R3" s="102" t="s">
        <v>83</v>
      </c>
      <c r="S3" s="103">
        <v>54285</v>
      </c>
      <c r="U3" s="40">
        <v>1</v>
      </c>
      <c r="V3" s="100">
        <f>LARGE(S$3:S$1048576,ROW(V3)-ROW(V$2))</f>
        <v>1080000</v>
      </c>
      <c r="W3" s="40" t="str">
        <f>_xlfn.XLOOKUP(V3,S:S,R:R)</f>
        <v>H7</v>
      </c>
      <c r="X3" s="40" t="str">
        <f>_xlfn.XLOOKUP(W3,Depts!A:A,Depts!B:B)</f>
        <v>OCDEM</v>
      </c>
      <c r="Z3" s="104">
        <v>45870</v>
      </c>
      <c r="AA3" s="95">
        <f>COUNTIFS(Table1[Month],'Tables and Pivots'!$Z3,Table1[Type],'Tables and Pivots'!AA$2)</f>
        <v>0</v>
      </c>
      <c r="AB3" s="95">
        <f>COUNTIFS(Table1[Month],'Tables and Pivots'!$Z3,Table1[Type],'Tables and Pivots'!AB$2)</f>
        <v>10</v>
      </c>
      <c r="AC3" s="95">
        <f>COUNTIFS(Table1[Month],'Tables and Pivots'!$Z3,Table1[Type],'Tables and Pivots'!AC$2)</f>
        <v>1</v>
      </c>
      <c r="AD3" s="95"/>
      <c r="AF3" s="96" t="s">
        <v>591</v>
      </c>
      <c r="AG3" s="97" t="s">
        <v>155</v>
      </c>
      <c r="AH3" s="97" t="s">
        <v>155</v>
      </c>
      <c r="AI3" s="97" t="s">
        <v>594</v>
      </c>
      <c r="AJ3" s="97" t="s">
        <v>593</v>
      </c>
      <c r="AK3" s="98" t="s">
        <v>153</v>
      </c>
      <c r="AL3" s="98" t="s">
        <v>153</v>
      </c>
      <c r="AM3" s="98" t="s">
        <v>594</v>
      </c>
      <c r="AN3" s="98" t="s">
        <v>593</v>
      </c>
      <c r="AO3" s="99" t="s">
        <v>154</v>
      </c>
      <c r="AP3" s="99" t="s">
        <v>154</v>
      </c>
      <c r="AQ3" s="99" t="s">
        <v>594</v>
      </c>
      <c r="AR3" s="99" t="s">
        <v>593</v>
      </c>
      <c r="AT3" s="40" t="s">
        <v>153</v>
      </c>
      <c r="AU3" s="100">
        <f>SUMIF('All Invoices'!I:I,'Tables and Pivots'!AT3,'All Invoices'!J:J)</f>
        <v>4869509.03</v>
      </c>
      <c r="AV3" s="100">
        <f>SUMIF('All Invoices'!I:I,'Tables and Pivots'!AT3,'All Invoices'!G:G)</f>
        <v>16340215.199999999</v>
      </c>
      <c r="AW3" s="101">
        <f t="shared" ref="AW3:AW4" si="0">AU3/AV3</f>
        <v>0.29800764374266014</v>
      </c>
      <c r="AX3" s="101">
        <f t="shared" ref="AX3:AX4" si="1">1-AW3</f>
        <v>0.7019923562573398</v>
      </c>
    </row>
    <row r="4" spans="1:50" ht="15" x14ac:dyDescent="0.25">
      <c r="A4" s="102" t="s">
        <v>73</v>
      </c>
      <c r="B4" s="120"/>
      <c r="C4" s="120">
        <v>3</v>
      </c>
      <c r="D4" s="120"/>
      <c r="E4" s="108"/>
      <c r="F4" s="102" t="s">
        <v>73</v>
      </c>
      <c r="G4" s="103"/>
      <c r="H4" s="103">
        <v>253814.88</v>
      </c>
      <c r="I4" s="103"/>
      <c r="J4" s="108"/>
      <c r="K4" s="102" t="s">
        <v>17</v>
      </c>
      <c r="L4" s="103">
        <v>123789.34</v>
      </c>
      <c r="N4" s="40">
        <v>2</v>
      </c>
      <c r="O4" s="100">
        <f t="shared" ref="O4:O7" si="2">LARGE(L$3:L$1048576,ROW(O4)-ROW(O$2))</f>
        <v>590097.62</v>
      </c>
      <c r="P4" s="40" t="str">
        <f t="shared" ref="P4:P7" si="3">_xlfn.SINGLE(_xlfn.XLOOKUP(O4,L:L,K:K))</f>
        <v>ModernaTX INC</v>
      </c>
      <c r="R4" s="102" t="s">
        <v>89</v>
      </c>
      <c r="S4" s="103">
        <v>68412.34</v>
      </c>
      <c r="U4" s="40">
        <v>2</v>
      </c>
      <c r="V4" s="100">
        <f t="shared" ref="V4:V7" si="4">LARGE(S$3:S$1048576,ROW(V4)-ROW(V$2))</f>
        <v>590097.62</v>
      </c>
      <c r="W4" s="40" t="str">
        <f t="shared" ref="W4:W7" si="5">_xlfn.SINGLE(_xlfn.XLOOKUP(V4,S:S,R:R))</f>
        <v>BZ</v>
      </c>
      <c r="X4" s="40" t="str">
        <f>_xlfn.XLOOKUP(W4,Depts!A:A,Depts!B:B)</f>
        <v>Primary Care Health Sciences</v>
      </c>
      <c r="Z4" s="104">
        <v>45901</v>
      </c>
      <c r="AA4" s="95">
        <f>COUNTIFS(Table1[Month],'Tables and Pivots'!$Z4,Table1[Type],'Tables and Pivots'!AA$2)</f>
        <v>55</v>
      </c>
      <c r="AB4" s="95">
        <f>COUNTIFS(Table1[Month],'Tables and Pivots'!$Z4,Table1[Type],'Tables and Pivots'!AB$2)</f>
        <v>18</v>
      </c>
      <c r="AC4" s="95">
        <f>COUNTIFS(Table1[Month],'Tables and Pivots'!$Z4,Table1[Type],'Tables and Pivots'!AC$2)</f>
        <v>11</v>
      </c>
      <c r="AD4" s="95"/>
      <c r="AF4" s="104">
        <v>45870</v>
      </c>
      <c r="AG4" s="105">
        <f>SUMIFS(Table1[Invoice Amount],Table1[Month],'Tables and Pivots'!AF4,Table1[Type],'Tables and Pivots'!$AG$3)</f>
        <v>0</v>
      </c>
      <c r="AH4" s="105">
        <f>SUMIFS(Table1[Outstanding],Table1[Month],'Tables and Pivots'!AF4,Table1[Type],'Tables and Pivots'!$AH$3)</f>
        <v>0</v>
      </c>
      <c r="AI4" s="101" t="e">
        <f>SUM(AG4-AH4)/AG4</f>
        <v>#DIV/0!</v>
      </c>
      <c r="AJ4" s="101" t="e">
        <f>AH4/AG4</f>
        <v>#DIV/0!</v>
      </c>
      <c r="AK4" s="105">
        <f>SUMIFS(Table1[Invoice Amount],Table1[Month],'Tables and Pivots'!AF4,Table1[Type],'Tables and Pivots'!$AK$3)</f>
        <v>904809.12</v>
      </c>
      <c r="AL4" s="105">
        <f>SUMIFS(Table1[Outstanding],Table1[Month],'Tables and Pivots'!AF4,Table1[Type],'Tables and Pivots'!$AL$3)</f>
        <v>0</v>
      </c>
      <c r="AM4" s="101">
        <f>SUM(AK4-AL4)/AK4</f>
        <v>1</v>
      </c>
      <c r="AN4" s="101">
        <f>AL4/AK4</f>
        <v>0</v>
      </c>
      <c r="AO4" s="105">
        <f>SUMIFS(Table1[Invoice Amount],Table1[Month],'Tables and Pivots'!AF4,Table1[Type],'Tables and Pivots'!$AO$3)</f>
        <v>1080000</v>
      </c>
      <c r="AP4" s="105">
        <f>SUMIFS(Table1[Outstanding],Table1[Month],'Tables and Pivots'!AF4,Table1[Type],'Tables and Pivots'!$AP$3)</f>
        <v>0</v>
      </c>
      <c r="AQ4" s="101">
        <f>SUM(AO4-AP4)/AO4</f>
        <v>1</v>
      </c>
      <c r="AR4" s="101">
        <f>AP4/AO4</f>
        <v>0</v>
      </c>
      <c r="AT4" s="40" t="s">
        <v>154</v>
      </c>
      <c r="AU4" s="100">
        <f>SUMIF('All Invoices'!I:I,'Tables and Pivots'!AT4,'All Invoices'!J:J)</f>
        <v>829829.71</v>
      </c>
      <c r="AV4" s="100">
        <f>SUMIF('All Invoices'!I:I,'Tables and Pivots'!AT4,'All Invoices'!G:G)</f>
        <v>2958243.6799999997</v>
      </c>
      <c r="AW4" s="101">
        <f t="shared" si="0"/>
        <v>0.28051431854998504</v>
      </c>
      <c r="AX4" s="101">
        <f t="shared" si="1"/>
        <v>0.71948568145001501</v>
      </c>
    </row>
    <row r="5" spans="1:50" ht="15" x14ac:dyDescent="0.25">
      <c r="A5" s="102" t="s">
        <v>74</v>
      </c>
      <c r="B5" s="120"/>
      <c r="C5" s="120"/>
      <c r="D5" s="120">
        <v>2</v>
      </c>
      <c r="E5" s="108"/>
      <c r="F5" s="102" t="s">
        <v>74</v>
      </c>
      <c r="G5" s="103"/>
      <c r="H5" s="103"/>
      <c r="I5" s="103">
        <v>19373.349999999999</v>
      </c>
      <c r="J5" s="108"/>
      <c r="K5" s="102" t="s">
        <v>58</v>
      </c>
      <c r="L5" s="103">
        <v>5000</v>
      </c>
      <c r="N5" s="40">
        <v>3</v>
      </c>
      <c r="O5" s="100">
        <f t="shared" si="2"/>
        <v>276836</v>
      </c>
      <c r="P5" s="40" t="str">
        <f t="shared" si="3"/>
        <v>Marley Health Ltd</v>
      </c>
      <c r="R5" s="102" t="s">
        <v>91</v>
      </c>
      <c r="S5" s="103">
        <v>244983.81</v>
      </c>
      <c r="U5" s="40">
        <v>3</v>
      </c>
      <c r="V5" s="100">
        <f t="shared" si="4"/>
        <v>464748</v>
      </c>
      <c r="W5" s="40" t="str">
        <f t="shared" si="5"/>
        <v>DF</v>
      </c>
      <c r="X5" s="40" t="str">
        <f>_xlfn.XLOOKUP(W5,Depts!A:A,Depts!B:B)</f>
        <v>Engineering Science</v>
      </c>
      <c r="Z5" s="104">
        <v>45931</v>
      </c>
      <c r="AA5" s="95">
        <f>COUNTIFS(Table1[Month],'Tables and Pivots'!$Z5,Table1[Type],'Tables and Pivots'!AA$2)</f>
        <v>56</v>
      </c>
      <c r="AB5" s="95">
        <f>COUNTIFS(Table1[Month],'Tables and Pivots'!$Z5,Table1[Type],'Tables and Pivots'!AB$2)</f>
        <v>23</v>
      </c>
      <c r="AC5" s="95">
        <f>COUNTIFS(Table1[Month],'Tables and Pivots'!$Z5,Table1[Type],'Tables and Pivots'!AC$2)</f>
        <v>5</v>
      </c>
      <c r="AD5" s="95"/>
      <c r="AF5" s="104">
        <v>45901</v>
      </c>
      <c r="AG5" s="105">
        <f>SUMIFS(Table1[Invoice Amount],Table1[Month],'Tables and Pivots'!AF5,Table1[Type],'Tables and Pivots'!$AG$3)</f>
        <v>1594389.1300000006</v>
      </c>
      <c r="AH5" s="105">
        <f>SUMIFS(Table1[Outstanding],Table1[Month],'Tables and Pivots'!AF5,Table1[Type],'Tables and Pivots'!$AH$3)</f>
        <v>59976.34</v>
      </c>
      <c r="AI5" s="101">
        <f t="shared" ref="AI5:AI15" si="6">SUM(AG5-AH5)/AG5</f>
        <v>0.96238287199060368</v>
      </c>
      <c r="AJ5" s="101">
        <f t="shared" ref="AJ5:AJ15" si="7">AH5/AG5</f>
        <v>3.7617128009396282E-2</v>
      </c>
      <c r="AK5" s="105">
        <f>SUMIFS(Table1[Invoice Amount],Table1[Month],'Tables and Pivots'!AF5,Table1[Type],'Tables and Pivots'!$AK$3)</f>
        <v>1032179.87</v>
      </c>
      <c r="AL5" s="105">
        <f>SUMIFS(Table1[Outstanding],Table1[Month],'Tables and Pivots'!AF5,Table1[Type],'Tables and Pivots'!$AL$3)</f>
        <v>0</v>
      </c>
      <c r="AM5" s="101">
        <f t="shared" ref="AM5:AM15" si="8">SUM(AK5-AL5)/AK5</f>
        <v>1</v>
      </c>
      <c r="AN5" s="101">
        <f t="shared" ref="AN5:AN15" si="9">AL5/AK5</f>
        <v>0</v>
      </c>
      <c r="AO5" s="105">
        <f>SUMIFS(Table1[Invoice Amount],Table1[Month],'Tables and Pivots'!AF5,Table1[Type],'Tables and Pivots'!$AO$3)</f>
        <v>1033802.89</v>
      </c>
      <c r="AP5" s="105">
        <f>SUMIFS(Table1[Outstanding],Table1[Month],'Tables and Pivots'!AF5,Table1[Type],'Tables and Pivots'!$AP$3)</f>
        <v>751986.96</v>
      </c>
      <c r="AQ5" s="101">
        <f t="shared" ref="AQ5:AQ15" si="10">SUM(AO5-AP5)/AO5</f>
        <v>0.2726012209155268</v>
      </c>
      <c r="AR5" s="101">
        <f t="shared" ref="AR5:AR15" si="11">AP5/AO5</f>
        <v>0.72739877908447326</v>
      </c>
      <c r="AU5" s="106">
        <f>SUM(AU2:AU4)</f>
        <v>7819198.4499999993</v>
      </c>
      <c r="AW5" s="107">
        <f>AVERAGE(AW2:AW4)</f>
        <v>0.28357654126469689</v>
      </c>
    </row>
    <row r="6" spans="1:50" ht="15" x14ac:dyDescent="0.25">
      <c r="A6" s="102" t="s">
        <v>75</v>
      </c>
      <c r="B6" s="120"/>
      <c r="C6" s="120"/>
      <c r="D6" s="120">
        <v>3</v>
      </c>
      <c r="E6" s="108"/>
      <c r="F6" s="102" t="s">
        <v>75</v>
      </c>
      <c r="G6" s="103"/>
      <c r="H6" s="103"/>
      <c r="I6" s="103">
        <v>82432.850000000006</v>
      </c>
      <c r="J6" s="108"/>
      <c r="K6" s="102" t="s">
        <v>957</v>
      </c>
      <c r="L6" s="103">
        <v>82887.520000000004</v>
      </c>
      <c r="N6" s="40">
        <v>4</v>
      </c>
      <c r="O6" s="100">
        <f t="shared" si="2"/>
        <v>244983.81</v>
      </c>
      <c r="P6" s="40" t="str">
        <f t="shared" si="3"/>
        <v>LifeArc</v>
      </c>
      <c r="R6" s="102" t="s">
        <v>93</v>
      </c>
      <c r="S6" s="103">
        <v>590097.62</v>
      </c>
      <c r="U6" s="40">
        <v>4</v>
      </c>
      <c r="V6" s="100">
        <f t="shared" si="4"/>
        <v>244983.81</v>
      </c>
      <c r="W6" s="40" t="str">
        <f t="shared" si="5"/>
        <v>BW</v>
      </c>
      <c r="X6" s="40" t="str">
        <f>_xlfn.XLOOKUP(W6,Depts!A:A,Depts!B:B)</f>
        <v>Pharmacology</v>
      </c>
      <c r="Z6" s="104">
        <v>45962</v>
      </c>
      <c r="AA6" s="95">
        <f>COUNTIFS(Table1[Month],'Tables and Pivots'!$Z6,Table1[Type],'Tables and Pivots'!AA$2)</f>
        <v>32</v>
      </c>
      <c r="AB6" s="95">
        <f>COUNTIFS(Table1[Month],'Tables and Pivots'!$Z6,Table1[Type],'Tables and Pivots'!AB$2)</f>
        <v>10</v>
      </c>
      <c r="AC6" s="95">
        <f>COUNTIFS(Table1[Month],'Tables and Pivots'!$Z6,Table1[Type],'Tables and Pivots'!AC$2)</f>
        <v>0</v>
      </c>
      <c r="AD6" s="95"/>
      <c r="AF6" s="104">
        <v>45931</v>
      </c>
      <c r="AG6" s="105">
        <f>SUMIFS(Table1[Invoice Amount],Table1[Month],'Tables and Pivots'!AF6,Table1[Type],'Tables and Pivots'!$AG$3)</f>
        <v>1815639.1300000004</v>
      </c>
      <c r="AH6" s="105">
        <f>SUMIFS(Table1[Outstanding],Table1[Month],'Tables and Pivots'!AF6,Table1[Type],'Tables and Pivots'!$AH$3)</f>
        <v>74874.409999999989</v>
      </c>
      <c r="AI6" s="101">
        <f t="shared" si="6"/>
        <v>0.9587614032090177</v>
      </c>
      <c r="AJ6" s="101">
        <f t="shared" si="7"/>
        <v>4.1238596790982344E-2</v>
      </c>
      <c r="AK6" s="105">
        <f>SUMIFS(Table1[Invoice Amount],Table1[Month],'Tables and Pivots'!AF6,Table1[Type],'Tables and Pivots'!$AK$3)</f>
        <v>4236096.3599999994</v>
      </c>
      <c r="AL6" s="105">
        <f>SUMIFS(Table1[Outstanding],Table1[Month],'Tables and Pivots'!AF6,Table1[Type],'Tables and Pivots'!$AL$3)</f>
        <v>15867.1</v>
      </c>
      <c r="AM6" s="101">
        <f t="shared" si="8"/>
        <v>0.99625431089107719</v>
      </c>
      <c r="AN6" s="101">
        <f t="shared" si="9"/>
        <v>3.7456891089229149E-3</v>
      </c>
      <c r="AO6" s="105">
        <f>SUMIFS(Table1[Invoice Amount],Table1[Month],'Tables and Pivots'!AF6,Table1[Type],'Tables and Pivots'!$AO$3)</f>
        <v>383196.23000000004</v>
      </c>
      <c r="AP6" s="105">
        <f>SUMIFS(Table1[Outstanding],Table1[Month],'Tables and Pivots'!AF6,Table1[Type],'Tables and Pivots'!$AP$3)</f>
        <v>0</v>
      </c>
      <c r="AQ6" s="101">
        <f t="shared" si="10"/>
        <v>1</v>
      </c>
      <c r="AR6" s="101">
        <f t="shared" si="11"/>
        <v>0</v>
      </c>
    </row>
    <row r="7" spans="1:50" ht="15" x14ac:dyDescent="0.25">
      <c r="A7" s="102" t="s">
        <v>76</v>
      </c>
      <c r="B7" s="120"/>
      <c r="C7" s="120">
        <v>3</v>
      </c>
      <c r="D7" s="120"/>
      <c r="E7" s="108"/>
      <c r="F7" s="102" t="s">
        <v>76</v>
      </c>
      <c r="G7" s="103"/>
      <c r="H7" s="103">
        <v>231347.22</v>
      </c>
      <c r="I7" s="103"/>
      <c r="J7" s="108"/>
      <c r="K7" s="102" t="s">
        <v>3765</v>
      </c>
      <c r="L7" s="103">
        <v>54285</v>
      </c>
      <c r="N7" s="40">
        <v>5</v>
      </c>
      <c r="O7" s="100">
        <f t="shared" si="2"/>
        <v>123789.34</v>
      </c>
      <c r="P7" s="40" t="str">
        <f t="shared" si="3"/>
        <v>Celgene Corporation</v>
      </c>
      <c r="R7" s="102" t="s">
        <v>102</v>
      </c>
      <c r="S7" s="103">
        <v>29739.4</v>
      </c>
      <c r="U7" s="40">
        <v>5</v>
      </c>
      <c r="V7" s="100">
        <f t="shared" si="4"/>
        <v>133801.85</v>
      </c>
      <c r="W7" s="40" t="str">
        <f t="shared" si="5"/>
        <v>CB</v>
      </c>
      <c r="X7" s="40" t="str">
        <f>_xlfn.XLOOKUP(W7,Depts!A:A,Depts!B:B)</f>
        <v>Biology</v>
      </c>
      <c r="Z7" s="104">
        <v>45992</v>
      </c>
      <c r="AA7" s="95">
        <f>COUNTIFS(Table1[Month],'Tables and Pivots'!$Z7,Table1[Type],'Tables and Pivots'!AA$2)</f>
        <v>32</v>
      </c>
      <c r="AB7" s="95">
        <f>COUNTIFS(Table1[Month],'Tables and Pivots'!$Z7,Table1[Type],'Tables and Pivots'!AB$2)</f>
        <v>7</v>
      </c>
      <c r="AC7" s="95">
        <f>COUNTIFS(Table1[Month],'Tables and Pivots'!$Z7,Table1[Type],'Tables and Pivots'!AC$2)</f>
        <v>0</v>
      </c>
      <c r="AD7" s="95"/>
      <c r="AF7" s="104">
        <v>45962</v>
      </c>
      <c r="AG7" s="105">
        <f>SUMIFS(Table1[Invoice Amount],Table1[Month],'Tables and Pivots'!AF7,Table1[Type],'Tables and Pivots'!$AG$3)</f>
        <v>627656.46000000008</v>
      </c>
      <c r="AH7" s="105">
        <f>SUMIFS(Table1[Outstanding],Table1[Month],'Tables and Pivots'!AF7,Table1[Type],'Tables and Pivots'!$AH$3)</f>
        <v>194162.7</v>
      </c>
      <c r="AI7" s="101">
        <f t="shared" si="6"/>
        <v>0.6906545023052898</v>
      </c>
      <c r="AJ7" s="101">
        <f t="shared" si="7"/>
        <v>0.30934549769471026</v>
      </c>
      <c r="AK7" s="105">
        <f>SUMIFS(Table1[Invoice Amount],Table1[Month],'Tables and Pivots'!AF7,Table1[Type],'Tables and Pivots'!$AK$3)</f>
        <v>1855885.9200000002</v>
      </c>
      <c r="AL7" s="105">
        <f>SUMIFS(Table1[Outstanding],Table1[Month],'Tables and Pivots'!AF7,Table1[Type],'Tables and Pivots'!$AL$3)</f>
        <v>0</v>
      </c>
      <c r="AM7" s="101">
        <f t="shared" si="8"/>
        <v>1</v>
      </c>
      <c r="AN7" s="101">
        <f t="shared" si="9"/>
        <v>0</v>
      </c>
      <c r="AO7" s="105">
        <f>SUMIFS(Table1[Invoice Amount],Table1[Month],'Tables and Pivots'!AF7,Table1[Type],'Tables and Pivots'!$AO$3)</f>
        <v>0</v>
      </c>
      <c r="AP7" s="105">
        <f>SUMIFS(Table1[Outstanding],Table1[Month],'Tables and Pivots'!AF7,Table1[Type],'Tables and Pivots'!$AP$3)</f>
        <v>0</v>
      </c>
      <c r="AQ7" s="101" t="e">
        <f t="shared" si="10"/>
        <v>#DIV/0!</v>
      </c>
      <c r="AR7" s="101" t="e">
        <f t="shared" si="11"/>
        <v>#DIV/0!</v>
      </c>
    </row>
    <row r="8" spans="1:50" ht="15" x14ac:dyDescent="0.25">
      <c r="A8" s="102" t="s">
        <v>77</v>
      </c>
      <c r="B8" s="120"/>
      <c r="C8" s="120"/>
      <c r="D8" s="120">
        <v>7</v>
      </c>
      <c r="E8" s="108"/>
      <c r="F8" s="102" t="s">
        <v>77</v>
      </c>
      <c r="G8" s="103"/>
      <c r="H8" s="103"/>
      <c r="I8" s="103">
        <v>460100.38</v>
      </c>
      <c r="J8" s="108"/>
      <c r="K8" s="102" t="s">
        <v>26</v>
      </c>
      <c r="L8" s="103">
        <v>103201.85</v>
      </c>
      <c r="R8" s="102" t="s">
        <v>106</v>
      </c>
      <c r="S8" s="103">
        <v>464748</v>
      </c>
      <c r="Z8" s="104">
        <v>46023</v>
      </c>
      <c r="AA8" s="95">
        <f>COUNTIFS(Table1[Month],'Tables and Pivots'!$Z8,Table1[Type],'Tables and Pivots'!AA$2)</f>
        <v>65</v>
      </c>
      <c r="AB8" s="95">
        <f>COUNTIFS(Table1[Month],'Tables and Pivots'!$Z8,Table1[Type],'Tables and Pivots'!AB$2)</f>
        <v>31</v>
      </c>
      <c r="AC8" s="95">
        <f>COUNTIFS(Table1[Month],'Tables and Pivots'!$Z8,Table1[Type],'Tables and Pivots'!AC$2)</f>
        <v>3</v>
      </c>
      <c r="AD8" s="95"/>
      <c r="AF8" s="104">
        <v>45992</v>
      </c>
      <c r="AG8" s="105">
        <f>SUMIFS(Table1[Invoice Amount],Table1[Month],'Tables and Pivots'!AF8,Table1[Type],'Tables and Pivots'!$AG$3)</f>
        <v>621094.44999999995</v>
      </c>
      <c r="AH8" s="105">
        <f>SUMIFS(Table1[Outstanding],Table1[Month],'Tables and Pivots'!AF8,Table1[Type],'Tables and Pivots'!$AH$3)</f>
        <v>134752.77000000002</v>
      </c>
      <c r="AI8" s="101">
        <f t="shared" si="6"/>
        <v>0.78303980980670485</v>
      </c>
      <c r="AJ8" s="101">
        <f t="shared" si="7"/>
        <v>0.21696019019329513</v>
      </c>
      <c r="AK8" s="105">
        <f>SUMIFS(Table1[Invoice Amount],Table1[Month],'Tables and Pivots'!AF8,Table1[Type],'Tables and Pivots'!$AK$3)</f>
        <v>379263.78</v>
      </c>
      <c r="AL8" s="105">
        <f>SUMIFS(Table1[Outstanding],Table1[Month],'Tables and Pivots'!AF8,Table1[Type],'Tables and Pivots'!$AL$3)</f>
        <v>22817.170000000002</v>
      </c>
      <c r="AM8" s="101">
        <f t="shared" si="8"/>
        <v>0.93983825716233704</v>
      </c>
      <c r="AN8" s="101">
        <f t="shared" si="9"/>
        <v>6.0161742837663013E-2</v>
      </c>
      <c r="AO8" s="105">
        <f>SUMIFS(Table1[Invoice Amount],Table1[Month],'Tables and Pivots'!AF8,Table1[Type],'Tables and Pivots'!$AO$3)</f>
        <v>0</v>
      </c>
      <c r="AP8" s="105">
        <f>SUMIFS(Table1[Outstanding],Table1[Month],'Tables and Pivots'!AF8,Table1[Type],'Tables and Pivots'!$AP$3)</f>
        <v>0</v>
      </c>
      <c r="AQ8" s="101" t="e">
        <f t="shared" si="10"/>
        <v>#DIV/0!</v>
      </c>
      <c r="AR8" s="101" t="e">
        <f t="shared" si="11"/>
        <v>#DIV/0!</v>
      </c>
    </row>
    <row r="9" spans="1:50" ht="15" x14ac:dyDescent="0.25">
      <c r="A9" s="102" t="s">
        <v>78</v>
      </c>
      <c r="B9" s="120"/>
      <c r="C9" s="120">
        <v>2</v>
      </c>
      <c r="D9" s="120"/>
      <c r="E9" s="108"/>
      <c r="F9" s="102" t="s">
        <v>78</v>
      </c>
      <c r="G9" s="103"/>
      <c r="H9" s="103">
        <v>435715.12</v>
      </c>
      <c r="I9" s="103"/>
      <c r="J9" s="108"/>
      <c r="K9" s="102" t="s">
        <v>815</v>
      </c>
      <c r="L9" s="103">
        <v>11162.75</v>
      </c>
      <c r="R9" s="102" t="s">
        <v>117</v>
      </c>
      <c r="S9" s="103">
        <v>16930.77</v>
      </c>
      <c r="Z9" s="104">
        <v>46054</v>
      </c>
      <c r="AA9" s="95">
        <f>COUNTIFS(Table1[Month],'Tables and Pivots'!$Z9,Table1[Type],'Tables and Pivots'!AA$2)</f>
        <v>24</v>
      </c>
      <c r="AB9" s="95">
        <f>COUNTIFS(Table1[Month],'Tables and Pivots'!$Z9,Table1[Type],'Tables and Pivots'!AB$2)</f>
        <v>12</v>
      </c>
      <c r="AC9" s="95">
        <f>COUNTIFS(Table1[Month],'Tables and Pivots'!$Z9,Table1[Type],'Tables and Pivots'!AC$2)</f>
        <v>3</v>
      </c>
      <c r="AD9" s="95"/>
      <c r="AF9" s="104">
        <v>46023</v>
      </c>
      <c r="AG9" s="105">
        <f>SUMIFS(Table1[Invoice Amount],Table1[Month],'Tables and Pivots'!AF9,Table1[Type],'Tables and Pivots'!$AG$3)</f>
        <v>2044413.2299999993</v>
      </c>
      <c r="AH9" s="105">
        <f>SUMIFS(Table1[Outstanding],Table1[Month],'Tables and Pivots'!AF9,Table1[Type],'Tables and Pivots'!$AH$3)</f>
        <v>797908.12000000011</v>
      </c>
      <c r="AI9" s="101">
        <f t="shared" si="6"/>
        <v>0.60971289546976748</v>
      </c>
      <c r="AJ9" s="101">
        <f t="shared" si="7"/>
        <v>0.39028710453023258</v>
      </c>
      <c r="AK9" s="105">
        <f>SUMIFS(Table1[Invoice Amount],Table1[Month],'Tables and Pivots'!AF9,Table1[Type],'Tables and Pivots'!$AK$3)</f>
        <v>4676851.0399999991</v>
      </c>
      <c r="AL9" s="105">
        <f>SUMIFS(Table1[Outstanding],Table1[Month],'Tables and Pivots'!AF9,Table1[Type],'Tables and Pivots'!$AL$3)</f>
        <v>2015181.38</v>
      </c>
      <c r="AM9" s="101">
        <f t="shared" si="8"/>
        <v>0.56911576555151511</v>
      </c>
      <c r="AN9" s="101">
        <f t="shared" si="9"/>
        <v>0.43088423444848489</v>
      </c>
      <c r="AO9" s="105">
        <f>SUMIFS(Table1[Invoice Amount],Table1[Month],'Tables and Pivots'!AF9,Table1[Type],'Tables and Pivots'!$AO$3)</f>
        <v>313826.56</v>
      </c>
      <c r="AP9" s="105">
        <f>SUMIFS(Table1[Outstanding],Table1[Month],'Tables and Pivots'!AF9,Table1[Type],'Tables and Pivots'!$AP$3)</f>
        <v>68842.75</v>
      </c>
      <c r="AQ9" s="101">
        <f>SUM(AO9-AP9)/AO9</f>
        <v>0.78063440519502236</v>
      </c>
      <c r="AR9" s="101">
        <f t="shared" si="11"/>
        <v>0.21936559480497764</v>
      </c>
    </row>
    <row r="10" spans="1:50" ht="15" x14ac:dyDescent="0.25">
      <c r="A10" s="102" t="s">
        <v>80</v>
      </c>
      <c r="B10" s="120"/>
      <c r="C10" s="120"/>
      <c r="D10" s="120">
        <v>1</v>
      </c>
      <c r="E10" s="108"/>
      <c r="F10" s="102" t="s">
        <v>80</v>
      </c>
      <c r="G10" s="103"/>
      <c r="H10" s="103"/>
      <c r="I10" s="103">
        <v>1549.06</v>
      </c>
      <c r="J10" s="108"/>
      <c r="K10" s="102" t="s">
        <v>368</v>
      </c>
      <c r="L10" s="103">
        <v>30600</v>
      </c>
      <c r="R10" s="102" t="s">
        <v>120</v>
      </c>
      <c r="S10" s="103">
        <v>56964.9</v>
      </c>
      <c r="Z10" s="104">
        <v>46082</v>
      </c>
      <c r="AA10" s="95">
        <f>COUNTIFS(Table1[Month],'Tables and Pivots'!$Z10,Table1[Type],'Tables and Pivots'!AA$2)</f>
        <v>40</v>
      </c>
      <c r="AB10" s="95">
        <f>COUNTIFS(Table1[Month],'Tables and Pivots'!$Z10,Table1[Type],'Tables and Pivots'!AB$2)</f>
        <v>14</v>
      </c>
      <c r="AC10" s="95">
        <f>COUNTIFS(Table1[Month],'Tables and Pivots'!$Z10,Table1[Type],'Tables and Pivots'!AC$2)</f>
        <v>0</v>
      </c>
      <c r="AD10" s="95"/>
      <c r="AF10" s="104">
        <v>46054</v>
      </c>
      <c r="AG10" s="105">
        <f>SUMIFS(Table1[Invoice Amount],Table1[Month],'Tables and Pivots'!AF10,Table1[Type],'Tables and Pivots'!$AG$3)</f>
        <v>447225.58999999997</v>
      </c>
      <c r="AH10" s="105">
        <f>SUMIFS(Table1[Outstanding],Table1[Month],'Tables and Pivots'!AF10,Table1[Type],'Tables and Pivots'!$AH$3)</f>
        <v>220947.06</v>
      </c>
      <c r="AI10" s="101">
        <f t="shared" si="6"/>
        <v>0.50596060480349525</v>
      </c>
      <c r="AJ10" s="101">
        <f t="shared" si="7"/>
        <v>0.49403939519650475</v>
      </c>
      <c r="AK10" s="105">
        <f>SUMIFS(Table1[Invoice Amount],Table1[Month],'Tables and Pivots'!AF10,Table1[Type],'Tables and Pivots'!$AK$3)</f>
        <v>1406322.9000000001</v>
      </c>
      <c r="AL10" s="105">
        <f>SUMIFS(Table1[Outstanding],Table1[Month],'Tables and Pivots'!AF10,Table1[Type],'Tables and Pivots'!$AL$3)</f>
        <v>1000587.17</v>
      </c>
      <c r="AM10" s="101">
        <f t="shared" si="8"/>
        <v>0.28850822951115995</v>
      </c>
      <c r="AN10" s="101">
        <f t="shared" si="9"/>
        <v>0.71149177048884005</v>
      </c>
      <c r="AO10" s="105">
        <f>SUMIFS(Table1[Invoice Amount],Table1[Month],'Tables and Pivots'!AF10,Table1[Type],'Tables and Pivots'!$AO$3)</f>
        <v>147418</v>
      </c>
      <c r="AP10" s="105">
        <f>SUMIFS(Table1[Outstanding],Table1[Month],'Tables and Pivots'!AF10,Table1[Type],'Tables and Pivots'!$AP$3)</f>
        <v>9000</v>
      </c>
      <c r="AQ10" s="101">
        <f t="shared" si="10"/>
        <v>0.93894911069204579</v>
      </c>
      <c r="AR10" s="101">
        <f t="shared" si="11"/>
        <v>6.1050889307954249E-2</v>
      </c>
    </row>
    <row r="11" spans="1:50" ht="15" x14ac:dyDescent="0.25">
      <c r="A11" s="102" t="s">
        <v>82</v>
      </c>
      <c r="B11" s="120"/>
      <c r="C11" s="120"/>
      <c r="D11" s="120">
        <v>12</v>
      </c>
      <c r="E11" s="108"/>
      <c r="F11" s="102" t="s">
        <v>82</v>
      </c>
      <c r="G11" s="103"/>
      <c r="H11" s="103"/>
      <c r="I11" s="103">
        <v>223215.90000000005</v>
      </c>
      <c r="J11" s="108"/>
      <c r="K11" s="102" t="s">
        <v>718</v>
      </c>
      <c r="L11" s="103">
        <v>35240.239999999998</v>
      </c>
      <c r="R11" s="102" t="s">
        <v>123</v>
      </c>
      <c r="S11" s="103">
        <v>1080000</v>
      </c>
      <c r="Z11" s="104">
        <v>46113</v>
      </c>
      <c r="AA11" s="95">
        <f>COUNTIFS(Table1[Month],'Tables and Pivots'!$Z11,Table1[Type],'Tables and Pivots'!AA$2)</f>
        <v>0</v>
      </c>
      <c r="AB11" s="95">
        <f>COUNTIFS(Table1[Month],'Tables and Pivots'!$Z11,Table1[Type],'Tables and Pivots'!AB$2)</f>
        <v>0</v>
      </c>
      <c r="AC11" s="95">
        <f>COUNTIFS(Table1[Month],'Tables and Pivots'!$Z11,Table1[Type],'Tables and Pivots'!AC$2)</f>
        <v>0</v>
      </c>
      <c r="AF11" s="104">
        <v>46082</v>
      </c>
      <c r="AG11" s="105">
        <f>SUMIFS(Table1[Invoice Amount],Table1[Month],'Tables and Pivots'!AF11,Table1[Type],'Tables and Pivots'!$AG$3)</f>
        <v>637238.30999999994</v>
      </c>
      <c r="AH11" s="105">
        <f>SUMIFS(Table1[Outstanding],Table1[Month],'Tables and Pivots'!AF11,Table1[Type],'Tables and Pivots'!$AH$3)</f>
        <v>637238.30999999994</v>
      </c>
      <c r="AI11" s="101">
        <f t="shared" si="6"/>
        <v>0</v>
      </c>
      <c r="AJ11" s="101">
        <f t="shared" si="7"/>
        <v>1</v>
      </c>
      <c r="AK11" s="105">
        <f>SUMIFS(Table1[Invoice Amount],Table1[Month],'Tables and Pivots'!AF11,Table1[Type],'Tables and Pivots'!$AK$3)</f>
        <v>1848806.21</v>
      </c>
      <c r="AL11" s="105">
        <f>SUMIFS(Table1[Outstanding],Table1[Month],'Tables and Pivots'!AF11,Table1[Type],'Tables and Pivots'!$AL$3)</f>
        <v>1815056.21</v>
      </c>
      <c r="AM11" s="101">
        <f t="shared" si="8"/>
        <v>1.8255023061611201E-2</v>
      </c>
      <c r="AN11" s="101">
        <f t="shared" si="9"/>
        <v>0.9817449769383888</v>
      </c>
      <c r="AO11" s="105">
        <f>SUMIFS(Table1[Invoice Amount],Table1[Month],'Tables and Pivots'!AF11,Table1[Type],'Tables and Pivots'!$AO$3)</f>
        <v>0</v>
      </c>
      <c r="AP11" s="105">
        <f>SUMIFS(Table1[Outstanding],Table1[Month],'Tables and Pivots'!AF11,Table1[Type],'Tables and Pivots'!$AP$3)</f>
        <v>0</v>
      </c>
      <c r="AQ11" s="101" t="e">
        <f t="shared" si="10"/>
        <v>#DIV/0!</v>
      </c>
      <c r="AR11" s="101" t="e">
        <f t="shared" si="11"/>
        <v>#DIV/0!</v>
      </c>
    </row>
    <row r="12" spans="1:50" ht="15" x14ac:dyDescent="0.25">
      <c r="A12" s="102" t="s">
        <v>83</v>
      </c>
      <c r="B12" s="120">
        <v>1</v>
      </c>
      <c r="C12" s="120">
        <v>4</v>
      </c>
      <c r="D12" s="120">
        <v>5</v>
      </c>
      <c r="E12" s="108"/>
      <c r="F12" s="102" t="s">
        <v>83</v>
      </c>
      <c r="G12" s="103">
        <v>54285</v>
      </c>
      <c r="H12" s="103">
        <v>429818.85</v>
      </c>
      <c r="I12" s="103">
        <v>96606.1</v>
      </c>
      <c r="J12" s="108"/>
      <c r="K12" s="102" t="s">
        <v>770</v>
      </c>
      <c r="L12" s="103">
        <v>244983.81</v>
      </c>
      <c r="R12" s="102" t="s">
        <v>126</v>
      </c>
      <c r="S12" s="103">
        <v>11500</v>
      </c>
      <c r="Z12" s="104">
        <v>46143</v>
      </c>
      <c r="AA12" s="95">
        <f>COUNTIFS(Table1[Month],'Tables and Pivots'!$Z12,Table1[Type],'Tables and Pivots'!AA$2)</f>
        <v>0</v>
      </c>
      <c r="AB12" s="95">
        <f>COUNTIFS(Table1[Month],'Tables and Pivots'!$Z12,Table1[Type],'Tables and Pivots'!AB$2)</f>
        <v>0</v>
      </c>
      <c r="AC12" s="95">
        <f>COUNTIFS(Table1[Month],'Tables and Pivots'!$Z12,Table1[Type],'Tables and Pivots'!AC$2)</f>
        <v>0</v>
      </c>
      <c r="AF12" s="104">
        <v>46113</v>
      </c>
      <c r="AG12" s="105">
        <f>SUMIFS(Table1[Invoice Amount],Table1[Month],'Tables and Pivots'!AF12,Table1[Type],'Tables and Pivots'!$AG$3)</f>
        <v>0</v>
      </c>
      <c r="AH12" s="105">
        <f>SUMIFS(Table1[Outstanding],Table1[Month],'Tables and Pivots'!AF12,Table1[Type],'Tables and Pivots'!$AH$3)</f>
        <v>0</v>
      </c>
      <c r="AI12" s="101" t="e">
        <f t="shared" si="6"/>
        <v>#DIV/0!</v>
      </c>
      <c r="AJ12" s="101" t="e">
        <f t="shared" si="7"/>
        <v>#DIV/0!</v>
      </c>
      <c r="AK12" s="105">
        <f>SUMIFS(Table1[Invoice Amount],Table1[Month],'Tables and Pivots'!AF12,Table1[Type],'Tables and Pivots'!$AK$3)</f>
        <v>0</v>
      </c>
      <c r="AL12" s="105">
        <f>SUMIFS(Table1[Outstanding],Table1[Month],'Tables and Pivots'!AF12,Table1[Type],'Tables and Pivots'!$AL$3)</f>
        <v>0</v>
      </c>
      <c r="AM12" s="101" t="e">
        <f t="shared" si="8"/>
        <v>#DIV/0!</v>
      </c>
      <c r="AN12" s="101" t="e">
        <f t="shared" si="9"/>
        <v>#DIV/0!</v>
      </c>
      <c r="AO12" s="105">
        <f>SUMIFS(Table1[Invoice Amount],Table1[Month],'Tables and Pivots'!AF12,Table1[Type],'Tables and Pivots'!$AO$3)</f>
        <v>0</v>
      </c>
      <c r="AP12" s="105">
        <f>SUMIFS(Table1[Outstanding],Table1[Month],'Tables and Pivots'!AF12,Table1[Type],'Tables and Pivots'!$AP$3)</f>
        <v>0</v>
      </c>
      <c r="AQ12" s="101" t="e">
        <f t="shared" si="10"/>
        <v>#DIV/0!</v>
      </c>
      <c r="AR12" s="101" t="e">
        <f t="shared" si="11"/>
        <v>#DIV/0!</v>
      </c>
    </row>
    <row r="13" spans="1:50" ht="15" x14ac:dyDescent="0.25">
      <c r="A13" s="102" t="s">
        <v>85</v>
      </c>
      <c r="B13" s="120"/>
      <c r="C13" s="120">
        <v>1</v>
      </c>
      <c r="D13" s="120"/>
      <c r="E13" s="108"/>
      <c r="F13" s="102" t="s">
        <v>85</v>
      </c>
      <c r="G13" s="103"/>
      <c r="H13" s="103">
        <v>26250</v>
      </c>
      <c r="I13" s="103"/>
      <c r="J13" s="108"/>
      <c r="K13" s="102" t="s">
        <v>2059</v>
      </c>
      <c r="L13" s="103">
        <v>11500</v>
      </c>
      <c r="R13" s="102" t="s">
        <v>129</v>
      </c>
      <c r="S13" s="103">
        <v>100000</v>
      </c>
      <c r="Z13" s="104">
        <v>46174</v>
      </c>
      <c r="AA13" s="95">
        <f>COUNTIFS(Table1[Month],'Tables and Pivots'!$Z13,Table1[Type],'Tables and Pivots'!AA$2)</f>
        <v>0</v>
      </c>
      <c r="AB13" s="95">
        <f>COUNTIFS(Table1[Month],'Tables and Pivots'!$Z13,Table1[Type],'Tables and Pivots'!AB$2)</f>
        <v>0</v>
      </c>
      <c r="AC13" s="95">
        <f>COUNTIFS(Table1[Month],'Tables and Pivots'!$Z13,Table1[Type],'Tables and Pivots'!AC$2)</f>
        <v>0</v>
      </c>
      <c r="AF13" s="104">
        <v>46143</v>
      </c>
      <c r="AG13" s="105">
        <f>SUMIFS(Table1[Invoice Amount],Table1[Month],'Tables and Pivots'!AF13,Table1[Type],'Tables and Pivots'!$AG$3)</f>
        <v>0</v>
      </c>
      <c r="AH13" s="105">
        <f>SUMIFS(Table1[Outstanding],Table1[Month],'Tables and Pivots'!AF13,Table1[Type],'Tables and Pivots'!$AH$3)</f>
        <v>0</v>
      </c>
      <c r="AI13" s="101" t="e">
        <f t="shared" si="6"/>
        <v>#DIV/0!</v>
      </c>
      <c r="AJ13" s="101" t="e">
        <f t="shared" si="7"/>
        <v>#DIV/0!</v>
      </c>
      <c r="AK13" s="105">
        <f>SUMIFS(Table1[Invoice Amount],Table1[Month],'Tables and Pivots'!AF13,Table1[Type],'Tables and Pivots'!$AK$3)</f>
        <v>0</v>
      </c>
      <c r="AL13" s="105">
        <f>SUMIFS(Table1[Outstanding],Table1[Month],'Tables and Pivots'!AF13,Table1[Type],'Tables and Pivots'!$AL$3)</f>
        <v>0</v>
      </c>
      <c r="AM13" s="101" t="e">
        <f t="shared" si="8"/>
        <v>#DIV/0!</v>
      </c>
      <c r="AN13" s="101" t="e">
        <f t="shared" si="9"/>
        <v>#DIV/0!</v>
      </c>
      <c r="AO13" s="105">
        <f>SUMIFS(Table1[Invoice Amount],Table1[Month],'Tables and Pivots'!AF13,Table1[Type],'Tables and Pivots'!$AO$3)</f>
        <v>0</v>
      </c>
      <c r="AP13" s="105">
        <f>SUMIFS(Table1[Outstanding],Table1[Month],'Tables and Pivots'!AF13,Table1[Type],'Tables and Pivots'!$AP$3)</f>
        <v>0</v>
      </c>
      <c r="AQ13" s="101" t="e">
        <f t="shared" si="10"/>
        <v>#DIV/0!</v>
      </c>
      <c r="AR13" s="101" t="e">
        <f t="shared" si="11"/>
        <v>#DIV/0!</v>
      </c>
    </row>
    <row r="14" spans="1:50" ht="15" x14ac:dyDescent="0.25">
      <c r="A14" s="102" t="s">
        <v>86</v>
      </c>
      <c r="B14" s="120"/>
      <c r="C14" s="120">
        <v>1</v>
      </c>
      <c r="D14" s="120">
        <v>7</v>
      </c>
      <c r="E14" s="108"/>
      <c r="F14" s="102" t="s">
        <v>86</v>
      </c>
      <c r="G14" s="103"/>
      <c r="H14" s="103">
        <v>84000</v>
      </c>
      <c r="I14" s="103">
        <v>125523.48999999999</v>
      </c>
      <c r="J14" s="108"/>
      <c r="K14" s="102" t="s">
        <v>1611</v>
      </c>
      <c r="L14" s="103">
        <v>16930.77</v>
      </c>
      <c r="R14" s="102" t="s">
        <v>133</v>
      </c>
      <c r="S14" s="103">
        <v>11162.75</v>
      </c>
      <c r="Z14" s="104">
        <v>46204</v>
      </c>
      <c r="AA14" s="95">
        <f>COUNTIFS(Table1[Month],'Tables and Pivots'!$Z14,Table1[Type],'Tables and Pivots'!AA$2)</f>
        <v>0</v>
      </c>
      <c r="AB14" s="95">
        <f>COUNTIFS(Table1[Month],'Tables and Pivots'!$Z14,Table1[Type],'Tables and Pivots'!AB$2)</f>
        <v>0</v>
      </c>
      <c r="AC14" s="95">
        <f>COUNTIFS(Table1[Month],'Tables and Pivots'!$Z14,Table1[Type],'Tables and Pivots'!AC$2)</f>
        <v>0</v>
      </c>
      <c r="AF14" s="104">
        <v>46174</v>
      </c>
      <c r="AG14" s="105">
        <f>SUMIFS(Table1[Invoice Amount],Table1[Month],'Tables and Pivots'!AF14,Table1[Type],'Tables and Pivots'!$AG$3)</f>
        <v>0</v>
      </c>
      <c r="AH14" s="105">
        <f>SUMIFS(Table1[Outstanding],Table1[Month],'Tables and Pivots'!AF14,Table1[Type],'Tables and Pivots'!$AH$3)</f>
        <v>0</v>
      </c>
      <c r="AI14" s="101" t="e">
        <f t="shared" si="6"/>
        <v>#DIV/0!</v>
      </c>
      <c r="AJ14" s="101" t="e">
        <f t="shared" si="7"/>
        <v>#DIV/0!</v>
      </c>
      <c r="AK14" s="105">
        <f>SUMIFS(Table1[Invoice Amount],Table1[Month],'Tables and Pivots'!AF14,Table1[Type],'Tables and Pivots'!$AK$3)</f>
        <v>0</v>
      </c>
      <c r="AL14" s="105">
        <f>SUMIFS(Table1[Outstanding],Table1[Month],'Tables and Pivots'!AF14,Table1[Type],'Tables and Pivots'!$AL$3)</f>
        <v>0</v>
      </c>
      <c r="AM14" s="101" t="e">
        <f t="shared" si="8"/>
        <v>#DIV/0!</v>
      </c>
      <c r="AN14" s="101" t="e">
        <f t="shared" si="9"/>
        <v>#DIV/0!</v>
      </c>
      <c r="AO14" s="105">
        <f>SUMIFS(Table1[Invoice Amount],Table1[Month],'Tables and Pivots'!AF14,Table1[Type],'Tables and Pivots'!$AO$3)</f>
        <v>0</v>
      </c>
      <c r="AP14" s="105">
        <f>SUMIFS(Table1[Outstanding],Table1[Month],'Tables and Pivots'!AF14,Table1[Type],'Tables and Pivots'!$AP$3)</f>
        <v>0</v>
      </c>
      <c r="AQ14" s="101" t="e">
        <f t="shared" si="10"/>
        <v>#DIV/0!</v>
      </c>
      <c r="AR14" s="101" t="e">
        <f t="shared" si="11"/>
        <v>#DIV/0!</v>
      </c>
    </row>
    <row r="15" spans="1:50" ht="15" x14ac:dyDescent="0.25">
      <c r="A15" s="102" t="s">
        <v>87</v>
      </c>
      <c r="B15" s="120"/>
      <c r="C15" s="120">
        <v>1</v>
      </c>
      <c r="D15" s="120">
        <v>1</v>
      </c>
      <c r="E15" s="108"/>
      <c r="F15" s="102" t="s">
        <v>87</v>
      </c>
      <c r="G15" s="103"/>
      <c r="H15" s="103">
        <v>125000</v>
      </c>
      <c r="I15" s="103">
        <v>1299.5</v>
      </c>
      <c r="J15" s="108"/>
      <c r="K15" s="102" t="s">
        <v>3753</v>
      </c>
      <c r="L15" s="103">
        <v>1080000</v>
      </c>
      <c r="R15" s="102" t="s">
        <v>288</v>
      </c>
      <c r="S15" s="103">
        <v>55377</v>
      </c>
      <c r="Z15" s="95"/>
      <c r="AA15" s="95"/>
      <c r="AB15" s="95"/>
      <c r="AF15" s="104">
        <v>46204</v>
      </c>
      <c r="AG15" s="105">
        <f>SUMIFS(Table1[Invoice Amount],Table1[Month],'Tables and Pivots'!AF15,Table1[Type],'Tables and Pivots'!$AG$3)</f>
        <v>0</v>
      </c>
      <c r="AH15" s="105">
        <f>SUMIFS(Table1[Outstanding],Table1[Month],'Tables and Pivots'!AF15,Table1[Type],'Tables and Pivots'!$AH$3)</f>
        <v>0</v>
      </c>
      <c r="AI15" s="101" t="e">
        <f t="shared" si="6"/>
        <v>#DIV/0!</v>
      </c>
      <c r="AJ15" s="101" t="e">
        <f t="shared" si="7"/>
        <v>#DIV/0!</v>
      </c>
      <c r="AK15" s="105">
        <f>SUMIFS(Table1[Invoice Amount],Table1[Month],'Tables and Pivots'!AF15,Table1[Type],'Tables and Pivots'!$AK$3)</f>
        <v>0</v>
      </c>
      <c r="AL15" s="105">
        <f>SUMIFS(Table1[Outstanding],Table1[Month],'Tables and Pivots'!AF15,Table1[Type],'Tables and Pivots'!$AL$3)</f>
        <v>0</v>
      </c>
      <c r="AM15" s="101" t="e">
        <f t="shared" si="8"/>
        <v>#DIV/0!</v>
      </c>
      <c r="AN15" s="101" t="e">
        <f t="shared" si="9"/>
        <v>#DIV/0!</v>
      </c>
      <c r="AO15" s="105">
        <f>SUMIFS(Table1[Invoice Amount],Table1[Month],'Tables and Pivots'!AF15,Table1[Type],'Tables and Pivots'!$AO$3)</f>
        <v>0</v>
      </c>
      <c r="AP15" s="105">
        <f>SUMIFS(Table1[Outstanding],Table1[Month],'Tables and Pivots'!AF15,Table1[Type],'Tables and Pivots'!$AP$3)</f>
        <v>0</v>
      </c>
      <c r="AQ15" s="101" t="e">
        <f t="shared" si="10"/>
        <v>#DIV/0!</v>
      </c>
      <c r="AR15" s="101" t="e">
        <f t="shared" si="11"/>
        <v>#DIV/0!</v>
      </c>
    </row>
    <row r="16" spans="1:50" ht="15" x14ac:dyDescent="0.25">
      <c r="A16" s="102" t="s">
        <v>88</v>
      </c>
      <c r="B16" s="120"/>
      <c r="C16" s="120"/>
      <c r="D16" s="120">
        <v>3</v>
      </c>
      <c r="E16" s="108"/>
      <c r="F16" s="102" t="s">
        <v>88</v>
      </c>
      <c r="G16" s="103"/>
      <c r="H16" s="103"/>
      <c r="I16" s="103">
        <v>39258.839999999997</v>
      </c>
      <c r="J16" s="108"/>
      <c r="K16" s="102" t="s">
        <v>3493</v>
      </c>
      <c r="L16" s="103">
        <v>590097.62</v>
      </c>
      <c r="R16" s="102" t="s">
        <v>223</v>
      </c>
      <c r="S16" s="103">
        <v>35240.239999999998</v>
      </c>
      <c r="Z16" s="95"/>
      <c r="AA16" s="95"/>
      <c r="AB16" s="95"/>
    </row>
    <row r="17" spans="1:36" ht="15" customHeight="1" x14ac:dyDescent="0.25">
      <c r="A17" s="102" t="s">
        <v>89</v>
      </c>
      <c r="B17" s="120">
        <v>1</v>
      </c>
      <c r="C17" s="120">
        <v>1</v>
      </c>
      <c r="D17" s="120">
        <v>8</v>
      </c>
      <c r="E17" s="108"/>
      <c r="F17" s="102" t="s">
        <v>89</v>
      </c>
      <c r="G17" s="103">
        <v>68412.34</v>
      </c>
      <c r="H17" s="103">
        <v>370370.37</v>
      </c>
      <c r="I17" s="103">
        <v>371760.08999999997</v>
      </c>
      <c r="J17" s="108"/>
      <c r="K17" s="102" t="s">
        <v>3482</v>
      </c>
      <c r="L17" s="103">
        <v>29739.4</v>
      </c>
      <c r="R17" s="102" t="s">
        <v>726</v>
      </c>
      <c r="S17" s="103">
        <v>133801.85</v>
      </c>
      <c r="Z17" s="95"/>
      <c r="AA17" s="95"/>
      <c r="AB17" s="95"/>
    </row>
    <row r="18" spans="1:36" ht="15" x14ac:dyDescent="0.25">
      <c r="A18" s="102" t="s">
        <v>90</v>
      </c>
      <c r="B18" s="120"/>
      <c r="C18" s="120"/>
      <c r="D18" s="120">
        <v>2</v>
      </c>
      <c r="E18" s="108"/>
      <c r="F18" s="102" t="s">
        <v>90</v>
      </c>
      <c r="G18" s="103"/>
      <c r="H18" s="103"/>
      <c r="I18" s="103">
        <v>116572.76</v>
      </c>
      <c r="J18" s="108"/>
      <c r="K18" s="102" t="s">
        <v>3484</v>
      </c>
      <c r="L18" s="103">
        <v>36280</v>
      </c>
      <c r="R18" s="102" t="s">
        <v>304</v>
      </c>
      <c r="S18" s="103">
        <v>5000</v>
      </c>
      <c r="Z18" s="95"/>
      <c r="AA18" s="95"/>
      <c r="AB18" s="95"/>
    </row>
    <row r="19" spans="1:36" ht="15" x14ac:dyDescent="0.25">
      <c r="A19" s="102" t="s">
        <v>91</v>
      </c>
      <c r="B19" s="120">
        <v>1</v>
      </c>
      <c r="C19" s="120"/>
      <c r="D19" s="120">
        <v>2</v>
      </c>
      <c r="E19" s="108"/>
      <c r="F19" s="102" t="s">
        <v>91</v>
      </c>
      <c r="G19" s="103">
        <v>244983.81</v>
      </c>
      <c r="H19" s="103"/>
      <c r="I19" s="103">
        <v>29664.82</v>
      </c>
      <c r="J19" s="108"/>
      <c r="K19" s="102" t="s">
        <v>2541</v>
      </c>
      <c r="L19" s="103">
        <v>276836</v>
      </c>
      <c r="R19"/>
      <c r="S19"/>
      <c r="Z19" s="95"/>
      <c r="AA19" s="95"/>
      <c r="AB19" s="95"/>
    </row>
    <row r="20" spans="1:36" ht="15" x14ac:dyDescent="0.25">
      <c r="A20" s="102" t="s">
        <v>92</v>
      </c>
      <c r="B20" s="120"/>
      <c r="C20" s="120">
        <v>2</v>
      </c>
      <c r="D20" s="120">
        <v>1</v>
      </c>
      <c r="E20" s="108"/>
      <c r="F20" s="102" t="s">
        <v>92</v>
      </c>
      <c r="G20" s="103"/>
      <c r="H20" s="103">
        <v>27832.12</v>
      </c>
      <c r="I20" s="103">
        <v>3242.95</v>
      </c>
      <c r="J20" s="108"/>
      <c r="K20" s="102" t="s">
        <v>3768</v>
      </c>
      <c r="L20" s="103">
        <v>56964.9</v>
      </c>
      <c r="R20"/>
      <c r="S20"/>
      <c r="Z20" s="95"/>
      <c r="AA20" s="95"/>
    </row>
    <row r="21" spans="1:36" ht="15" x14ac:dyDescent="0.25">
      <c r="A21" s="102" t="s">
        <v>93</v>
      </c>
      <c r="B21" s="120">
        <v>1</v>
      </c>
      <c r="C21" s="120">
        <v>13</v>
      </c>
      <c r="D21" s="120">
        <v>39</v>
      </c>
      <c r="E21" s="108"/>
      <c r="F21" s="102" t="s">
        <v>93</v>
      </c>
      <c r="G21" s="103">
        <v>590097.62</v>
      </c>
      <c r="H21" s="103">
        <v>447890.22</v>
      </c>
      <c r="I21" s="103">
        <v>1127208.46</v>
      </c>
      <c r="J21" s="108"/>
      <c r="K21" s="102" t="s">
        <v>3770</v>
      </c>
      <c r="L21" s="103">
        <v>100000</v>
      </c>
      <c r="R21"/>
      <c r="S21"/>
      <c r="Z21" s="95"/>
      <c r="AA21" s="95"/>
    </row>
    <row r="22" spans="1:36" ht="15" x14ac:dyDescent="0.25">
      <c r="A22" s="102" t="s">
        <v>95</v>
      </c>
      <c r="B22" s="120"/>
      <c r="C22" s="120">
        <v>3</v>
      </c>
      <c r="D22" s="120"/>
      <c r="E22" s="108"/>
      <c r="F22" s="102" t="s">
        <v>95</v>
      </c>
      <c r="G22" s="103"/>
      <c r="H22" s="103">
        <v>313436.41000000003</v>
      </c>
      <c r="I22" s="103"/>
      <c r="J22" s="108"/>
      <c r="K22"/>
      <c r="L22"/>
      <c r="R22"/>
      <c r="S22"/>
      <c r="Z22" s="95"/>
      <c r="AA22" s="95"/>
    </row>
    <row r="23" spans="1:36" ht="15" x14ac:dyDescent="0.25">
      <c r="A23" s="102" t="s">
        <v>96</v>
      </c>
      <c r="B23" s="120"/>
      <c r="C23" s="120">
        <v>1</v>
      </c>
      <c r="D23" s="120">
        <v>4</v>
      </c>
      <c r="E23" s="108"/>
      <c r="F23" s="102" t="s">
        <v>96</v>
      </c>
      <c r="G23" s="103"/>
      <c r="H23" s="103">
        <v>773750</v>
      </c>
      <c r="I23" s="103">
        <v>73869.279999999999</v>
      </c>
      <c r="J23" s="108"/>
      <c r="K23"/>
      <c r="L23"/>
      <c r="R23"/>
      <c r="S23"/>
      <c r="Z23" s="95"/>
      <c r="AA23" s="95"/>
    </row>
    <row r="24" spans="1:36" ht="15" x14ac:dyDescent="0.25">
      <c r="A24" s="102" t="s">
        <v>98</v>
      </c>
      <c r="B24" s="120"/>
      <c r="C24" s="120"/>
      <c r="D24" s="120">
        <v>3</v>
      </c>
      <c r="E24" s="108"/>
      <c r="F24" s="102" t="s">
        <v>98</v>
      </c>
      <c r="G24" s="103"/>
      <c r="H24" s="103"/>
      <c r="I24" s="103">
        <v>16547.010000000002</v>
      </c>
      <c r="J24" s="108"/>
      <c r="K24"/>
      <c r="L24"/>
      <c r="R24"/>
      <c r="S24"/>
      <c r="Z24" s="108"/>
      <c r="AA24" s="108"/>
    </row>
    <row r="25" spans="1:36" ht="15" x14ac:dyDescent="0.25">
      <c r="A25" s="102" t="s">
        <v>100</v>
      </c>
      <c r="B25" s="120"/>
      <c r="C25" s="120"/>
      <c r="D25" s="120">
        <v>3</v>
      </c>
      <c r="E25" s="108"/>
      <c r="F25" s="102" t="s">
        <v>100</v>
      </c>
      <c r="G25" s="103"/>
      <c r="H25" s="103"/>
      <c r="I25" s="103">
        <v>54993.82</v>
      </c>
      <c r="J25" s="108"/>
      <c r="K25"/>
      <c r="L25"/>
      <c r="R25"/>
      <c r="S25"/>
      <c r="Z25" s="108"/>
      <c r="AA25" s="108"/>
    </row>
    <row r="26" spans="1:36" ht="15" x14ac:dyDescent="0.25">
      <c r="A26" s="102" t="s">
        <v>102</v>
      </c>
      <c r="B26" s="120">
        <v>1</v>
      </c>
      <c r="C26" s="120"/>
      <c r="D26" s="120">
        <v>2</v>
      </c>
      <c r="E26" s="108"/>
      <c r="F26" s="102" t="s">
        <v>102</v>
      </c>
      <c r="G26" s="103">
        <v>29739.4</v>
      </c>
      <c r="H26" s="103"/>
      <c r="I26" s="103">
        <v>13078.439999999999</v>
      </c>
      <c r="J26" s="108"/>
      <c r="K26"/>
      <c r="L26"/>
      <c r="R26"/>
      <c r="S26"/>
      <c r="Z26" s="108"/>
      <c r="AA26" s="108"/>
    </row>
    <row r="27" spans="1:36" ht="15" x14ac:dyDescent="0.25">
      <c r="A27" s="102" t="s">
        <v>103</v>
      </c>
      <c r="B27" s="120"/>
      <c r="C27" s="120">
        <v>1</v>
      </c>
      <c r="D27" s="120">
        <v>3</v>
      </c>
      <c r="E27" s="108"/>
      <c r="F27" s="102" t="s">
        <v>103</v>
      </c>
      <c r="G27" s="103"/>
      <c r="H27" s="103">
        <v>5481.18</v>
      </c>
      <c r="I27" s="103">
        <v>53158.590000000004</v>
      </c>
      <c r="J27" s="108"/>
      <c r="K27"/>
      <c r="L27"/>
      <c r="R27"/>
      <c r="S27"/>
      <c r="Z27" s="108"/>
      <c r="AA27" s="108"/>
      <c r="AF27" s="95"/>
      <c r="AG27" s="95"/>
      <c r="AH27" s="95"/>
      <c r="AI27" s="95"/>
      <c r="AJ27" s="95"/>
    </row>
    <row r="28" spans="1:36" ht="15" x14ac:dyDescent="0.25">
      <c r="A28" s="102" t="s">
        <v>104</v>
      </c>
      <c r="B28" s="120"/>
      <c r="C28" s="120"/>
      <c r="D28" s="120">
        <v>7</v>
      </c>
      <c r="E28" s="108"/>
      <c r="F28" s="102" t="s">
        <v>104</v>
      </c>
      <c r="G28" s="103"/>
      <c r="H28" s="103"/>
      <c r="I28" s="103">
        <v>117348.24999999999</v>
      </c>
      <c r="J28" s="108"/>
      <c r="K28"/>
      <c r="L28"/>
      <c r="R28"/>
      <c r="S28"/>
      <c r="Z28" s="108"/>
      <c r="AA28" s="108"/>
      <c r="AF28" s="108"/>
      <c r="AG28" s="108"/>
      <c r="AH28" s="108"/>
      <c r="AI28" s="108"/>
      <c r="AJ28" s="108"/>
    </row>
    <row r="29" spans="1:36" ht="15" x14ac:dyDescent="0.25">
      <c r="A29" s="102" t="s">
        <v>105</v>
      </c>
      <c r="B29" s="120"/>
      <c r="C29" s="120">
        <v>4</v>
      </c>
      <c r="D29" s="120">
        <v>4</v>
      </c>
      <c r="E29" s="108"/>
      <c r="F29" s="102" t="s">
        <v>105</v>
      </c>
      <c r="G29" s="103"/>
      <c r="H29" s="103">
        <v>35000</v>
      </c>
      <c r="I29" s="103">
        <v>75072.260000000009</v>
      </c>
      <c r="J29" s="108"/>
      <c r="K29"/>
      <c r="L29"/>
      <c r="R29"/>
      <c r="S29"/>
      <c r="Z29" s="108"/>
      <c r="AA29" s="108"/>
      <c r="AF29" s="108"/>
      <c r="AG29" s="108"/>
      <c r="AH29" s="108"/>
      <c r="AI29" s="108"/>
      <c r="AJ29" s="108"/>
    </row>
    <row r="30" spans="1:36" ht="15" x14ac:dyDescent="0.25">
      <c r="A30" s="102" t="s">
        <v>106</v>
      </c>
      <c r="B30" s="120">
        <v>6</v>
      </c>
      <c r="C30" s="120">
        <v>19</v>
      </c>
      <c r="D30" s="120">
        <v>24</v>
      </c>
      <c r="E30" s="108"/>
      <c r="F30" s="102" t="s">
        <v>106</v>
      </c>
      <c r="G30" s="103">
        <v>464748</v>
      </c>
      <c r="H30" s="103">
        <v>3970658.1999999997</v>
      </c>
      <c r="I30" s="103">
        <v>1074890.0299999998</v>
      </c>
      <c r="J30" s="108"/>
      <c r="K30"/>
      <c r="L30"/>
      <c r="R30"/>
      <c r="S30"/>
      <c r="Z30" s="108"/>
      <c r="AA30" s="108"/>
      <c r="AF30" s="108"/>
      <c r="AG30" s="108"/>
      <c r="AH30" s="108"/>
      <c r="AI30" s="108"/>
      <c r="AJ30" s="108"/>
    </row>
    <row r="31" spans="1:36" ht="15" x14ac:dyDescent="0.25">
      <c r="A31" s="102" t="s">
        <v>107</v>
      </c>
      <c r="B31" s="120"/>
      <c r="C31" s="120">
        <v>1</v>
      </c>
      <c r="D31" s="120">
        <v>5</v>
      </c>
      <c r="E31" s="108"/>
      <c r="F31" s="102" t="s">
        <v>107</v>
      </c>
      <c r="G31" s="103"/>
      <c r="H31" s="103">
        <v>25000</v>
      </c>
      <c r="I31" s="103">
        <v>9600.84</v>
      </c>
      <c r="J31" s="108"/>
      <c r="K31"/>
      <c r="L31"/>
      <c r="R31"/>
      <c r="S31"/>
      <c r="Z31" s="108"/>
      <c r="AA31" s="108"/>
      <c r="AF31" s="108"/>
      <c r="AG31" s="108"/>
      <c r="AH31" s="108"/>
      <c r="AI31" s="108"/>
      <c r="AJ31" s="108"/>
    </row>
    <row r="32" spans="1:36" ht="15" x14ac:dyDescent="0.25">
      <c r="A32" s="102" t="s">
        <v>108</v>
      </c>
      <c r="B32" s="120"/>
      <c r="C32" s="120">
        <v>2</v>
      </c>
      <c r="D32" s="120">
        <v>4</v>
      </c>
      <c r="F32" s="102" t="s">
        <v>108</v>
      </c>
      <c r="G32" s="103"/>
      <c r="H32" s="103">
        <v>32871</v>
      </c>
      <c r="I32" s="103">
        <v>90452.17</v>
      </c>
      <c r="K32"/>
      <c r="L32"/>
      <c r="R32"/>
      <c r="S32"/>
      <c r="Z32" s="108"/>
      <c r="AA32" s="108"/>
      <c r="AF32" s="108"/>
      <c r="AG32" s="108"/>
      <c r="AH32" s="108"/>
      <c r="AI32" s="108"/>
      <c r="AJ32" s="108"/>
    </row>
    <row r="33" spans="1:36" ht="15" x14ac:dyDescent="0.25">
      <c r="A33" s="102" t="s">
        <v>109</v>
      </c>
      <c r="B33" s="120"/>
      <c r="C33" s="120"/>
      <c r="D33" s="120">
        <v>11</v>
      </c>
      <c r="F33" s="102" t="s">
        <v>109</v>
      </c>
      <c r="G33" s="103"/>
      <c r="H33" s="103"/>
      <c r="I33" s="103">
        <v>423634.16000000003</v>
      </c>
      <c r="K33"/>
      <c r="L33"/>
      <c r="R33"/>
      <c r="S33"/>
      <c r="Z33" s="108"/>
      <c r="AA33" s="108"/>
      <c r="AF33" s="108"/>
      <c r="AG33" s="108"/>
      <c r="AH33" s="108"/>
      <c r="AI33" s="108"/>
      <c r="AJ33" s="108"/>
    </row>
    <row r="34" spans="1:36" ht="15" x14ac:dyDescent="0.25">
      <c r="A34" s="102" t="s">
        <v>110</v>
      </c>
      <c r="B34" s="120"/>
      <c r="C34" s="120">
        <v>1</v>
      </c>
      <c r="D34" s="120">
        <v>3</v>
      </c>
      <c r="F34" s="102" t="s">
        <v>110</v>
      </c>
      <c r="G34" s="103"/>
      <c r="H34" s="103">
        <v>500000</v>
      </c>
      <c r="I34" s="103">
        <v>10687.859999999999</v>
      </c>
      <c r="K34"/>
      <c r="L34"/>
      <c r="R34"/>
      <c r="S34"/>
      <c r="Z34" s="108"/>
      <c r="AA34" s="108"/>
      <c r="AF34" s="108"/>
      <c r="AG34" s="108"/>
      <c r="AH34" s="108"/>
      <c r="AI34" s="108"/>
      <c r="AJ34" s="108"/>
    </row>
    <row r="35" spans="1:36" ht="15" x14ac:dyDescent="0.25">
      <c r="A35" s="102" t="s">
        <v>111</v>
      </c>
      <c r="B35" s="120"/>
      <c r="C35" s="120">
        <v>2</v>
      </c>
      <c r="D35" s="120">
        <v>5</v>
      </c>
      <c r="F35" s="102" t="s">
        <v>111</v>
      </c>
      <c r="G35" s="103"/>
      <c r="H35" s="103">
        <v>566704</v>
      </c>
      <c r="I35" s="103">
        <v>85645.89</v>
      </c>
      <c r="K35"/>
      <c r="L35"/>
      <c r="R35"/>
      <c r="S35"/>
      <c r="Z35" s="108"/>
      <c r="AA35" s="108"/>
      <c r="AF35" s="108"/>
      <c r="AG35" s="108"/>
      <c r="AH35" s="108"/>
      <c r="AI35" s="108"/>
      <c r="AJ35" s="108"/>
    </row>
    <row r="36" spans="1:36" ht="15" x14ac:dyDescent="0.25">
      <c r="A36" s="102" t="s">
        <v>112</v>
      </c>
      <c r="B36" s="120"/>
      <c r="C36" s="120">
        <v>2</v>
      </c>
      <c r="D36" s="120">
        <v>4</v>
      </c>
      <c r="F36" s="102" t="s">
        <v>112</v>
      </c>
      <c r="G36" s="103"/>
      <c r="H36" s="103">
        <v>52264.42</v>
      </c>
      <c r="I36" s="103">
        <v>136489.67000000001</v>
      </c>
      <c r="K36"/>
      <c r="L36"/>
      <c r="R36"/>
      <c r="S36"/>
      <c r="Z36" s="108"/>
      <c r="AA36" s="108"/>
      <c r="AF36" s="108"/>
      <c r="AG36" s="108"/>
      <c r="AH36" s="108"/>
      <c r="AI36" s="108"/>
      <c r="AJ36" s="108"/>
    </row>
    <row r="37" spans="1:36" ht="15" x14ac:dyDescent="0.25">
      <c r="A37" s="102" t="s">
        <v>113</v>
      </c>
      <c r="B37" s="120"/>
      <c r="C37" s="120">
        <v>1</v>
      </c>
      <c r="D37" s="120"/>
      <c r="F37" s="102" t="s">
        <v>113</v>
      </c>
      <c r="G37" s="103"/>
      <c r="H37" s="103">
        <v>104166.67</v>
      </c>
      <c r="I37" s="103"/>
      <c r="K37"/>
      <c r="L37"/>
      <c r="R37"/>
      <c r="S37"/>
      <c r="Z37" s="108"/>
      <c r="AA37" s="108"/>
      <c r="AF37" s="108"/>
      <c r="AG37" s="108"/>
      <c r="AH37" s="108"/>
      <c r="AI37" s="108"/>
      <c r="AJ37" s="108"/>
    </row>
    <row r="38" spans="1:36" ht="15" x14ac:dyDescent="0.25">
      <c r="A38" s="102" t="s">
        <v>114</v>
      </c>
      <c r="B38" s="120"/>
      <c r="C38" s="120"/>
      <c r="D38" s="120">
        <v>1</v>
      </c>
      <c r="F38" s="102" t="s">
        <v>114</v>
      </c>
      <c r="G38" s="103"/>
      <c r="H38" s="103"/>
      <c r="I38" s="103">
        <v>24704.25</v>
      </c>
      <c r="K38"/>
      <c r="L38"/>
      <c r="R38"/>
      <c r="S38"/>
      <c r="Z38" s="108"/>
      <c r="AA38" s="108"/>
      <c r="AF38" s="108"/>
      <c r="AG38" s="108"/>
      <c r="AH38" s="108"/>
      <c r="AI38" s="108"/>
      <c r="AJ38" s="108"/>
    </row>
    <row r="39" spans="1:36" ht="15" x14ac:dyDescent="0.25">
      <c r="A39" s="102" t="s">
        <v>115</v>
      </c>
      <c r="B39" s="120"/>
      <c r="C39" s="120">
        <v>3</v>
      </c>
      <c r="D39" s="120">
        <v>2</v>
      </c>
      <c r="F39" s="102" t="s">
        <v>115</v>
      </c>
      <c r="G39" s="103"/>
      <c r="H39" s="103">
        <v>105223.47</v>
      </c>
      <c r="I39" s="103">
        <v>61626.64</v>
      </c>
      <c r="K39"/>
      <c r="L39"/>
      <c r="R39"/>
      <c r="S39"/>
      <c r="Z39" s="108"/>
      <c r="AA39" s="108"/>
      <c r="AF39" s="108"/>
      <c r="AG39" s="108"/>
      <c r="AH39" s="108"/>
      <c r="AI39" s="108"/>
      <c r="AJ39" s="108"/>
    </row>
    <row r="40" spans="1:36" ht="15" x14ac:dyDescent="0.25">
      <c r="A40" s="102" t="s">
        <v>116</v>
      </c>
      <c r="B40" s="120"/>
      <c r="C40" s="120"/>
      <c r="D40" s="120">
        <v>1</v>
      </c>
      <c r="F40" s="102" t="s">
        <v>116</v>
      </c>
      <c r="G40" s="103"/>
      <c r="H40" s="103"/>
      <c r="I40" s="103">
        <v>14932.77</v>
      </c>
      <c r="K40"/>
      <c r="L40"/>
      <c r="R40"/>
      <c r="S40"/>
      <c r="Z40" s="108"/>
      <c r="AA40" s="108"/>
      <c r="AF40" s="108"/>
      <c r="AG40" s="108"/>
      <c r="AH40" s="108"/>
      <c r="AI40" s="108"/>
      <c r="AJ40" s="108"/>
    </row>
    <row r="41" spans="1:36" ht="15" x14ac:dyDescent="0.25">
      <c r="A41" s="102" t="s">
        <v>117</v>
      </c>
      <c r="B41" s="120">
        <v>1</v>
      </c>
      <c r="C41" s="120">
        <v>2</v>
      </c>
      <c r="D41" s="120">
        <v>2</v>
      </c>
      <c r="F41" s="102" t="s">
        <v>117</v>
      </c>
      <c r="G41" s="103">
        <v>16930.77</v>
      </c>
      <c r="H41" s="103">
        <v>15700.67</v>
      </c>
      <c r="I41" s="103">
        <v>8706.9</v>
      </c>
      <c r="K41"/>
      <c r="L41"/>
      <c r="R41"/>
      <c r="S41"/>
      <c r="Z41" s="108"/>
      <c r="AA41" s="108"/>
      <c r="AF41" s="108"/>
      <c r="AG41" s="108"/>
      <c r="AH41" s="108"/>
      <c r="AI41" s="108"/>
      <c r="AJ41" s="108"/>
    </row>
    <row r="42" spans="1:36" ht="15" x14ac:dyDescent="0.25">
      <c r="A42" s="102" t="s">
        <v>120</v>
      </c>
      <c r="B42" s="120">
        <v>1</v>
      </c>
      <c r="C42" s="120">
        <v>2</v>
      </c>
      <c r="D42" s="120">
        <v>7</v>
      </c>
      <c r="F42" s="102" t="s">
        <v>120</v>
      </c>
      <c r="G42" s="103">
        <v>56964.9</v>
      </c>
      <c r="H42" s="103">
        <v>2767000</v>
      </c>
      <c r="I42" s="103">
        <v>61960.459999999992</v>
      </c>
      <c r="K42"/>
      <c r="L42"/>
      <c r="R42"/>
      <c r="S42"/>
      <c r="Z42" s="108"/>
      <c r="AA42" s="108"/>
      <c r="AF42" s="108"/>
      <c r="AG42" s="108"/>
      <c r="AH42" s="108"/>
      <c r="AI42" s="108"/>
      <c r="AJ42" s="108"/>
    </row>
    <row r="43" spans="1:36" ht="15" x14ac:dyDescent="0.25">
      <c r="A43" s="102" t="s">
        <v>121</v>
      </c>
      <c r="B43" s="120"/>
      <c r="C43" s="120"/>
      <c r="D43" s="120">
        <v>3</v>
      </c>
      <c r="F43" s="102" t="s">
        <v>121</v>
      </c>
      <c r="G43" s="103"/>
      <c r="H43" s="103"/>
      <c r="I43" s="103">
        <v>39336.49</v>
      </c>
      <c r="K43"/>
      <c r="L43"/>
      <c r="R43"/>
      <c r="S43"/>
      <c r="Z43" s="108"/>
      <c r="AA43" s="108"/>
      <c r="AF43" s="108"/>
      <c r="AG43" s="108"/>
      <c r="AH43" s="108"/>
      <c r="AI43" s="108"/>
      <c r="AJ43" s="108"/>
    </row>
    <row r="44" spans="1:36" ht="15" x14ac:dyDescent="0.25">
      <c r="A44" s="102" t="s">
        <v>122</v>
      </c>
      <c r="B44" s="120"/>
      <c r="C44" s="120">
        <v>2</v>
      </c>
      <c r="D44" s="120">
        <v>3</v>
      </c>
      <c r="F44" s="102" t="s">
        <v>122</v>
      </c>
      <c r="G44" s="103"/>
      <c r="H44" s="103">
        <v>1347090</v>
      </c>
      <c r="I44" s="103">
        <v>28341.07</v>
      </c>
      <c r="K44"/>
      <c r="L44"/>
      <c r="R44"/>
      <c r="S44"/>
      <c r="Z44" s="108"/>
      <c r="AA44" s="108"/>
      <c r="AF44" s="108"/>
      <c r="AG44" s="108"/>
      <c r="AH44" s="108"/>
      <c r="AI44" s="108"/>
      <c r="AJ44" s="108"/>
    </row>
    <row r="45" spans="1:36" ht="15" x14ac:dyDescent="0.25">
      <c r="A45" s="102" t="s">
        <v>123</v>
      </c>
      <c r="B45" s="120">
        <v>1</v>
      </c>
      <c r="C45" s="120">
        <v>10</v>
      </c>
      <c r="D45" s="120"/>
      <c r="F45" s="102" t="s">
        <v>123</v>
      </c>
      <c r="G45" s="103">
        <v>1080000</v>
      </c>
      <c r="H45" s="103">
        <v>561878.79</v>
      </c>
      <c r="I45" s="103"/>
      <c r="K45"/>
      <c r="L45"/>
      <c r="R45"/>
      <c r="S45"/>
      <c r="Z45" s="108"/>
      <c r="AA45" s="108"/>
      <c r="AF45" s="108"/>
      <c r="AG45" s="108"/>
      <c r="AH45" s="108"/>
      <c r="AI45" s="108"/>
      <c r="AJ45" s="108"/>
    </row>
    <row r="46" spans="1:36" ht="15" x14ac:dyDescent="0.25">
      <c r="A46" s="102" t="s">
        <v>126</v>
      </c>
      <c r="B46" s="120">
        <v>2</v>
      </c>
      <c r="C46" s="120"/>
      <c r="D46" s="120">
        <v>8</v>
      </c>
      <c r="F46" s="102" t="s">
        <v>126</v>
      </c>
      <c r="G46" s="103">
        <v>11500</v>
      </c>
      <c r="H46" s="103"/>
      <c r="I46" s="103">
        <v>102772.78</v>
      </c>
      <c r="K46"/>
      <c r="L46"/>
      <c r="R46"/>
      <c r="S46"/>
      <c r="Z46" s="108"/>
      <c r="AA46" s="108"/>
      <c r="AF46" s="108"/>
      <c r="AG46" s="108"/>
      <c r="AH46" s="108"/>
      <c r="AI46" s="108"/>
      <c r="AJ46" s="108"/>
    </row>
    <row r="47" spans="1:36" ht="15" x14ac:dyDescent="0.25">
      <c r="A47" s="102" t="s">
        <v>127</v>
      </c>
      <c r="B47" s="120"/>
      <c r="C47" s="120">
        <v>1</v>
      </c>
      <c r="D47" s="120"/>
      <c r="F47" s="102" t="s">
        <v>127</v>
      </c>
      <c r="G47" s="103"/>
      <c r="H47" s="103">
        <v>56005.66</v>
      </c>
      <c r="I47" s="103"/>
      <c r="K47"/>
      <c r="L47"/>
      <c r="R47"/>
      <c r="S47"/>
      <c r="Z47" s="108"/>
      <c r="AA47" s="108"/>
      <c r="AF47" s="108"/>
      <c r="AG47" s="108"/>
      <c r="AH47" s="108"/>
      <c r="AI47" s="108"/>
      <c r="AJ47" s="108"/>
    </row>
    <row r="48" spans="1:36" ht="15" x14ac:dyDescent="0.25">
      <c r="A48" s="102" t="s">
        <v>128</v>
      </c>
      <c r="B48" s="120"/>
      <c r="C48" s="120"/>
      <c r="D48" s="120">
        <v>3</v>
      </c>
      <c r="F48" s="102" t="s">
        <v>128</v>
      </c>
      <c r="G48" s="103"/>
      <c r="H48" s="103"/>
      <c r="I48" s="103">
        <v>33364.380000000005</v>
      </c>
      <c r="K48"/>
      <c r="L48"/>
      <c r="R48"/>
      <c r="S48"/>
      <c r="Z48" s="108"/>
      <c r="AA48" s="108"/>
      <c r="AF48" s="108"/>
      <c r="AG48" s="108"/>
      <c r="AH48" s="108"/>
      <c r="AI48" s="108"/>
      <c r="AJ48" s="108"/>
    </row>
    <row r="49" spans="1:36" ht="15" x14ac:dyDescent="0.25">
      <c r="A49" s="102" t="s">
        <v>129</v>
      </c>
      <c r="B49" s="120">
        <v>1</v>
      </c>
      <c r="C49" s="120">
        <v>14</v>
      </c>
      <c r="D49" s="120">
        <v>14</v>
      </c>
      <c r="F49" s="102" t="s">
        <v>129</v>
      </c>
      <c r="G49" s="103">
        <v>100000</v>
      </c>
      <c r="H49" s="103">
        <v>1193031.79</v>
      </c>
      <c r="I49" s="103">
        <v>465644.25</v>
      </c>
      <c r="K49"/>
      <c r="L49"/>
      <c r="R49"/>
      <c r="S49"/>
      <c r="Z49" s="108"/>
      <c r="AA49" s="108"/>
      <c r="AF49" s="108"/>
      <c r="AG49" s="108"/>
      <c r="AH49" s="108"/>
      <c r="AI49" s="108"/>
      <c r="AJ49" s="108"/>
    </row>
    <row r="50" spans="1:36" ht="15" x14ac:dyDescent="0.25">
      <c r="A50" s="102" t="s">
        <v>131</v>
      </c>
      <c r="B50" s="120"/>
      <c r="C50" s="120">
        <v>5</v>
      </c>
      <c r="D50" s="120">
        <v>7</v>
      </c>
      <c r="F50" s="102" t="s">
        <v>131</v>
      </c>
      <c r="G50" s="103"/>
      <c r="H50" s="103">
        <v>61355.199999999997</v>
      </c>
      <c r="I50" s="103">
        <v>316839.51</v>
      </c>
      <c r="K50"/>
      <c r="L50"/>
      <c r="R50"/>
      <c r="S50"/>
      <c r="Z50" s="108"/>
      <c r="AA50" s="108"/>
      <c r="AF50" s="108"/>
      <c r="AG50" s="108"/>
      <c r="AH50" s="108"/>
      <c r="AI50" s="108"/>
      <c r="AJ50" s="108"/>
    </row>
    <row r="51" spans="1:36" ht="15" x14ac:dyDescent="0.25">
      <c r="A51" s="102" t="s">
        <v>132</v>
      </c>
      <c r="B51" s="120"/>
      <c r="C51" s="120">
        <v>4</v>
      </c>
      <c r="D51" s="120">
        <v>26</v>
      </c>
      <c r="F51" s="102" t="s">
        <v>132</v>
      </c>
      <c r="G51" s="103"/>
      <c r="H51" s="103">
        <v>678601.5</v>
      </c>
      <c r="I51" s="103">
        <v>325478.30000000005</v>
      </c>
      <c r="K51"/>
      <c r="L51"/>
      <c r="R51"/>
      <c r="S51"/>
      <c r="Z51" s="108"/>
      <c r="AA51" s="108"/>
      <c r="AF51" s="108"/>
      <c r="AG51" s="108"/>
      <c r="AH51" s="108"/>
      <c r="AI51" s="108"/>
      <c r="AJ51" s="108"/>
    </row>
    <row r="52" spans="1:36" ht="15" x14ac:dyDescent="0.25">
      <c r="A52" s="102" t="s">
        <v>133</v>
      </c>
      <c r="B52" s="120">
        <v>1</v>
      </c>
      <c r="C52" s="120"/>
      <c r="D52" s="120">
        <v>3</v>
      </c>
      <c r="F52" s="102" t="s">
        <v>133</v>
      </c>
      <c r="G52" s="103">
        <v>11162.75</v>
      </c>
      <c r="H52" s="103"/>
      <c r="I52" s="103">
        <v>27666.839999999997</v>
      </c>
      <c r="K52"/>
      <c r="L52"/>
      <c r="R52"/>
      <c r="S52"/>
      <c r="AF52" s="108"/>
      <c r="AG52" s="108"/>
      <c r="AH52" s="108"/>
      <c r="AI52" s="108"/>
      <c r="AJ52" s="108"/>
    </row>
    <row r="53" spans="1:36" ht="15" x14ac:dyDescent="0.25">
      <c r="A53" s="102" t="s">
        <v>134</v>
      </c>
      <c r="B53" s="120"/>
      <c r="C53" s="120"/>
      <c r="D53" s="120">
        <v>12</v>
      </c>
      <c r="F53" s="102" t="s">
        <v>134</v>
      </c>
      <c r="G53" s="103"/>
      <c r="H53" s="103"/>
      <c r="I53" s="103">
        <v>337693.24000000005</v>
      </c>
      <c r="K53"/>
      <c r="L53"/>
      <c r="R53"/>
      <c r="S53"/>
      <c r="AF53" s="108"/>
      <c r="AG53" s="108"/>
      <c r="AH53" s="108"/>
      <c r="AI53" s="108"/>
      <c r="AJ53" s="108"/>
    </row>
    <row r="54" spans="1:36" ht="15" x14ac:dyDescent="0.25">
      <c r="A54" s="102" t="s">
        <v>136</v>
      </c>
      <c r="B54" s="120"/>
      <c r="C54" s="120">
        <v>1</v>
      </c>
      <c r="D54" s="120"/>
      <c r="F54" s="102" t="s">
        <v>136</v>
      </c>
      <c r="G54" s="103"/>
      <c r="H54" s="103">
        <v>194959</v>
      </c>
      <c r="I54" s="103"/>
      <c r="K54"/>
      <c r="L54"/>
      <c r="R54"/>
      <c r="S54"/>
      <c r="AF54" s="108"/>
      <c r="AG54" s="108"/>
      <c r="AH54" s="108"/>
      <c r="AI54" s="108"/>
      <c r="AJ54" s="108"/>
    </row>
    <row r="55" spans="1:36" ht="15" x14ac:dyDescent="0.25">
      <c r="A55" s="102" t="s">
        <v>137</v>
      </c>
      <c r="B55" s="120"/>
      <c r="C55" s="120"/>
      <c r="D55" s="120">
        <v>1</v>
      </c>
      <c r="F55" s="102" t="s">
        <v>137</v>
      </c>
      <c r="G55" s="103"/>
      <c r="H55" s="103"/>
      <c r="I55" s="103">
        <v>13197.16</v>
      </c>
      <c r="K55"/>
      <c r="L55"/>
      <c r="R55"/>
      <c r="S55"/>
      <c r="AF55" s="108"/>
      <c r="AG55" s="108"/>
      <c r="AH55" s="108"/>
      <c r="AI55" s="108"/>
      <c r="AJ55" s="108"/>
    </row>
    <row r="56" spans="1:36" ht="15" x14ac:dyDescent="0.25">
      <c r="A56" s="102" t="s">
        <v>138</v>
      </c>
      <c r="B56" s="120"/>
      <c r="C56" s="120">
        <v>1</v>
      </c>
      <c r="D56" s="120"/>
      <c r="F56" s="102" t="s">
        <v>138</v>
      </c>
      <c r="G56" s="103"/>
      <c r="H56" s="103">
        <v>22000</v>
      </c>
      <c r="I56" s="103"/>
      <c r="K56"/>
      <c r="L56"/>
      <c r="R56"/>
      <c r="S56"/>
      <c r="AF56" s="108"/>
      <c r="AG56" s="108"/>
      <c r="AH56" s="108"/>
      <c r="AI56" s="108"/>
      <c r="AJ56" s="108"/>
    </row>
    <row r="57" spans="1:36" ht="15" x14ac:dyDescent="0.25">
      <c r="A57" s="102" t="s">
        <v>179</v>
      </c>
      <c r="B57" s="120"/>
      <c r="C57" s="120"/>
      <c r="D57" s="120">
        <v>3</v>
      </c>
      <c r="F57" s="102" t="s">
        <v>179</v>
      </c>
      <c r="G57" s="103"/>
      <c r="H57" s="103"/>
      <c r="I57" s="103">
        <v>5692.17</v>
      </c>
      <c r="K57"/>
      <c r="L57"/>
      <c r="R57"/>
      <c r="S57"/>
      <c r="AF57" s="108"/>
      <c r="AG57" s="108"/>
      <c r="AH57" s="108"/>
      <c r="AI57" s="108"/>
      <c r="AJ57" s="108"/>
    </row>
    <row r="58" spans="1:36" ht="15" x14ac:dyDescent="0.25">
      <c r="A58" s="102" t="s">
        <v>288</v>
      </c>
      <c r="B58" s="120">
        <v>1</v>
      </c>
      <c r="C58" s="120">
        <v>3</v>
      </c>
      <c r="D58" s="120"/>
      <c r="F58" s="102" t="s">
        <v>288</v>
      </c>
      <c r="G58" s="103">
        <v>55377</v>
      </c>
      <c r="H58" s="103">
        <v>167490.82</v>
      </c>
      <c r="I58" s="103"/>
      <c r="K58"/>
      <c r="L58"/>
      <c r="R58"/>
      <c r="S58"/>
      <c r="AF58" s="108"/>
      <c r="AG58" s="108"/>
      <c r="AH58" s="108"/>
      <c r="AI58" s="108"/>
      <c r="AJ58" s="108"/>
    </row>
    <row r="59" spans="1:36" ht="15" x14ac:dyDescent="0.25">
      <c r="A59" s="102" t="s">
        <v>223</v>
      </c>
      <c r="B59" s="120">
        <v>1</v>
      </c>
      <c r="C59" s="120"/>
      <c r="D59" s="120"/>
      <c r="F59" s="102" t="s">
        <v>223</v>
      </c>
      <c r="G59" s="103">
        <v>35240.239999999998</v>
      </c>
      <c r="H59" s="103"/>
      <c r="I59" s="103"/>
      <c r="K59"/>
      <c r="L59"/>
      <c r="R59"/>
      <c r="S59"/>
      <c r="AF59" s="108"/>
      <c r="AG59" s="108"/>
      <c r="AH59" s="108"/>
      <c r="AI59" s="108"/>
      <c r="AJ59" s="108"/>
    </row>
    <row r="60" spans="1:36" ht="15" x14ac:dyDescent="0.25">
      <c r="A60" s="102" t="s">
        <v>175</v>
      </c>
      <c r="B60" s="120"/>
      <c r="C60" s="120"/>
      <c r="D60" s="120">
        <v>1</v>
      </c>
      <c r="F60" s="102" t="s">
        <v>175</v>
      </c>
      <c r="G60" s="103"/>
      <c r="H60" s="103"/>
      <c r="I60" s="103">
        <v>15361.22</v>
      </c>
      <c r="K60"/>
      <c r="L60"/>
      <c r="R60"/>
      <c r="S60"/>
      <c r="AF60" s="108"/>
      <c r="AG60" s="108"/>
      <c r="AH60" s="108"/>
      <c r="AI60" s="108"/>
      <c r="AJ60" s="108"/>
    </row>
    <row r="61" spans="1:36" ht="15" x14ac:dyDescent="0.25">
      <c r="A61" s="102" t="s">
        <v>213</v>
      </c>
      <c r="B61" s="120"/>
      <c r="C61" s="120"/>
      <c r="D61" s="120">
        <v>5</v>
      </c>
      <c r="F61" s="102" t="s">
        <v>213</v>
      </c>
      <c r="G61" s="103"/>
      <c r="H61" s="103"/>
      <c r="I61" s="103">
        <v>90093.19</v>
      </c>
      <c r="K61"/>
      <c r="L61"/>
      <c r="R61"/>
      <c r="S61"/>
      <c r="AF61" s="108"/>
      <c r="AG61" s="108"/>
      <c r="AH61" s="108"/>
      <c r="AI61" s="108"/>
      <c r="AJ61" s="108"/>
    </row>
    <row r="62" spans="1:36" ht="15" x14ac:dyDescent="0.25">
      <c r="A62" s="102" t="s">
        <v>726</v>
      </c>
      <c r="B62" s="120">
        <v>2</v>
      </c>
      <c r="C62" s="120">
        <v>1</v>
      </c>
      <c r="D62" s="120">
        <v>8</v>
      </c>
      <c r="F62" s="102" t="s">
        <v>726</v>
      </c>
      <c r="G62" s="103">
        <v>133801.85</v>
      </c>
      <c r="H62" s="103">
        <v>22952.7</v>
      </c>
      <c r="I62" s="103">
        <v>130441.37000000001</v>
      </c>
      <c r="K62"/>
      <c r="L62"/>
      <c r="R62" s="108"/>
      <c r="S62" s="108"/>
      <c r="AF62" s="108"/>
      <c r="AG62" s="108"/>
      <c r="AH62" s="108"/>
      <c r="AI62" s="108"/>
      <c r="AJ62" s="108"/>
    </row>
    <row r="63" spans="1:36" ht="15" x14ac:dyDescent="0.25">
      <c r="A63" s="102" t="s">
        <v>159</v>
      </c>
      <c r="B63" s="120"/>
      <c r="C63" s="120"/>
      <c r="D63" s="120">
        <v>1</v>
      </c>
      <c r="F63" s="102" t="s">
        <v>159</v>
      </c>
      <c r="G63" s="103"/>
      <c r="H63" s="103"/>
      <c r="I63" s="103">
        <v>10245.540000000001</v>
      </c>
      <c r="K63"/>
      <c r="L63"/>
      <c r="R63" s="108"/>
      <c r="S63" s="108"/>
      <c r="AF63" s="108"/>
      <c r="AG63" s="108"/>
      <c r="AH63" s="108"/>
      <c r="AI63" s="108"/>
      <c r="AJ63" s="108"/>
    </row>
    <row r="64" spans="1:36" ht="15" x14ac:dyDescent="0.25">
      <c r="A64" s="102" t="s">
        <v>731</v>
      </c>
      <c r="B64" s="120"/>
      <c r="C64" s="120"/>
      <c r="D64" s="120">
        <v>4</v>
      </c>
      <c r="F64" s="102" t="s">
        <v>731</v>
      </c>
      <c r="G64" s="103"/>
      <c r="H64" s="103"/>
      <c r="I64" s="103">
        <v>438777</v>
      </c>
      <c r="K64"/>
      <c r="L64"/>
      <c r="R64" s="108"/>
      <c r="S64" s="108"/>
      <c r="AF64" s="108"/>
      <c r="AG64" s="108"/>
      <c r="AH64" s="108"/>
      <c r="AI64" s="108"/>
      <c r="AJ64" s="108"/>
    </row>
    <row r="65" spans="1:36" ht="15" x14ac:dyDescent="0.25">
      <c r="A65" s="102" t="s">
        <v>304</v>
      </c>
      <c r="B65" s="120">
        <v>1</v>
      </c>
      <c r="C65" s="120"/>
      <c r="D65" s="120"/>
      <c r="F65" s="102" t="s">
        <v>304</v>
      </c>
      <c r="G65" s="103">
        <v>5000</v>
      </c>
      <c r="H65" s="103"/>
      <c r="I65" s="103"/>
      <c r="K65"/>
      <c r="L65"/>
      <c r="R65" s="108"/>
      <c r="S65" s="108"/>
      <c r="AF65" s="108"/>
      <c r="AG65" s="108"/>
      <c r="AH65" s="108"/>
      <c r="AI65" s="108"/>
      <c r="AJ65" s="108"/>
    </row>
    <row r="66" spans="1:36" ht="15" x14ac:dyDescent="0.25">
      <c r="A66" s="102" t="s">
        <v>1243</v>
      </c>
      <c r="B66" s="120"/>
      <c r="C66" s="120">
        <v>2</v>
      </c>
      <c r="D66" s="120">
        <v>1</v>
      </c>
      <c r="F66" s="102" t="s">
        <v>1243</v>
      </c>
      <c r="G66" s="103"/>
      <c r="H66" s="103">
        <v>189750</v>
      </c>
      <c r="I66" s="103">
        <v>14004.82</v>
      </c>
      <c r="K66"/>
      <c r="L66"/>
      <c r="R66" s="108"/>
      <c r="S66" s="108"/>
      <c r="AF66" s="108"/>
      <c r="AG66" s="108"/>
      <c r="AH66" s="108"/>
      <c r="AI66" s="108"/>
      <c r="AJ66" s="108"/>
    </row>
    <row r="67" spans="1:36" ht="15" x14ac:dyDescent="0.25">
      <c r="A67" s="102" t="s">
        <v>2033</v>
      </c>
      <c r="B67" s="120"/>
      <c r="C67" s="120">
        <v>2</v>
      </c>
      <c r="D67" s="120"/>
      <c r="F67" s="102" t="s">
        <v>2033</v>
      </c>
      <c r="G67" s="103"/>
      <c r="H67" s="103">
        <v>44890.94</v>
      </c>
      <c r="I67" s="103"/>
      <c r="K67"/>
      <c r="L67"/>
      <c r="R67" s="108"/>
      <c r="S67" s="108"/>
      <c r="AF67" s="108"/>
      <c r="AG67" s="108"/>
      <c r="AH67" s="108"/>
      <c r="AI67" s="108"/>
      <c r="AJ67" s="108"/>
    </row>
    <row r="68" spans="1:36" ht="15" x14ac:dyDescent="0.25">
      <c r="A68" s="102" t="s">
        <v>727</v>
      </c>
      <c r="B68" s="120"/>
      <c r="C68" s="120"/>
      <c r="D68" s="120">
        <v>2</v>
      </c>
      <c r="F68" s="102" t="s">
        <v>727</v>
      </c>
      <c r="G68" s="103"/>
      <c r="H68" s="103"/>
      <c r="I68" s="103">
        <v>3614.34</v>
      </c>
      <c r="K68"/>
      <c r="L68"/>
      <c r="R68" s="108"/>
      <c r="S68" s="108"/>
      <c r="AF68" s="108"/>
      <c r="AG68" s="108"/>
      <c r="AH68" s="108"/>
      <c r="AI68" s="108"/>
      <c r="AJ68" s="108"/>
    </row>
    <row r="69" spans="1:36" ht="15" x14ac:dyDescent="0.25">
      <c r="A69" s="102" t="s">
        <v>302</v>
      </c>
      <c r="B69" s="120"/>
      <c r="C69" s="120"/>
      <c r="D69" s="120">
        <v>4</v>
      </c>
      <c r="F69" s="102" t="s">
        <v>302</v>
      </c>
      <c r="G69" s="103"/>
      <c r="H69" s="103"/>
      <c r="I69" s="103">
        <v>90971.920000000013</v>
      </c>
      <c r="K69"/>
      <c r="L69"/>
      <c r="R69" s="108"/>
      <c r="S69" s="108"/>
      <c r="AF69" s="108"/>
      <c r="AG69" s="108"/>
      <c r="AH69" s="108"/>
      <c r="AI69" s="108"/>
      <c r="AJ69" s="108"/>
    </row>
    <row r="70" spans="1:36" ht="15" x14ac:dyDescent="0.25">
      <c r="A70" s="102" t="s">
        <v>2860</v>
      </c>
      <c r="B70" s="120"/>
      <c r="C70" s="120"/>
      <c r="D70" s="120">
        <v>5</v>
      </c>
      <c r="F70" s="102" t="s">
        <v>2860</v>
      </c>
      <c r="G70" s="103"/>
      <c r="H70" s="103"/>
      <c r="I70" s="103">
        <v>185636.87000000002</v>
      </c>
      <c r="K70"/>
      <c r="L70"/>
      <c r="R70" s="108"/>
      <c r="S70" s="108"/>
      <c r="AF70" s="108"/>
      <c r="AG70" s="108"/>
      <c r="AH70" s="108"/>
      <c r="AI70" s="108"/>
      <c r="AJ70" s="108"/>
    </row>
    <row r="71" spans="1:36" ht="15" x14ac:dyDescent="0.25">
      <c r="A71" s="102" t="s">
        <v>728</v>
      </c>
      <c r="B71" s="120"/>
      <c r="C71" s="120">
        <v>4</v>
      </c>
      <c r="D71" s="120"/>
      <c r="F71" s="102" t="s">
        <v>728</v>
      </c>
      <c r="G71" s="103"/>
      <c r="H71" s="103">
        <v>100914</v>
      </c>
      <c r="I71" s="103"/>
      <c r="K71"/>
      <c r="L71"/>
      <c r="R71" s="108"/>
      <c r="S71" s="108"/>
      <c r="AF71" s="108"/>
      <c r="AG71" s="108"/>
      <c r="AH71" s="108"/>
      <c r="AI71" s="108"/>
      <c r="AJ71" s="108"/>
    </row>
    <row r="72" spans="1:36" ht="15" x14ac:dyDescent="0.25">
      <c r="A72" s="102" t="s">
        <v>8168</v>
      </c>
      <c r="B72" s="120"/>
      <c r="C72" s="120"/>
      <c r="D72" s="120">
        <v>2</v>
      </c>
      <c r="F72" s="102" t="s">
        <v>8168</v>
      </c>
      <c r="G72" s="103"/>
      <c r="H72" s="103"/>
      <c r="I72" s="103">
        <v>7276</v>
      </c>
      <c r="K72"/>
      <c r="L72"/>
      <c r="R72" s="108"/>
      <c r="S72" s="108"/>
      <c r="AF72" s="108"/>
      <c r="AG72" s="108"/>
      <c r="AH72" s="108"/>
      <c r="AI72" s="108"/>
      <c r="AJ72" s="108"/>
    </row>
    <row r="73" spans="1:36" ht="15" x14ac:dyDescent="0.25">
      <c r="A73"/>
      <c r="B73"/>
      <c r="C73"/>
      <c r="D73"/>
      <c r="F73"/>
      <c r="G73"/>
      <c r="H73"/>
      <c r="I73"/>
      <c r="K73"/>
      <c r="L73"/>
      <c r="R73" s="108"/>
      <c r="S73" s="108"/>
      <c r="AF73" s="108"/>
      <c r="AG73" s="108"/>
      <c r="AH73" s="108"/>
      <c r="AI73" s="108"/>
      <c r="AJ73" s="108"/>
    </row>
    <row r="74" spans="1:36" ht="15" x14ac:dyDescent="0.25">
      <c r="A74"/>
      <c r="B74"/>
      <c r="C74"/>
      <c r="D74"/>
      <c r="F74"/>
      <c r="G74"/>
      <c r="H74"/>
      <c r="I74"/>
      <c r="K74"/>
      <c r="L74"/>
      <c r="R74" s="108"/>
      <c r="S74" s="108"/>
      <c r="AF74" s="108"/>
      <c r="AG74" s="108"/>
      <c r="AH74" s="108"/>
      <c r="AI74" s="108"/>
      <c r="AJ74" s="108"/>
    </row>
    <row r="75" spans="1:36" ht="15" x14ac:dyDescent="0.25">
      <c r="A75"/>
      <c r="B75"/>
      <c r="C75"/>
      <c r="D75"/>
      <c r="F75"/>
      <c r="G75"/>
      <c r="H75"/>
      <c r="I75"/>
      <c r="K75"/>
      <c r="L75"/>
      <c r="R75" s="108"/>
      <c r="S75" s="108"/>
      <c r="AF75" s="108"/>
      <c r="AG75" s="108"/>
      <c r="AH75" s="108"/>
      <c r="AI75" s="108"/>
      <c r="AJ75" s="108"/>
    </row>
    <row r="76" spans="1:36" ht="15" x14ac:dyDescent="0.25">
      <c r="A76" s="108"/>
      <c r="B76" s="108"/>
      <c r="C76" s="108"/>
      <c r="D76" s="108"/>
      <c r="F76" s="108"/>
      <c r="G76" s="108"/>
      <c r="H76" s="108"/>
      <c r="I76" s="108"/>
      <c r="K76"/>
      <c r="L76"/>
      <c r="R76" s="108"/>
      <c r="S76" s="108"/>
      <c r="AF76" s="108"/>
      <c r="AG76" s="108"/>
      <c r="AH76" s="108"/>
      <c r="AI76" s="108"/>
      <c r="AJ76" s="108"/>
    </row>
    <row r="77" spans="1:36" ht="15" x14ac:dyDescent="0.25">
      <c r="A77" s="108"/>
      <c r="B77" s="108"/>
      <c r="C77" s="108"/>
      <c r="D77" s="108"/>
      <c r="F77" s="108"/>
      <c r="G77" s="108"/>
      <c r="H77" s="108"/>
      <c r="I77" s="108"/>
      <c r="K77"/>
      <c r="L77"/>
      <c r="R77" s="108"/>
      <c r="S77" s="108"/>
      <c r="AF77" s="108"/>
      <c r="AG77" s="108"/>
      <c r="AH77" s="108"/>
      <c r="AI77" s="108"/>
      <c r="AJ77" s="108"/>
    </row>
    <row r="78" spans="1:36" ht="15" x14ac:dyDescent="0.25">
      <c r="A78" s="108"/>
      <c r="B78" s="108"/>
      <c r="C78" s="108"/>
      <c r="D78" s="108"/>
      <c r="F78" s="108"/>
      <c r="G78" s="108"/>
      <c r="H78" s="108"/>
      <c r="I78" s="108"/>
      <c r="K78"/>
      <c r="L78"/>
      <c r="AF78" s="108"/>
      <c r="AG78" s="108"/>
      <c r="AH78" s="108"/>
      <c r="AI78" s="108"/>
      <c r="AJ78" s="108"/>
    </row>
    <row r="79" spans="1:36" ht="15" x14ac:dyDescent="0.25">
      <c r="A79" s="108"/>
      <c r="B79" s="108"/>
      <c r="C79" s="108"/>
      <c r="D79" s="108"/>
      <c r="F79" s="108"/>
      <c r="G79" s="108"/>
      <c r="H79" s="108"/>
      <c r="I79" s="108"/>
      <c r="K79"/>
      <c r="L79"/>
      <c r="AF79" s="108"/>
      <c r="AG79" s="108"/>
      <c r="AH79" s="108"/>
      <c r="AI79" s="108"/>
      <c r="AJ79" s="108"/>
    </row>
    <row r="80" spans="1:36" ht="15" x14ac:dyDescent="0.25">
      <c r="A80" s="95"/>
      <c r="F80" s="108"/>
      <c r="G80" s="108"/>
      <c r="K80"/>
      <c r="L80"/>
      <c r="AF80" s="108"/>
      <c r="AG80" s="108"/>
      <c r="AH80" s="108"/>
      <c r="AI80" s="108"/>
      <c r="AJ80" s="108"/>
    </row>
    <row r="81" spans="1:36" ht="15" x14ac:dyDescent="0.25">
      <c r="A81" s="95"/>
      <c r="F81" s="108"/>
      <c r="G81" s="108"/>
      <c r="K81"/>
      <c r="L81"/>
      <c r="AF81" s="108"/>
      <c r="AG81" s="108"/>
      <c r="AH81" s="108"/>
      <c r="AI81" s="108"/>
      <c r="AJ81" s="108"/>
    </row>
    <row r="82" spans="1:36" ht="15" x14ac:dyDescent="0.25">
      <c r="A82" s="95"/>
      <c r="F82" s="108"/>
      <c r="G82" s="108"/>
      <c r="K82"/>
      <c r="L82"/>
      <c r="AF82" s="108"/>
      <c r="AG82" s="108"/>
      <c r="AH82" s="108"/>
      <c r="AI82" s="108"/>
      <c r="AJ82" s="108"/>
    </row>
    <row r="83" spans="1:36" ht="15" x14ac:dyDescent="0.25">
      <c r="A83" s="95"/>
      <c r="F83" s="108"/>
      <c r="G83" s="108"/>
      <c r="K83"/>
      <c r="L83"/>
      <c r="AF83" s="108"/>
      <c r="AG83" s="108"/>
      <c r="AH83" s="108"/>
      <c r="AI83" s="108"/>
      <c r="AJ83" s="108"/>
    </row>
    <row r="84" spans="1:36" ht="15" x14ac:dyDescent="0.25">
      <c r="A84" s="95"/>
      <c r="F84" s="108"/>
      <c r="G84" s="108"/>
      <c r="K84"/>
      <c r="L84"/>
      <c r="AF84" s="108"/>
      <c r="AG84" s="108"/>
      <c r="AH84" s="108"/>
      <c r="AI84" s="108"/>
      <c r="AJ84" s="108"/>
    </row>
    <row r="85" spans="1:36" ht="15" x14ac:dyDescent="0.25">
      <c r="A85" s="95"/>
      <c r="F85" s="108"/>
      <c r="G85" s="108"/>
      <c r="K85"/>
      <c r="L85"/>
      <c r="AF85" s="108"/>
      <c r="AG85" s="108"/>
      <c r="AH85" s="108"/>
      <c r="AI85" s="108"/>
      <c r="AJ85" s="108"/>
    </row>
    <row r="86" spans="1:36" ht="15" x14ac:dyDescent="0.25">
      <c r="A86" s="95"/>
      <c r="F86" s="108"/>
      <c r="G86" s="108"/>
      <c r="K86"/>
      <c r="L86"/>
      <c r="AF86" s="108"/>
      <c r="AG86" s="108"/>
      <c r="AH86" s="108"/>
      <c r="AI86" s="108"/>
      <c r="AJ86" s="108"/>
    </row>
    <row r="87" spans="1:36" ht="15" x14ac:dyDescent="0.25">
      <c r="A87" s="95"/>
      <c r="F87" s="108"/>
      <c r="G87" s="108"/>
      <c r="K87"/>
      <c r="L87"/>
      <c r="AF87" s="108"/>
      <c r="AG87" s="108"/>
      <c r="AH87" s="108"/>
      <c r="AI87" s="108"/>
      <c r="AJ87" s="108"/>
    </row>
    <row r="88" spans="1:36" ht="15" x14ac:dyDescent="0.25">
      <c r="A88" s="95"/>
      <c r="F88" s="108"/>
      <c r="G88" s="108"/>
      <c r="K88"/>
      <c r="L88"/>
      <c r="AF88" s="108"/>
      <c r="AG88" s="108"/>
      <c r="AH88" s="108"/>
      <c r="AI88" s="108"/>
      <c r="AJ88" s="108"/>
    </row>
    <row r="89" spans="1:36" ht="15" x14ac:dyDescent="0.25">
      <c r="A89" s="95"/>
      <c r="F89" s="108"/>
      <c r="G89" s="108"/>
      <c r="K89"/>
      <c r="L89"/>
      <c r="AF89" s="108"/>
      <c r="AG89" s="108"/>
      <c r="AH89" s="108"/>
      <c r="AI89" s="108"/>
      <c r="AJ89" s="108"/>
    </row>
    <row r="90" spans="1:36" ht="15" x14ac:dyDescent="0.25">
      <c r="A90" s="95"/>
      <c r="F90" s="108"/>
      <c r="G90" s="108"/>
      <c r="K90"/>
      <c r="L90"/>
      <c r="AF90" s="108"/>
      <c r="AG90" s="108"/>
      <c r="AH90" s="108"/>
      <c r="AI90" s="108"/>
      <c r="AJ90" s="108"/>
    </row>
    <row r="91" spans="1:36" ht="15" x14ac:dyDescent="0.25">
      <c r="A91" s="95"/>
      <c r="F91" s="108"/>
      <c r="G91" s="108"/>
      <c r="K91"/>
      <c r="L91"/>
      <c r="AF91" s="108"/>
      <c r="AG91" s="108"/>
      <c r="AH91" s="108"/>
      <c r="AI91" s="108"/>
      <c r="AJ91" s="108"/>
    </row>
    <row r="92" spans="1:36" ht="15" x14ac:dyDescent="0.25">
      <c r="A92" s="95"/>
      <c r="F92" s="108"/>
      <c r="G92" s="108"/>
      <c r="K92"/>
      <c r="L92"/>
      <c r="AF92" s="108"/>
      <c r="AG92" s="108"/>
      <c r="AH92" s="108"/>
      <c r="AI92" s="108"/>
      <c r="AJ92" s="108"/>
    </row>
    <row r="93" spans="1:36" ht="15" x14ac:dyDescent="0.25">
      <c r="A93" s="95"/>
      <c r="F93" s="108"/>
      <c r="G93" s="108"/>
      <c r="K93"/>
      <c r="L93"/>
      <c r="AF93" s="108"/>
      <c r="AG93" s="108"/>
      <c r="AH93" s="108"/>
      <c r="AI93" s="108"/>
      <c r="AJ93" s="108"/>
    </row>
    <row r="94" spans="1:36" ht="15" x14ac:dyDescent="0.25">
      <c r="A94" s="95"/>
      <c r="F94" s="108"/>
      <c r="G94" s="108"/>
      <c r="K94"/>
      <c r="L94"/>
      <c r="AF94" s="108"/>
      <c r="AG94" s="108"/>
      <c r="AH94" s="108"/>
      <c r="AI94" s="108"/>
      <c r="AJ94" s="108"/>
    </row>
    <row r="95" spans="1:36" ht="15" x14ac:dyDescent="0.25">
      <c r="A95" s="95"/>
      <c r="F95" s="108"/>
      <c r="G95" s="108"/>
      <c r="K95"/>
      <c r="L95"/>
      <c r="AF95" s="108"/>
      <c r="AG95" s="108"/>
      <c r="AH95" s="108"/>
      <c r="AI95" s="108"/>
      <c r="AJ95" s="108"/>
    </row>
    <row r="96" spans="1:36" ht="15" x14ac:dyDescent="0.25">
      <c r="A96" s="95"/>
      <c r="F96" s="108"/>
      <c r="G96" s="108"/>
      <c r="K96"/>
      <c r="L96"/>
      <c r="AF96" s="108"/>
      <c r="AG96" s="108"/>
      <c r="AH96" s="108"/>
      <c r="AI96" s="108"/>
      <c r="AJ96" s="108"/>
    </row>
    <row r="97" spans="1:36" ht="15" x14ac:dyDescent="0.25">
      <c r="A97" s="95"/>
      <c r="F97" s="108"/>
      <c r="G97" s="108"/>
      <c r="K97"/>
      <c r="L97"/>
      <c r="AF97" s="108"/>
      <c r="AG97" s="108"/>
      <c r="AH97" s="108"/>
      <c r="AI97" s="108"/>
      <c r="AJ97" s="108"/>
    </row>
    <row r="98" spans="1:36" ht="15" x14ac:dyDescent="0.25">
      <c r="A98" s="95"/>
      <c r="F98" s="108"/>
      <c r="G98" s="108"/>
      <c r="K98"/>
      <c r="L98"/>
      <c r="AF98" s="108"/>
      <c r="AG98" s="108"/>
      <c r="AH98" s="108"/>
      <c r="AI98" s="108"/>
      <c r="AJ98" s="108"/>
    </row>
    <row r="99" spans="1:36" ht="15" x14ac:dyDescent="0.25">
      <c r="A99" s="95"/>
      <c r="F99" s="108"/>
      <c r="G99" s="108"/>
      <c r="K99"/>
      <c r="L99"/>
      <c r="AF99" s="108"/>
      <c r="AG99" s="108"/>
      <c r="AH99" s="108"/>
      <c r="AI99" s="108"/>
      <c r="AJ99" s="108"/>
    </row>
    <row r="100" spans="1:36" ht="15" x14ac:dyDescent="0.25">
      <c r="A100" s="95"/>
      <c r="F100" s="108"/>
      <c r="G100" s="108"/>
      <c r="K100"/>
      <c r="L100"/>
      <c r="AF100" s="108"/>
      <c r="AG100" s="108"/>
      <c r="AH100" s="108"/>
      <c r="AI100" s="108"/>
      <c r="AJ100" s="108"/>
    </row>
    <row r="101" spans="1:36" ht="15" x14ac:dyDescent="0.25">
      <c r="A101" s="95"/>
      <c r="F101" s="108"/>
      <c r="G101" s="108"/>
      <c r="K101"/>
      <c r="L101"/>
      <c r="AF101" s="108"/>
      <c r="AG101" s="108"/>
      <c r="AH101" s="108"/>
      <c r="AI101" s="108"/>
      <c r="AJ101" s="108"/>
    </row>
    <row r="102" spans="1:36" ht="15" x14ac:dyDescent="0.25">
      <c r="A102" s="95"/>
      <c r="F102" s="108"/>
      <c r="G102" s="108"/>
      <c r="K102"/>
      <c r="L102"/>
      <c r="AF102" s="108"/>
      <c r="AG102" s="108"/>
      <c r="AH102" s="108"/>
      <c r="AI102" s="108"/>
      <c r="AJ102" s="108"/>
    </row>
    <row r="103" spans="1:36" ht="15" x14ac:dyDescent="0.25">
      <c r="A103" s="95"/>
      <c r="F103" s="108"/>
      <c r="G103" s="108"/>
      <c r="K103"/>
      <c r="L103"/>
      <c r="AF103" s="108"/>
      <c r="AG103" s="108"/>
      <c r="AH103" s="108"/>
      <c r="AI103" s="108"/>
      <c r="AJ103" s="108"/>
    </row>
    <row r="104" spans="1:36" ht="15" x14ac:dyDescent="0.25">
      <c r="A104" s="95"/>
      <c r="F104" s="108"/>
      <c r="G104" s="108"/>
      <c r="K104"/>
      <c r="L104"/>
      <c r="AF104" s="108"/>
      <c r="AG104" s="108"/>
      <c r="AH104" s="108"/>
      <c r="AI104" s="108"/>
      <c r="AJ104" s="108"/>
    </row>
    <row r="105" spans="1:36" ht="15" x14ac:dyDescent="0.25">
      <c r="A105" s="95"/>
      <c r="F105" s="108"/>
      <c r="G105" s="108"/>
      <c r="K105"/>
      <c r="L105"/>
      <c r="AF105" s="108"/>
      <c r="AG105" s="108"/>
      <c r="AH105" s="108"/>
      <c r="AI105" s="108"/>
      <c r="AJ105" s="108"/>
    </row>
    <row r="106" spans="1:36" ht="15" x14ac:dyDescent="0.25">
      <c r="A106" s="95"/>
      <c r="F106" s="108"/>
      <c r="G106" s="108"/>
      <c r="K106"/>
      <c r="L106"/>
      <c r="AF106" s="108"/>
      <c r="AG106" s="108"/>
      <c r="AH106" s="108"/>
      <c r="AI106" s="108"/>
      <c r="AJ106" s="108"/>
    </row>
    <row r="107" spans="1:36" ht="15" x14ac:dyDescent="0.25">
      <c r="A107" s="95"/>
      <c r="F107" s="108"/>
      <c r="G107" s="108"/>
      <c r="K107"/>
      <c r="L107"/>
      <c r="AF107" s="108"/>
      <c r="AG107" s="108"/>
      <c r="AH107" s="108"/>
      <c r="AI107" s="108"/>
      <c r="AJ107" s="108"/>
    </row>
    <row r="108" spans="1:36" ht="15" x14ac:dyDescent="0.25">
      <c r="A108" s="95"/>
      <c r="F108" s="108"/>
      <c r="G108" s="108"/>
      <c r="K108"/>
      <c r="L108"/>
      <c r="AF108" s="108"/>
      <c r="AG108" s="108"/>
      <c r="AH108" s="108"/>
      <c r="AI108" s="108"/>
      <c r="AJ108" s="108"/>
    </row>
    <row r="109" spans="1:36" ht="15" x14ac:dyDescent="0.25">
      <c r="A109" s="95"/>
      <c r="F109" s="108"/>
      <c r="G109" s="108"/>
      <c r="K109" s="108"/>
      <c r="L109" s="108"/>
      <c r="AF109" s="108"/>
      <c r="AG109" s="108"/>
      <c r="AH109" s="108"/>
      <c r="AI109" s="108"/>
      <c r="AJ109" s="108"/>
    </row>
    <row r="110" spans="1:36" ht="15" x14ac:dyDescent="0.25">
      <c r="A110" s="95"/>
      <c r="F110" s="108"/>
      <c r="G110" s="108"/>
      <c r="K110" s="108"/>
      <c r="L110" s="108"/>
      <c r="AF110" s="108"/>
      <c r="AG110" s="108"/>
      <c r="AH110" s="108"/>
      <c r="AI110" s="108"/>
      <c r="AJ110" s="108"/>
    </row>
    <row r="111" spans="1:36" ht="15" x14ac:dyDescent="0.25">
      <c r="A111" s="95"/>
      <c r="F111" s="108"/>
      <c r="G111" s="108"/>
      <c r="K111" s="108"/>
      <c r="L111" s="108"/>
      <c r="AF111" s="108"/>
      <c r="AG111" s="108"/>
      <c r="AH111" s="108"/>
      <c r="AI111" s="108"/>
      <c r="AJ111" s="108"/>
    </row>
    <row r="112" spans="1:36" ht="15" x14ac:dyDescent="0.25">
      <c r="A112" s="95"/>
      <c r="F112" s="108"/>
      <c r="G112" s="108"/>
      <c r="K112" s="108"/>
      <c r="L112" s="108"/>
      <c r="AF112" s="108"/>
      <c r="AG112" s="108"/>
      <c r="AH112" s="108"/>
      <c r="AI112" s="108"/>
      <c r="AJ112" s="108"/>
    </row>
    <row r="113" spans="1:36" ht="15" x14ac:dyDescent="0.25">
      <c r="A113" s="95"/>
      <c r="F113" s="108"/>
      <c r="G113" s="108"/>
      <c r="K113" s="108"/>
      <c r="L113" s="108"/>
      <c r="AF113" s="108"/>
      <c r="AG113" s="108"/>
      <c r="AH113" s="108"/>
      <c r="AI113" s="108"/>
      <c r="AJ113" s="108"/>
    </row>
    <row r="114" spans="1:36" ht="15" x14ac:dyDescent="0.25">
      <c r="A114" s="95"/>
      <c r="F114" s="108"/>
      <c r="G114" s="108"/>
      <c r="K114" s="108"/>
      <c r="L114" s="108"/>
      <c r="AF114" s="108"/>
      <c r="AG114" s="108"/>
      <c r="AH114" s="108"/>
      <c r="AI114" s="108"/>
      <c r="AJ114" s="108"/>
    </row>
    <row r="115" spans="1:36" ht="15" x14ac:dyDescent="0.25">
      <c r="A115" s="95"/>
      <c r="F115" s="108"/>
      <c r="G115" s="108"/>
      <c r="K115" s="108"/>
      <c r="L115" s="108"/>
      <c r="AF115" s="108"/>
      <c r="AG115" s="108"/>
      <c r="AH115" s="108"/>
      <c r="AI115" s="108"/>
      <c r="AJ115" s="108"/>
    </row>
    <row r="116" spans="1:36" ht="15" x14ac:dyDescent="0.25">
      <c r="A116" s="95"/>
      <c r="F116" s="108"/>
      <c r="G116" s="108"/>
      <c r="K116" s="108"/>
      <c r="L116" s="108"/>
      <c r="AF116" s="108"/>
      <c r="AG116" s="108"/>
      <c r="AH116" s="108"/>
      <c r="AI116" s="108"/>
      <c r="AJ116" s="108"/>
    </row>
    <row r="117" spans="1:36" ht="15" x14ac:dyDescent="0.25">
      <c r="A117" s="95"/>
      <c r="F117" s="108"/>
      <c r="G117" s="108"/>
      <c r="K117" s="108"/>
      <c r="L117" s="108"/>
      <c r="AF117" s="108"/>
      <c r="AG117" s="108"/>
      <c r="AH117" s="108"/>
      <c r="AI117" s="108"/>
      <c r="AJ117" s="108"/>
    </row>
    <row r="118" spans="1:36" ht="15" x14ac:dyDescent="0.25">
      <c r="A118" s="95"/>
      <c r="F118" s="108"/>
      <c r="G118" s="108"/>
      <c r="K118" s="108"/>
      <c r="L118" s="108"/>
      <c r="AF118" s="108"/>
      <c r="AG118" s="108"/>
      <c r="AH118" s="108"/>
      <c r="AI118" s="108"/>
      <c r="AJ118" s="108"/>
    </row>
    <row r="119" spans="1:36" ht="15" x14ac:dyDescent="0.25">
      <c r="A119" s="95"/>
      <c r="F119" s="108"/>
      <c r="G119" s="108"/>
      <c r="K119" s="108"/>
      <c r="L119" s="108"/>
      <c r="AF119" s="108"/>
      <c r="AG119" s="108"/>
      <c r="AH119" s="108"/>
      <c r="AI119" s="108"/>
      <c r="AJ119" s="108"/>
    </row>
    <row r="120" spans="1:36" ht="15" x14ac:dyDescent="0.25">
      <c r="A120" s="95"/>
      <c r="F120" s="108"/>
      <c r="G120" s="108"/>
      <c r="K120" s="108"/>
      <c r="L120" s="108"/>
      <c r="AF120" s="108"/>
      <c r="AG120" s="108"/>
      <c r="AH120" s="108"/>
      <c r="AI120" s="108"/>
      <c r="AJ120" s="108"/>
    </row>
    <row r="121" spans="1:36" ht="15" x14ac:dyDescent="0.25">
      <c r="A121" s="95"/>
      <c r="F121" s="108"/>
      <c r="G121" s="108"/>
      <c r="K121" s="108"/>
      <c r="L121" s="108"/>
      <c r="AF121" s="108"/>
      <c r="AG121" s="108"/>
      <c r="AH121" s="108"/>
      <c r="AI121" s="108"/>
      <c r="AJ121" s="108"/>
    </row>
    <row r="122" spans="1:36" ht="15" x14ac:dyDescent="0.25">
      <c r="A122" s="95"/>
      <c r="F122" s="108"/>
      <c r="G122" s="108"/>
      <c r="K122" s="108"/>
      <c r="L122" s="108"/>
      <c r="AF122" s="108"/>
      <c r="AG122" s="108"/>
      <c r="AH122" s="108"/>
      <c r="AI122" s="108"/>
      <c r="AJ122" s="108"/>
    </row>
    <row r="123" spans="1:36" ht="15" x14ac:dyDescent="0.25">
      <c r="A123" s="95"/>
      <c r="F123" s="108"/>
      <c r="G123" s="108"/>
      <c r="K123" s="108"/>
      <c r="L123" s="108"/>
      <c r="AF123" s="108"/>
      <c r="AG123" s="108"/>
      <c r="AH123" s="108"/>
      <c r="AI123" s="108"/>
      <c r="AJ123" s="108"/>
    </row>
    <row r="124" spans="1:36" ht="15" x14ac:dyDescent="0.25">
      <c r="A124" s="95"/>
      <c r="F124" s="108"/>
      <c r="G124" s="108"/>
      <c r="K124" s="108"/>
      <c r="L124" s="108"/>
      <c r="AF124" s="108"/>
      <c r="AG124" s="108"/>
      <c r="AH124" s="108"/>
      <c r="AI124" s="108"/>
      <c r="AJ124" s="108"/>
    </row>
    <row r="125" spans="1:36" ht="15" x14ac:dyDescent="0.25">
      <c r="A125" s="95"/>
      <c r="F125" s="108"/>
      <c r="G125" s="108"/>
      <c r="K125" s="108"/>
      <c r="L125" s="108"/>
      <c r="AF125" s="108"/>
      <c r="AG125" s="108"/>
      <c r="AH125" s="108"/>
      <c r="AI125" s="108"/>
      <c r="AJ125" s="108"/>
    </row>
    <row r="126" spans="1:36" ht="15" x14ac:dyDescent="0.25">
      <c r="A126" s="95"/>
      <c r="F126" s="108"/>
      <c r="G126" s="108"/>
      <c r="K126" s="108"/>
      <c r="L126" s="108"/>
      <c r="AF126" s="108"/>
      <c r="AG126" s="108"/>
      <c r="AH126" s="108"/>
      <c r="AI126" s="108"/>
      <c r="AJ126" s="108"/>
    </row>
    <row r="127" spans="1:36" ht="15" x14ac:dyDescent="0.25">
      <c r="A127" s="95"/>
      <c r="F127" s="108"/>
      <c r="G127" s="108"/>
      <c r="K127" s="108"/>
      <c r="L127" s="108"/>
      <c r="AF127" s="108"/>
      <c r="AG127" s="108"/>
      <c r="AH127" s="108"/>
      <c r="AI127" s="108"/>
      <c r="AJ127" s="108"/>
    </row>
    <row r="128" spans="1:36" ht="15" x14ac:dyDescent="0.25">
      <c r="A128" s="95"/>
      <c r="F128" s="108"/>
      <c r="G128" s="108"/>
      <c r="K128" s="108"/>
      <c r="L128" s="108"/>
      <c r="AF128" s="108"/>
      <c r="AG128" s="108"/>
      <c r="AH128" s="108"/>
      <c r="AI128" s="108"/>
      <c r="AJ128" s="108"/>
    </row>
    <row r="129" spans="1:36" ht="15" x14ac:dyDescent="0.25">
      <c r="A129" s="95"/>
      <c r="F129" s="108"/>
      <c r="G129" s="108"/>
      <c r="K129" s="108"/>
      <c r="L129" s="108"/>
      <c r="AF129" s="108"/>
      <c r="AG129" s="108"/>
      <c r="AH129" s="108"/>
      <c r="AI129" s="108"/>
      <c r="AJ129" s="108"/>
    </row>
    <row r="130" spans="1:36" ht="15" x14ac:dyDescent="0.25">
      <c r="A130" s="95"/>
      <c r="F130" s="108"/>
      <c r="G130" s="108"/>
      <c r="K130" s="108"/>
      <c r="L130" s="108"/>
      <c r="AF130" s="108"/>
      <c r="AG130" s="108"/>
      <c r="AH130" s="108"/>
      <c r="AI130" s="108"/>
      <c r="AJ130" s="108"/>
    </row>
    <row r="131" spans="1:36" ht="15" x14ac:dyDescent="0.25">
      <c r="A131" s="95"/>
      <c r="F131" s="108"/>
      <c r="G131" s="108"/>
      <c r="K131" s="108"/>
      <c r="L131" s="108"/>
      <c r="AF131" s="108"/>
      <c r="AG131" s="108"/>
      <c r="AH131" s="108"/>
      <c r="AI131" s="108"/>
      <c r="AJ131" s="108"/>
    </row>
    <row r="132" spans="1:36" ht="15" x14ac:dyDescent="0.25">
      <c r="A132" s="95"/>
      <c r="F132" s="108"/>
      <c r="G132" s="108"/>
      <c r="K132" s="108"/>
      <c r="L132" s="108"/>
      <c r="AF132" s="108"/>
      <c r="AG132" s="108"/>
      <c r="AH132" s="108"/>
      <c r="AI132" s="108"/>
      <c r="AJ132" s="108"/>
    </row>
    <row r="133" spans="1:36" ht="15" x14ac:dyDescent="0.25">
      <c r="A133" s="95"/>
      <c r="F133" s="108"/>
      <c r="G133" s="108"/>
      <c r="K133" s="108"/>
      <c r="L133" s="108"/>
      <c r="AF133" s="108"/>
      <c r="AG133" s="108"/>
      <c r="AH133" s="108"/>
      <c r="AI133" s="108"/>
      <c r="AJ133" s="108"/>
    </row>
    <row r="134" spans="1:36" ht="15" x14ac:dyDescent="0.25">
      <c r="A134" s="95"/>
      <c r="F134" s="108"/>
      <c r="G134" s="108"/>
      <c r="K134" s="108"/>
      <c r="L134" s="108"/>
      <c r="AF134" s="108"/>
      <c r="AG134" s="108"/>
      <c r="AH134" s="108"/>
      <c r="AI134" s="108"/>
      <c r="AJ134" s="108"/>
    </row>
    <row r="135" spans="1:36" ht="15" x14ac:dyDescent="0.25">
      <c r="A135" s="95"/>
      <c r="F135" s="108"/>
      <c r="G135" s="108"/>
      <c r="K135" s="108"/>
      <c r="L135" s="108"/>
      <c r="AF135" s="108"/>
      <c r="AG135" s="108"/>
      <c r="AH135" s="108"/>
      <c r="AI135" s="108"/>
      <c r="AJ135" s="108"/>
    </row>
    <row r="136" spans="1:36" ht="15" x14ac:dyDescent="0.25">
      <c r="A136" s="95"/>
      <c r="F136" s="108"/>
      <c r="G136" s="108"/>
      <c r="K136" s="108"/>
      <c r="L136" s="108"/>
      <c r="AF136" s="108"/>
      <c r="AG136" s="108"/>
      <c r="AH136" s="108"/>
      <c r="AI136" s="108"/>
      <c r="AJ136" s="108"/>
    </row>
    <row r="137" spans="1:36" ht="15" x14ac:dyDescent="0.25">
      <c r="A137" s="95"/>
      <c r="F137" s="108"/>
      <c r="G137" s="108"/>
      <c r="K137" s="108"/>
      <c r="L137" s="108"/>
      <c r="AF137" s="108"/>
      <c r="AG137" s="108"/>
      <c r="AH137" s="108"/>
      <c r="AI137" s="108"/>
      <c r="AJ137" s="108"/>
    </row>
    <row r="138" spans="1:36" ht="15" x14ac:dyDescent="0.25">
      <c r="A138" s="95"/>
      <c r="F138" s="108"/>
      <c r="G138" s="108"/>
      <c r="K138" s="108"/>
      <c r="L138" s="108"/>
      <c r="AF138" s="108"/>
      <c r="AG138" s="108"/>
      <c r="AH138" s="108"/>
      <c r="AI138" s="108"/>
      <c r="AJ138" s="108"/>
    </row>
    <row r="139" spans="1:36" ht="15" x14ac:dyDescent="0.25">
      <c r="A139" s="95"/>
      <c r="F139" s="108"/>
      <c r="G139" s="108"/>
      <c r="K139" s="108"/>
      <c r="L139" s="108"/>
      <c r="AF139" s="108"/>
      <c r="AG139" s="108"/>
      <c r="AH139" s="108"/>
      <c r="AI139" s="108"/>
      <c r="AJ139" s="108"/>
    </row>
    <row r="140" spans="1:36" ht="15" x14ac:dyDescent="0.25">
      <c r="A140" s="95"/>
      <c r="F140" s="108"/>
      <c r="G140" s="108"/>
      <c r="K140" s="108"/>
      <c r="L140" s="108"/>
      <c r="AF140" s="108"/>
      <c r="AG140" s="108"/>
      <c r="AH140" s="108"/>
      <c r="AI140" s="108"/>
      <c r="AJ140" s="108"/>
    </row>
    <row r="141" spans="1:36" ht="15" x14ac:dyDescent="0.25">
      <c r="A141" s="95"/>
      <c r="F141" s="108"/>
      <c r="G141" s="108"/>
      <c r="K141" s="108"/>
      <c r="L141" s="108"/>
      <c r="AF141" s="108"/>
      <c r="AG141" s="108"/>
      <c r="AH141" s="108"/>
      <c r="AI141" s="108"/>
      <c r="AJ141" s="108"/>
    </row>
    <row r="142" spans="1:36" ht="15" x14ac:dyDescent="0.25">
      <c r="A142" s="95"/>
      <c r="F142" s="108"/>
      <c r="G142" s="108"/>
      <c r="K142" s="108"/>
      <c r="L142" s="108"/>
      <c r="AF142" s="108"/>
      <c r="AG142" s="108"/>
      <c r="AH142" s="108"/>
      <c r="AI142" s="108"/>
      <c r="AJ142" s="108"/>
    </row>
    <row r="143" spans="1:36" ht="15" x14ac:dyDescent="0.25">
      <c r="A143" s="95"/>
      <c r="F143" s="108"/>
      <c r="G143" s="108"/>
      <c r="K143" s="108"/>
      <c r="L143" s="108"/>
      <c r="AF143" s="108"/>
      <c r="AG143" s="108"/>
      <c r="AH143" s="108"/>
      <c r="AI143" s="108"/>
      <c r="AJ143" s="108"/>
    </row>
    <row r="144" spans="1:36" ht="15" x14ac:dyDescent="0.25">
      <c r="A144" s="95"/>
      <c r="F144" s="108"/>
      <c r="G144" s="108"/>
      <c r="K144" s="108"/>
      <c r="L144" s="108"/>
      <c r="AF144" s="108"/>
      <c r="AG144" s="108"/>
      <c r="AH144" s="108"/>
      <c r="AI144" s="108"/>
      <c r="AJ144" s="108"/>
    </row>
    <row r="145" spans="1:36" ht="15" x14ac:dyDescent="0.25">
      <c r="A145" s="95"/>
      <c r="F145" s="108"/>
      <c r="G145" s="108"/>
      <c r="K145" s="108"/>
      <c r="L145" s="108"/>
      <c r="AF145" s="108"/>
      <c r="AG145" s="108"/>
      <c r="AH145" s="108"/>
      <c r="AI145" s="108"/>
      <c r="AJ145" s="108"/>
    </row>
    <row r="146" spans="1:36" ht="15" x14ac:dyDescent="0.25">
      <c r="A146" s="95"/>
      <c r="F146" s="108"/>
      <c r="G146" s="108"/>
      <c r="K146" s="108"/>
      <c r="L146" s="108"/>
      <c r="AF146" s="108"/>
      <c r="AG146" s="108"/>
      <c r="AH146" s="108"/>
      <c r="AI146" s="108"/>
      <c r="AJ146" s="108"/>
    </row>
    <row r="147" spans="1:36" ht="15" x14ac:dyDescent="0.25">
      <c r="A147" s="95"/>
      <c r="F147" s="108"/>
      <c r="G147" s="108"/>
      <c r="K147" s="108"/>
      <c r="L147" s="108"/>
      <c r="AF147" s="108"/>
      <c r="AG147" s="108"/>
      <c r="AH147" s="108"/>
      <c r="AI147" s="108"/>
      <c r="AJ147" s="108"/>
    </row>
    <row r="148" spans="1:36" ht="15" x14ac:dyDescent="0.25">
      <c r="A148" s="95"/>
      <c r="F148" s="108"/>
      <c r="G148" s="108"/>
      <c r="K148" s="108"/>
      <c r="L148" s="108"/>
      <c r="AF148" s="108"/>
      <c r="AG148" s="108"/>
      <c r="AH148" s="108"/>
      <c r="AI148" s="108"/>
      <c r="AJ148" s="108"/>
    </row>
    <row r="149" spans="1:36" ht="15" x14ac:dyDescent="0.25">
      <c r="A149" s="95"/>
      <c r="F149" s="108"/>
      <c r="G149" s="108"/>
      <c r="K149" s="108"/>
      <c r="L149" s="108"/>
      <c r="AF149" s="108"/>
      <c r="AG149" s="108"/>
      <c r="AH149" s="108"/>
      <c r="AI149" s="108"/>
      <c r="AJ149" s="108"/>
    </row>
    <row r="150" spans="1:36" ht="15" x14ac:dyDescent="0.25">
      <c r="A150" s="95"/>
      <c r="F150" s="108"/>
      <c r="G150" s="108"/>
      <c r="K150" s="108"/>
      <c r="L150" s="108"/>
      <c r="AF150" s="108"/>
      <c r="AG150" s="108"/>
      <c r="AH150" s="108"/>
      <c r="AI150" s="108"/>
      <c r="AJ150" s="108"/>
    </row>
    <row r="151" spans="1:36" ht="15" x14ac:dyDescent="0.25">
      <c r="A151" s="95"/>
      <c r="F151" s="108"/>
      <c r="G151" s="108"/>
      <c r="K151" s="108"/>
      <c r="L151" s="108"/>
      <c r="AF151" s="108"/>
      <c r="AG151" s="108"/>
      <c r="AH151" s="108"/>
      <c r="AI151" s="108"/>
      <c r="AJ151" s="108"/>
    </row>
    <row r="152" spans="1:36" ht="15" x14ac:dyDescent="0.25">
      <c r="A152" s="95"/>
      <c r="F152" s="108"/>
      <c r="G152" s="108"/>
      <c r="K152" s="108"/>
      <c r="L152" s="108"/>
      <c r="AF152" s="108"/>
      <c r="AG152" s="108"/>
      <c r="AH152" s="108"/>
      <c r="AI152" s="108"/>
      <c r="AJ152" s="108"/>
    </row>
    <row r="153" spans="1:36" ht="15" x14ac:dyDescent="0.25">
      <c r="A153" s="95"/>
      <c r="F153" s="108"/>
      <c r="G153" s="108"/>
      <c r="K153" s="108"/>
      <c r="L153" s="108"/>
      <c r="AF153" s="108"/>
      <c r="AG153" s="108"/>
      <c r="AH153" s="108"/>
      <c r="AI153" s="108"/>
      <c r="AJ153" s="108"/>
    </row>
    <row r="154" spans="1:36" ht="15" x14ac:dyDescent="0.25">
      <c r="A154" s="95"/>
      <c r="F154" s="108"/>
      <c r="G154" s="108"/>
      <c r="K154" s="108"/>
      <c r="L154" s="108"/>
      <c r="AF154" s="108"/>
      <c r="AG154" s="108"/>
      <c r="AH154" s="108"/>
      <c r="AI154" s="108"/>
      <c r="AJ154" s="108"/>
    </row>
    <row r="155" spans="1:36" ht="15" x14ac:dyDescent="0.25">
      <c r="A155" s="95"/>
      <c r="F155" s="108"/>
      <c r="G155" s="108"/>
      <c r="K155" s="108"/>
      <c r="L155" s="108"/>
      <c r="AF155" s="108"/>
      <c r="AG155" s="108"/>
      <c r="AH155" s="108"/>
      <c r="AI155" s="108"/>
      <c r="AJ155" s="108"/>
    </row>
    <row r="156" spans="1:36" ht="15" x14ac:dyDescent="0.25">
      <c r="A156" s="95"/>
      <c r="F156" s="108"/>
      <c r="G156" s="108"/>
      <c r="K156" s="108"/>
      <c r="L156" s="108"/>
      <c r="AF156" s="108"/>
      <c r="AG156" s="108"/>
      <c r="AH156" s="108"/>
      <c r="AI156" s="108"/>
      <c r="AJ156" s="108"/>
    </row>
    <row r="157" spans="1:36" ht="15" x14ac:dyDescent="0.25">
      <c r="A157" s="95"/>
      <c r="F157" s="108"/>
      <c r="G157" s="108"/>
      <c r="K157" s="108"/>
      <c r="L157" s="108"/>
      <c r="AF157" s="108"/>
      <c r="AG157" s="108"/>
      <c r="AH157" s="108"/>
      <c r="AI157" s="108"/>
      <c r="AJ157" s="108"/>
    </row>
    <row r="158" spans="1:36" ht="15" x14ac:dyDescent="0.25">
      <c r="A158" s="95"/>
      <c r="F158" s="108"/>
      <c r="G158" s="108"/>
      <c r="K158" s="108"/>
      <c r="L158" s="108"/>
      <c r="AF158" s="108"/>
    </row>
    <row r="159" spans="1:36" ht="15" x14ac:dyDescent="0.25">
      <c r="A159" s="95"/>
      <c r="F159" s="108"/>
      <c r="G159" s="108"/>
      <c r="K159" s="108"/>
      <c r="L159" s="108"/>
      <c r="AF159" s="108"/>
    </row>
    <row r="160" spans="1:36" ht="15" x14ac:dyDescent="0.25">
      <c r="A160" s="95"/>
      <c r="F160" s="108"/>
      <c r="G160" s="108"/>
      <c r="K160" s="108"/>
      <c r="L160" s="108"/>
      <c r="AF160" s="108"/>
    </row>
    <row r="161" spans="1:32" ht="15" x14ac:dyDescent="0.25">
      <c r="A161" s="95"/>
      <c r="F161" s="108"/>
      <c r="G161" s="108"/>
      <c r="K161" s="108"/>
      <c r="L161" s="108"/>
      <c r="AF161" s="108"/>
    </row>
    <row r="162" spans="1:32" ht="15" x14ac:dyDescent="0.25">
      <c r="A162" s="95"/>
      <c r="F162" s="108"/>
      <c r="G162" s="108"/>
      <c r="K162" s="108"/>
      <c r="L162" s="108"/>
      <c r="AF162" s="108"/>
    </row>
    <row r="163" spans="1:32" ht="15" x14ac:dyDescent="0.25">
      <c r="A163" s="95"/>
      <c r="F163" s="108"/>
      <c r="G163" s="108"/>
      <c r="K163" s="108"/>
      <c r="L163" s="108"/>
      <c r="AF163" s="108"/>
    </row>
    <row r="164" spans="1:32" ht="15" x14ac:dyDescent="0.25">
      <c r="A164" s="95"/>
      <c r="F164" s="108"/>
      <c r="G164" s="108"/>
      <c r="K164" s="108"/>
      <c r="L164" s="108"/>
      <c r="AF164" s="108"/>
    </row>
    <row r="165" spans="1:32" ht="15" x14ac:dyDescent="0.25">
      <c r="A165" s="95"/>
      <c r="F165" s="108"/>
      <c r="G165" s="108"/>
      <c r="K165" s="108"/>
      <c r="L165" s="108"/>
      <c r="AF165" s="108"/>
    </row>
    <row r="166" spans="1:32" ht="15" x14ac:dyDescent="0.25">
      <c r="A166" s="95"/>
      <c r="F166" s="108"/>
      <c r="G166" s="108"/>
      <c r="K166" s="108"/>
      <c r="L166" s="108"/>
      <c r="AF166" s="108"/>
    </row>
    <row r="167" spans="1:32" ht="15" x14ac:dyDescent="0.25">
      <c r="A167" s="95"/>
      <c r="F167" s="108"/>
      <c r="G167" s="108"/>
      <c r="K167" s="108"/>
      <c r="L167" s="108"/>
      <c r="AF167" s="108"/>
    </row>
    <row r="168" spans="1:32" ht="15" x14ac:dyDescent="0.25">
      <c r="A168" s="95"/>
      <c r="F168" s="108"/>
      <c r="G168" s="108"/>
      <c r="K168" s="108"/>
      <c r="L168" s="108"/>
      <c r="AF168" s="108"/>
    </row>
    <row r="169" spans="1:32" ht="15" x14ac:dyDescent="0.25">
      <c r="A169" s="95"/>
      <c r="F169" s="108"/>
      <c r="G169" s="108"/>
      <c r="K169" s="108"/>
      <c r="L169" s="108"/>
      <c r="AF169" s="108"/>
    </row>
    <row r="170" spans="1:32" ht="15" x14ac:dyDescent="0.25">
      <c r="A170" s="95"/>
      <c r="F170" s="108"/>
      <c r="G170" s="108"/>
      <c r="AF170" s="108"/>
    </row>
    <row r="171" spans="1:32" ht="15" x14ac:dyDescent="0.25">
      <c r="A171" s="95"/>
      <c r="F171" s="108"/>
      <c r="G171" s="108"/>
      <c r="AF171" s="108"/>
    </row>
    <row r="172" spans="1:32" ht="15" x14ac:dyDescent="0.25">
      <c r="A172" s="95"/>
      <c r="F172" s="108"/>
      <c r="G172" s="108"/>
      <c r="AF172" s="108"/>
    </row>
    <row r="173" spans="1:32" ht="15" x14ac:dyDescent="0.25">
      <c r="A173" s="95"/>
      <c r="F173" s="108"/>
      <c r="G173" s="108"/>
      <c r="AF173" s="108"/>
    </row>
    <row r="174" spans="1:32" ht="15" x14ac:dyDescent="0.25">
      <c r="A174" s="95"/>
      <c r="F174" s="108"/>
      <c r="G174" s="108"/>
      <c r="AF174" s="108"/>
    </row>
    <row r="175" spans="1:32" ht="15" x14ac:dyDescent="0.25">
      <c r="A175" s="95"/>
      <c r="F175" s="108"/>
      <c r="G175" s="108"/>
      <c r="AF175" s="108"/>
    </row>
    <row r="176" spans="1:32" ht="15" x14ac:dyDescent="0.25">
      <c r="A176" s="95"/>
      <c r="F176" s="108"/>
      <c r="G176" s="108"/>
      <c r="AF176" s="108"/>
    </row>
    <row r="177" spans="1:32" ht="15" x14ac:dyDescent="0.25">
      <c r="A177" s="95"/>
      <c r="F177" s="108"/>
      <c r="G177" s="108"/>
      <c r="AF177" s="108"/>
    </row>
    <row r="178" spans="1:32" ht="15" x14ac:dyDescent="0.25">
      <c r="A178" s="95"/>
      <c r="F178" s="108"/>
      <c r="G178" s="108"/>
      <c r="AF178" s="108"/>
    </row>
    <row r="179" spans="1:32" ht="15" x14ac:dyDescent="0.25">
      <c r="A179" s="95"/>
      <c r="AF179" s="108"/>
    </row>
    <row r="180" spans="1:32" ht="15" x14ac:dyDescent="0.25">
      <c r="AF180" s="108"/>
    </row>
    <row r="181" spans="1:32" ht="15" x14ac:dyDescent="0.25">
      <c r="AF181" s="108"/>
    </row>
    <row r="182" spans="1:32" ht="15" x14ac:dyDescent="0.25">
      <c r="AF182" s="108"/>
    </row>
    <row r="183" spans="1:32" ht="15" x14ac:dyDescent="0.25">
      <c r="AF183" s="108"/>
    </row>
    <row r="184" spans="1:32" ht="15" x14ac:dyDescent="0.25">
      <c r="AF184" s="108"/>
    </row>
    <row r="185" spans="1:32" ht="15" x14ac:dyDescent="0.25">
      <c r="AF185" s="108"/>
    </row>
    <row r="186" spans="1:32" ht="15" x14ac:dyDescent="0.25">
      <c r="AF186" s="108"/>
    </row>
    <row r="187" spans="1:32" ht="15" x14ac:dyDescent="0.25">
      <c r="AF187" s="108"/>
    </row>
    <row r="188" spans="1:32" ht="15" x14ac:dyDescent="0.25">
      <c r="AF188" s="108"/>
    </row>
    <row r="189" spans="1:32" ht="15" x14ac:dyDescent="0.25">
      <c r="AF189" s="108"/>
    </row>
    <row r="190" spans="1:32" ht="15" x14ac:dyDescent="0.25">
      <c r="AF190" s="108"/>
    </row>
    <row r="191" spans="1:32" ht="15" x14ac:dyDescent="0.25">
      <c r="AF191" s="108"/>
    </row>
    <row r="192" spans="1:32" ht="15" x14ac:dyDescent="0.25">
      <c r="AF192" s="108"/>
    </row>
    <row r="193" spans="32:32" ht="15" x14ac:dyDescent="0.25">
      <c r="AF193" s="108"/>
    </row>
    <row r="194" spans="32:32" ht="15" x14ac:dyDescent="0.25">
      <c r="AF194" s="108"/>
    </row>
    <row r="195" spans="32:32" ht="15" x14ac:dyDescent="0.25">
      <c r="AF195" s="108"/>
    </row>
    <row r="196" spans="32:32" ht="15" x14ac:dyDescent="0.25">
      <c r="AF196" s="108"/>
    </row>
    <row r="197" spans="32:32" ht="15" x14ac:dyDescent="0.25">
      <c r="AF197" s="108"/>
    </row>
    <row r="198" spans="32:32" ht="15" x14ac:dyDescent="0.25">
      <c r="AF198" s="108"/>
    </row>
    <row r="199" spans="32:32" ht="15" x14ac:dyDescent="0.25">
      <c r="AF199" s="108"/>
    </row>
    <row r="200" spans="32:32" ht="15" x14ac:dyDescent="0.25">
      <c r="AF200" s="108"/>
    </row>
    <row r="201" spans="32:32" ht="15" x14ac:dyDescent="0.25">
      <c r="AF201" s="108"/>
    </row>
    <row r="202" spans="32:32" ht="15" x14ac:dyDescent="0.25">
      <c r="AF202" s="108"/>
    </row>
    <row r="203" spans="32:32" ht="15" x14ac:dyDescent="0.25">
      <c r="AF203" s="108"/>
    </row>
    <row r="204" spans="32:32" ht="15" x14ac:dyDescent="0.25">
      <c r="AF204" s="108"/>
    </row>
    <row r="205" spans="32:32" ht="15" x14ac:dyDescent="0.25">
      <c r="AF205" s="108"/>
    </row>
    <row r="206" spans="32:32" ht="15" x14ac:dyDescent="0.25">
      <c r="AF206" s="108"/>
    </row>
    <row r="207" spans="32:32" ht="15" x14ac:dyDescent="0.25">
      <c r="AF207" s="108"/>
    </row>
    <row r="208" spans="32:32" ht="15" x14ac:dyDescent="0.25">
      <c r="AF208" s="108"/>
    </row>
    <row r="209" spans="32:32" ht="15" x14ac:dyDescent="0.25">
      <c r="AF209" s="108"/>
    </row>
    <row r="210" spans="32:32" ht="15" x14ac:dyDescent="0.25">
      <c r="AF210" s="108"/>
    </row>
    <row r="211" spans="32:32" ht="15" x14ac:dyDescent="0.25">
      <c r="AF211" s="108"/>
    </row>
    <row r="212" spans="32:32" ht="15" x14ac:dyDescent="0.25">
      <c r="AF212" s="108"/>
    </row>
    <row r="213" spans="32:32" ht="15" x14ac:dyDescent="0.25">
      <c r="AF213" s="108"/>
    </row>
    <row r="214" spans="32:32" ht="15" x14ac:dyDescent="0.25">
      <c r="AF214" s="108"/>
    </row>
    <row r="215" spans="32:32" ht="15" x14ac:dyDescent="0.25">
      <c r="AF215" s="108"/>
    </row>
    <row r="216" spans="32:32" ht="15" x14ac:dyDescent="0.25">
      <c r="AF216" s="108"/>
    </row>
    <row r="217" spans="32:32" ht="15" x14ac:dyDescent="0.25">
      <c r="AF217" s="108"/>
    </row>
    <row r="218" spans="32:32" ht="15" x14ac:dyDescent="0.25">
      <c r="AF218" s="108"/>
    </row>
    <row r="219" spans="32:32" ht="15" x14ac:dyDescent="0.25">
      <c r="AF219" s="108"/>
    </row>
    <row r="220" spans="32:32" ht="15" x14ac:dyDescent="0.25">
      <c r="AF220" s="108"/>
    </row>
    <row r="221" spans="32:32" ht="15" x14ac:dyDescent="0.25">
      <c r="AF221" s="108"/>
    </row>
    <row r="222" spans="32:32" ht="15" x14ac:dyDescent="0.25">
      <c r="AF222" s="108"/>
    </row>
    <row r="223" spans="32:32" ht="15" x14ac:dyDescent="0.25">
      <c r="AF223" s="108"/>
    </row>
    <row r="224" spans="32:32" ht="15" x14ac:dyDescent="0.25">
      <c r="AF224" s="108"/>
    </row>
    <row r="225" spans="32:32" ht="15" x14ac:dyDescent="0.25">
      <c r="AF225" s="108"/>
    </row>
    <row r="226" spans="32:32" ht="15" x14ac:dyDescent="0.25">
      <c r="AF226" s="108"/>
    </row>
    <row r="227" spans="32:32" ht="15" x14ac:dyDescent="0.25">
      <c r="AF227" s="108"/>
    </row>
    <row r="228" spans="32:32" ht="15" x14ac:dyDescent="0.25">
      <c r="AF228" s="108"/>
    </row>
    <row r="229" spans="32:32" ht="15" x14ac:dyDescent="0.25">
      <c r="AF229" s="108"/>
    </row>
    <row r="230" spans="32:32" ht="15" x14ac:dyDescent="0.25">
      <c r="AF230" s="108"/>
    </row>
    <row r="231" spans="32:32" ht="15" x14ac:dyDescent="0.25">
      <c r="AF231" s="108"/>
    </row>
    <row r="232" spans="32:32" ht="15" x14ac:dyDescent="0.25">
      <c r="AF232" s="108"/>
    </row>
    <row r="233" spans="32:32" ht="15" x14ac:dyDescent="0.25">
      <c r="AF233" s="108"/>
    </row>
    <row r="234" spans="32:32" ht="15" x14ac:dyDescent="0.25">
      <c r="AF234" s="108"/>
    </row>
    <row r="235" spans="32:32" ht="15" x14ac:dyDescent="0.25">
      <c r="AF235" s="108"/>
    </row>
    <row r="236" spans="32:32" ht="15" x14ac:dyDescent="0.25">
      <c r="AF236" s="108"/>
    </row>
    <row r="237" spans="32:32" ht="15" x14ac:dyDescent="0.25">
      <c r="AF237" s="108"/>
    </row>
    <row r="238" spans="32:32" ht="15" x14ac:dyDescent="0.25">
      <c r="AF238" s="108"/>
    </row>
    <row r="239" spans="32:32" ht="15" x14ac:dyDescent="0.25">
      <c r="AF239" s="108"/>
    </row>
    <row r="240" spans="32:32" ht="15" x14ac:dyDescent="0.25">
      <c r="AF240" s="108"/>
    </row>
    <row r="241" spans="32:32" ht="15" x14ac:dyDescent="0.25">
      <c r="AF241" s="108"/>
    </row>
    <row r="242" spans="32:32" ht="15" x14ac:dyDescent="0.25">
      <c r="AF242" s="108"/>
    </row>
    <row r="243" spans="32:32" ht="15" x14ac:dyDescent="0.25">
      <c r="AF243" s="108"/>
    </row>
    <row r="244" spans="32:32" ht="15" x14ac:dyDescent="0.25">
      <c r="AF244" s="108"/>
    </row>
    <row r="245" spans="32:32" ht="15" x14ac:dyDescent="0.25">
      <c r="AF245" s="108"/>
    </row>
    <row r="246" spans="32:32" ht="15" x14ac:dyDescent="0.25">
      <c r="AF246" s="108"/>
    </row>
    <row r="247" spans="32:32" ht="15" x14ac:dyDescent="0.25">
      <c r="AF247" s="108"/>
    </row>
    <row r="248" spans="32:32" ht="15" x14ac:dyDescent="0.25">
      <c r="AF248" s="108"/>
    </row>
    <row r="249" spans="32:32" ht="15" x14ac:dyDescent="0.25">
      <c r="AF249" s="108"/>
    </row>
    <row r="250" spans="32:32" ht="15" x14ac:dyDescent="0.25">
      <c r="AF250" s="108"/>
    </row>
    <row r="251" spans="32:32" ht="15" x14ac:dyDescent="0.25">
      <c r="AF251" s="108"/>
    </row>
    <row r="252" spans="32:32" ht="15" x14ac:dyDescent="0.25">
      <c r="AF252" s="108"/>
    </row>
    <row r="253" spans="32:32" ht="15" x14ac:dyDescent="0.25">
      <c r="AF253" s="108"/>
    </row>
    <row r="254" spans="32:32" ht="15" x14ac:dyDescent="0.25">
      <c r="AF254" s="108"/>
    </row>
    <row r="255" spans="32:32" ht="15" x14ac:dyDescent="0.25">
      <c r="AF255" s="108"/>
    </row>
    <row r="256" spans="32:32" ht="15" x14ac:dyDescent="0.25">
      <c r="AF256" s="108"/>
    </row>
    <row r="257" spans="32:32" ht="15" x14ac:dyDescent="0.25">
      <c r="AF257" s="108"/>
    </row>
    <row r="258" spans="32:32" ht="15" x14ac:dyDescent="0.25">
      <c r="AF258" s="108"/>
    </row>
    <row r="259" spans="32:32" ht="15" x14ac:dyDescent="0.25">
      <c r="AF259" s="108"/>
    </row>
    <row r="260" spans="32:32" ht="15" x14ac:dyDescent="0.25">
      <c r="AF260" s="108"/>
    </row>
    <row r="261" spans="32:32" ht="15" x14ac:dyDescent="0.25">
      <c r="AF261" s="108"/>
    </row>
    <row r="262" spans="32:32" ht="15" x14ac:dyDescent="0.25">
      <c r="AF262" s="108"/>
    </row>
    <row r="263" spans="32:32" ht="15" x14ac:dyDescent="0.25">
      <c r="AF263" s="108"/>
    </row>
    <row r="264" spans="32:32" ht="15" x14ac:dyDescent="0.25">
      <c r="AF264" s="108"/>
    </row>
    <row r="265" spans="32:32" ht="15" x14ac:dyDescent="0.25">
      <c r="AF265" s="108"/>
    </row>
    <row r="266" spans="32:32" ht="15" x14ac:dyDescent="0.25">
      <c r="AF266" s="108"/>
    </row>
    <row r="267" spans="32:32" ht="15" x14ac:dyDescent="0.25">
      <c r="AF267" s="108"/>
    </row>
    <row r="268" spans="32:32" ht="15" x14ac:dyDescent="0.25">
      <c r="AF268" s="108"/>
    </row>
    <row r="269" spans="32:32" ht="15" x14ac:dyDescent="0.25">
      <c r="AF269" s="108"/>
    </row>
    <row r="270" spans="32:32" ht="15" x14ac:dyDescent="0.25">
      <c r="AF270" s="108"/>
    </row>
    <row r="271" spans="32:32" ht="15" x14ac:dyDescent="0.25">
      <c r="AF271" s="108"/>
    </row>
    <row r="272" spans="32:32" ht="15" x14ac:dyDescent="0.25">
      <c r="AF272" s="108"/>
    </row>
    <row r="273" spans="32:32" ht="15" x14ac:dyDescent="0.25">
      <c r="AF273" s="108"/>
    </row>
    <row r="274" spans="32:32" ht="15" x14ac:dyDescent="0.25">
      <c r="AF274" s="108"/>
    </row>
    <row r="275" spans="32:32" ht="15" x14ac:dyDescent="0.25">
      <c r="AF275" s="108"/>
    </row>
    <row r="276" spans="32:32" ht="15" x14ac:dyDescent="0.25">
      <c r="AF276" s="108"/>
    </row>
    <row r="277" spans="32:32" ht="15" x14ac:dyDescent="0.25">
      <c r="AF277" s="108"/>
    </row>
    <row r="278" spans="32:32" ht="15" x14ac:dyDescent="0.25">
      <c r="AF278" s="108"/>
    </row>
    <row r="279" spans="32:32" ht="15" x14ac:dyDescent="0.25">
      <c r="AF279" s="108"/>
    </row>
    <row r="280" spans="32:32" ht="15" x14ac:dyDescent="0.25">
      <c r="AF280" s="108"/>
    </row>
    <row r="281" spans="32:32" ht="15" x14ac:dyDescent="0.25">
      <c r="AF281" s="108"/>
    </row>
    <row r="282" spans="32:32" ht="15" x14ac:dyDescent="0.25">
      <c r="AF282" s="108"/>
    </row>
    <row r="283" spans="32:32" ht="15" x14ac:dyDescent="0.25">
      <c r="AF283" s="108"/>
    </row>
    <row r="284" spans="32:32" ht="15" x14ac:dyDescent="0.25">
      <c r="AF284" s="108"/>
    </row>
    <row r="285" spans="32:32" ht="15" x14ac:dyDescent="0.25">
      <c r="AF285" s="108"/>
    </row>
    <row r="286" spans="32:32" ht="15" x14ac:dyDescent="0.25">
      <c r="AF286" s="108"/>
    </row>
    <row r="287" spans="32:32" ht="15" x14ac:dyDescent="0.25">
      <c r="AF287" s="108"/>
    </row>
    <row r="288" spans="32:32" ht="15" x14ac:dyDescent="0.25">
      <c r="AF288" s="108"/>
    </row>
    <row r="289" spans="32:32" ht="15" x14ac:dyDescent="0.25">
      <c r="AF289" s="108"/>
    </row>
    <row r="290" spans="32:32" ht="15" x14ac:dyDescent="0.25">
      <c r="AF290" s="108"/>
    </row>
    <row r="291" spans="32:32" ht="15" x14ac:dyDescent="0.25">
      <c r="AF291" s="108"/>
    </row>
    <row r="292" spans="32:32" ht="15" x14ac:dyDescent="0.25">
      <c r="AF292" s="108"/>
    </row>
    <row r="293" spans="32:32" ht="15" x14ac:dyDescent="0.25">
      <c r="AF293" s="108"/>
    </row>
    <row r="294" spans="32:32" ht="15" x14ac:dyDescent="0.25">
      <c r="AF294" s="108"/>
    </row>
    <row r="295" spans="32:32" ht="15" x14ac:dyDescent="0.25">
      <c r="AF295" s="108"/>
    </row>
    <row r="296" spans="32:32" ht="15" x14ac:dyDescent="0.25">
      <c r="AF296" s="108"/>
    </row>
    <row r="297" spans="32:32" ht="15" x14ac:dyDescent="0.25">
      <c r="AF297" s="108"/>
    </row>
    <row r="298" spans="32:32" ht="15" x14ac:dyDescent="0.25">
      <c r="AF298" s="108"/>
    </row>
    <row r="299" spans="32:32" ht="15" x14ac:dyDescent="0.25">
      <c r="AF299" s="108"/>
    </row>
    <row r="300" spans="32:32" ht="15" x14ac:dyDescent="0.25">
      <c r="AF300" s="108"/>
    </row>
    <row r="301" spans="32:32" ht="15" x14ac:dyDescent="0.25">
      <c r="AF301" s="108"/>
    </row>
    <row r="302" spans="32:32" ht="15" x14ac:dyDescent="0.25">
      <c r="AF302" s="108"/>
    </row>
    <row r="303" spans="32:32" ht="15" x14ac:dyDescent="0.25">
      <c r="AF303" s="108"/>
    </row>
    <row r="304" spans="32:32" ht="15" x14ac:dyDescent="0.25">
      <c r="AF304" s="108"/>
    </row>
    <row r="305" spans="32:32" ht="15" x14ac:dyDescent="0.25">
      <c r="AF305" s="108"/>
    </row>
    <row r="306" spans="32:32" ht="15" x14ac:dyDescent="0.25">
      <c r="AF306" s="108"/>
    </row>
    <row r="307" spans="32:32" ht="15" x14ac:dyDescent="0.25">
      <c r="AF307" s="108"/>
    </row>
    <row r="308" spans="32:32" ht="15" x14ac:dyDescent="0.25">
      <c r="AF308" s="108"/>
    </row>
    <row r="309" spans="32:32" ht="15" x14ac:dyDescent="0.25">
      <c r="AF309" s="108"/>
    </row>
    <row r="310" spans="32:32" ht="15" x14ac:dyDescent="0.25">
      <c r="AF310" s="108"/>
    </row>
  </sheetData>
  <conditionalFormatting sqref="E1:Q1 AB1:AE2 A1:D3 AA2 E2:E3 J2:J3 M2:Q77 AD3:AE3 AK3:AR3 T3:Y51 AE4:AE10 AK4:AL15 AO4:AP15 A4:A79 AD11:AE14 AC15:AE19 AB20:AF51 AK20:AO157 E32:E69 J32:J69 T52:AF77 E70:F79 J70:K79 M78:AF157 H80:K169 A80:F178 M158:AO169 H170:AO178 A179:AO10000 Z3:Z14 AF3:AF15">
    <cfRule type="cellIs" dxfId="163" priority="20" stopIfTrue="1" operator="lessThan">
      <formula>0</formula>
    </cfRule>
  </conditionalFormatting>
  <conditionalFormatting sqref="F2:I2 H3:I3 F3:F69">
    <cfRule type="cellIs" dxfId="162" priority="19" stopIfTrue="1" operator="lessThan">
      <formula>0</formula>
    </cfRule>
  </conditionalFormatting>
  <conditionalFormatting sqref="K2:O2 M3:O3 K3:K69 O4:O7">
    <cfRule type="cellIs" dxfId="161" priority="18" stopIfTrue="1" operator="lessThan">
      <formula>0</formula>
    </cfRule>
  </conditionalFormatting>
  <conditionalFormatting sqref="R4:R77">
    <cfRule type="cellIs" dxfId="160" priority="13" stopIfTrue="1" operator="lessThan">
      <formula>0</formula>
    </cfRule>
  </conditionalFormatting>
  <conditionalFormatting sqref="R1:Y2">
    <cfRule type="cellIs" dxfId="159" priority="9" stopIfTrue="1" operator="lessThan">
      <formula>0</formula>
    </cfRule>
  </conditionalFormatting>
  <conditionalFormatting sqref="U3">
    <cfRule type="cellIs" dxfId="158" priority="15" stopIfTrue="1" operator="lessThan">
      <formula>0</formula>
    </cfRule>
  </conditionalFormatting>
  <conditionalFormatting sqref="U2:V2">
    <cfRule type="cellIs" dxfId="157" priority="16" stopIfTrue="1" operator="lessThan">
      <formula>0</formula>
    </cfRule>
  </conditionalFormatting>
  <conditionalFormatting sqref="Z20:Z51">
    <cfRule type="cellIs" dxfId="156" priority="5" stopIfTrue="1" operator="lessThan">
      <formula>0</formula>
    </cfRule>
  </conditionalFormatting>
  <conditionalFormatting sqref="Z1:AA1">
    <cfRule type="cellIs" dxfId="155" priority="11" stopIfTrue="1" operator="lessThan">
      <formula>0</formula>
    </cfRule>
  </conditionalFormatting>
  <conditionalFormatting sqref="AF1:AY1">
    <cfRule type="cellIs" dxfId="154" priority="3" stopIfTrue="1" operator="lessThan">
      <formula>0</formula>
    </cfRule>
  </conditionalFormatting>
  <conditionalFormatting sqref="AP20:AR10000">
    <cfRule type="cellIs" dxfId="153" priority="1" stopIfTrue="1" operator="lessThan">
      <formula>0</formula>
    </cfRule>
  </conditionalFormatting>
  <conditionalFormatting sqref="AS2:AY10000">
    <cfRule type="cellIs" dxfId="152" priority="2" stopIfTrue="1" operator="lessThan">
      <formula>0</formula>
    </cfRule>
  </conditionalFormatting>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3FD0-E6F1-4072-8CF2-BE56F31352CE}">
  <sheetPr>
    <tabColor theme="1" tint="0.39997558519241921"/>
  </sheetPr>
  <dimension ref="A1:E127"/>
  <sheetViews>
    <sheetView workbookViewId="0"/>
  </sheetViews>
  <sheetFormatPr defaultRowHeight="12" x14ac:dyDescent="0.2"/>
  <cols>
    <col min="1" max="1" width="7.7109375" style="40" customWidth="1"/>
    <col min="2" max="2" width="75.28515625" style="40" bestFit="1" customWidth="1"/>
    <col min="3" max="16384" width="9.140625" style="40"/>
  </cols>
  <sheetData>
    <row r="1" spans="1:5" x14ac:dyDescent="0.2">
      <c r="A1" s="109" t="s">
        <v>312</v>
      </c>
      <c r="B1" s="109" t="s">
        <v>313</v>
      </c>
    </row>
    <row r="2" spans="1:5" x14ac:dyDescent="0.2">
      <c r="A2" s="40" t="s">
        <v>1243</v>
      </c>
      <c r="B2" s="40" t="s">
        <v>888</v>
      </c>
    </row>
    <row r="3" spans="1:5" x14ac:dyDescent="0.2">
      <c r="A3" s="40" t="s">
        <v>727</v>
      </c>
      <c r="B3" s="40" t="s">
        <v>732</v>
      </c>
    </row>
    <row r="4" spans="1:5" x14ac:dyDescent="0.2">
      <c r="A4" s="40" t="s">
        <v>2860</v>
      </c>
      <c r="B4" s="40" t="s">
        <v>1669</v>
      </c>
    </row>
    <row r="5" spans="1:5" x14ac:dyDescent="0.2">
      <c r="A5" s="40" t="s">
        <v>8184</v>
      </c>
      <c r="B5" s="40" t="s">
        <v>8185</v>
      </c>
    </row>
    <row r="6" spans="1:5" x14ac:dyDescent="0.2">
      <c r="A6" s="40" t="s">
        <v>159</v>
      </c>
      <c r="B6" s="40" t="s">
        <v>160</v>
      </c>
    </row>
    <row r="7" spans="1:5" x14ac:dyDescent="0.2">
      <c r="A7" s="40" t="s">
        <v>73</v>
      </c>
      <c r="B7" s="40" t="s">
        <v>161</v>
      </c>
    </row>
    <row r="8" spans="1:5" x14ac:dyDescent="0.2">
      <c r="A8" s="40" t="s">
        <v>74</v>
      </c>
      <c r="B8" s="40" t="s">
        <v>162</v>
      </c>
      <c r="E8" s="101"/>
    </row>
    <row r="9" spans="1:5" x14ac:dyDescent="0.2">
      <c r="A9" s="40" t="s">
        <v>75</v>
      </c>
      <c r="B9" s="40" t="s">
        <v>163</v>
      </c>
    </row>
    <row r="10" spans="1:5" x14ac:dyDescent="0.2">
      <c r="A10" s="40" t="s">
        <v>76</v>
      </c>
      <c r="B10" s="40" t="s">
        <v>164</v>
      </c>
    </row>
    <row r="11" spans="1:5" x14ac:dyDescent="0.2">
      <c r="A11" s="40" t="s">
        <v>77</v>
      </c>
      <c r="B11" s="40" t="s">
        <v>165</v>
      </c>
    </row>
    <row r="12" spans="1:5" x14ac:dyDescent="0.2">
      <c r="A12" s="40" t="s">
        <v>78</v>
      </c>
      <c r="B12" s="40" t="s">
        <v>166</v>
      </c>
    </row>
    <row r="13" spans="1:5" x14ac:dyDescent="0.2">
      <c r="A13" s="40" t="s">
        <v>79</v>
      </c>
      <c r="B13" s="40" t="s">
        <v>167</v>
      </c>
    </row>
    <row r="14" spans="1:5" x14ac:dyDescent="0.2">
      <c r="A14" s="40" t="s">
        <v>80</v>
      </c>
      <c r="B14" s="40" t="s">
        <v>168</v>
      </c>
    </row>
    <row r="15" spans="1:5" x14ac:dyDescent="0.2">
      <c r="A15" s="40" t="s">
        <v>81</v>
      </c>
      <c r="B15" s="40" t="s">
        <v>169</v>
      </c>
    </row>
    <row r="16" spans="1:5" x14ac:dyDescent="0.2">
      <c r="A16" s="40" t="s">
        <v>82</v>
      </c>
      <c r="B16" s="40" t="s">
        <v>170</v>
      </c>
    </row>
    <row r="17" spans="1:2" x14ac:dyDescent="0.2">
      <c r="A17" s="40" t="s">
        <v>171</v>
      </c>
      <c r="B17" s="40" t="s">
        <v>172</v>
      </c>
    </row>
    <row r="18" spans="1:2" x14ac:dyDescent="0.2">
      <c r="A18" s="40" t="s">
        <v>83</v>
      </c>
      <c r="B18" s="40" t="s">
        <v>173</v>
      </c>
    </row>
    <row r="19" spans="1:2" x14ac:dyDescent="0.2">
      <c r="A19" s="40" t="s">
        <v>84</v>
      </c>
      <c r="B19" s="40" t="s">
        <v>174</v>
      </c>
    </row>
    <row r="20" spans="1:2" x14ac:dyDescent="0.2">
      <c r="A20" s="40" t="s">
        <v>175</v>
      </c>
      <c r="B20" s="40" t="s">
        <v>176</v>
      </c>
    </row>
    <row r="21" spans="1:2" x14ac:dyDescent="0.2">
      <c r="A21" s="40" t="s">
        <v>85</v>
      </c>
      <c r="B21" s="40" t="s">
        <v>177</v>
      </c>
    </row>
    <row r="22" spans="1:2" x14ac:dyDescent="0.2">
      <c r="A22" s="40" t="s">
        <v>86</v>
      </c>
      <c r="B22" s="40" t="s">
        <v>178</v>
      </c>
    </row>
    <row r="23" spans="1:2" x14ac:dyDescent="0.2">
      <c r="A23" s="40" t="s">
        <v>179</v>
      </c>
      <c r="B23" s="40" t="s">
        <v>180</v>
      </c>
    </row>
    <row r="24" spans="1:2" x14ac:dyDescent="0.2">
      <c r="A24" s="40" t="s">
        <v>87</v>
      </c>
      <c r="B24" s="40" t="s">
        <v>181</v>
      </c>
    </row>
    <row r="25" spans="1:2" x14ac:dyDescent="0.2">
      <c r="A25" s="40" t="s">
        <v>182</v>
      </c>
      <c r="B25" s="40" t="s">
        <v>183</v>
      </c>
    </row>
    <row r="26" spans="1:2" x14ac:dyDescent="0.2">
      <c r="A26" s="40" t="s">
        <v>88</v>
      </c>
      <c r="B26" s="40" t="s">
        <v>184</v>
      </c>
    </row>
    <row r="27" spans="1:2" x14ac:dyDescent="0.2">
      <c r="A27" s="40" t="s">
        <v>89</v>
      </c>
      <c r="B27" s="40" t="s">
        <v>185</v>
      </c>
    </row>
    <row r="28" spans="1:2" x14ac:dyDescent="0.2">
      <c r="A28" s="40" t="s">
        <v>186</v>
      </c>
      <c r="B28" s="40" t="s">
        <v>187</v>
      </c>
    </row>
    <row r="29" spans="1:2" x14ac:dyDescent="0.2">
      <c r="A29" s="40" t="s">
        <v>90</v>
      </c>
      <c r="B29" s="40" t="s">
        <v>188</v>
      </c>
    </row>
    <row r="30" spans="1:2" x14ac:dyDescent="0.2">
      <c r="A30" s="40" t="s">
        <v>91</v>
      </c>
      <c r="B30" s="40" t="s">
        <v>189</v>
      </c>
    </row>
    <row r="31" spans="1:2" x14ac:dyDescent="0.2">
      <c r="A31" s="40" t="s">
        <v>92</v>
      </c>
      <c r="B31" s="40" t="s">
        <v>190</v>
      </c>
    </row>
    <row r="32" spans="1:2" x14ac:dyDescent="0.2">
      <c r="A32" s="40" t="s">
        <v>93</v>
      </c>
      <c r="B32" s="40" t="s">
        <v>191</v>
      </c>
    </row>
    <row r="33" spans="1:2" x14ac:dyDescent="0.2">
      <c r="A33" s="40" t="s">
        <v>192</v>
      </c>
      <c r="B33" s="40" t="s">
        <v>193</v>
      </c>
    </row>
    <row r="34" spans="1:2" x14ac:dyDescent="0.2">
      <c r="A34" s="40" t="s">
        <v>8186</v>
      </c>
      <c r="B34" s="40" t="s">
        <v>8187</v>
      </c>
    </row>
    <row r="35" spans="1:2" x14ac:dyDescent="0.2">
      <c r="A35" s="40" t="s">
        <v>194</v>
      </c>
      <c r="B35" s="40" t="s">
        <v>195</v>
      </c>
    </row>
    <row r="36" spans="1:2" x14ac:dyDescent="0.2">
      <c r="A36" s="40" t="s">
        <v>726</v>
      </c>
      <c r="B36" s="40" t="s">
        <v>733</v>
      </c>
    </row>
    <row r="37" spans="1:2" x14ac:dyDescent="0.2">
      <c r="A37" s="40" t="s">
        <v>94</v>
      </c>
      <c r="B37" s="40" t="s">
        <v>196</v>
      </c>
    </row>
    <row r="38" spans="1:2" x14ac:dyDescent="0.2">
      <c r="A38" s="40" t="s">
        <v>95</v>
      </c>
      <c r="B38" s="40" t="s">
        <v>197</v>
      </c>
    </row>
    <row r="39" spans="1:2" x14ac:dyDescent="0.2">
      <c r="A39" s="40" t="s">
        <v>96</v>
      </c>
      <c r="B39" s="40" t="s">
        <v>198</v>
      </c>
    </row>
    <row r="40" spans="1:2" x14ac:dyDescent="0.2">
      <c r="A40" s="40" t="s">
        <v>199</v>
      </c>
      <c r="B40" s="40" t="s">
        <v>200</v>
      </c>
    </row>
    <row r="41" spans="1:2" x14ac:dyDescent="0.2">
      <c r="A41" s="40" t="s">
        <v>201</v>
      </c>
      <c r="B41" s="40" t="s">
        <v>202</v>
      </c>
    </row>
    <row r="42" spans="1:2" x14ac:dyDescent="0.2">
      <c r="A42" s="40" t="s">
        <v>97</v>
      </c>
      <c r="B42" s="40" t="s">
        <v>203</v>
      </c>
    </row>
    <row r="43" spans="1:2" x14ac:dyDescent="0.2">
      <c r="A43" s="40" t="s">
        <v>2033</v>
      </c>
      <c r="B43" s="40" t="s">
        <v>1372</v>
      </c>
    </row>
    <row r="44" spans="1:2" x14ac:dyDescent="0.2">
      <c r="A44" s="40" t="s">
        <v>98</v>
      </c>
      <c r="B44" s="40" t="s">
        <v>204</v>
      </c>
    </row>
    <row r="45" spans="1:2" x14ac:dyDescent="0.2">
      <c r="A45" s="40" t="s">
        <v>99</v>
      </c>
      <c r="B45" s="40" t="s">
        <v>205</v>
      </c>
    </row>
    <row r="46" spans="1:2" x14ac:dyDescent="0.2">
      <c r="A46" s="40" t="s">
        <v>100</v>
      </c>
      <c r="B46" s="40" t="s">
        <v>206</v>
      </c>
    </row>
    <row r="47" spans="1:2" x14ac:dyDescent="0.2">
      <c r="A47" s="40" t="s">
        <v>207</v>
      </c>
      <c r="B47" s="40" t="s">
        <v>208</v>
      </c>
    </row>
    <row r="48" spans="1:2" x14ac:dyDescent="0.2">
      <c r="A48" s="40" t="s">
        <v>101</v>
      </c>
      <c r="B48" s="40" t="s">
        <v>209</v>
      </c>
    </row>
    <row r="49" spans="1:2" x14ac:dyDescent="0.2">
      <c r="A49" s="40" t="s">
        <v>102</v>
      </c>
      <c r="B49" s="40" t="s">
        <v>210</v>
      </c>
    </row>
    <row r="50" spans="1:2" x14ac:dyDescent="0.2">
      <c r="A50" s="40" t="s">
        <v>728</v>
      </c>
      <c r="B50" s="40" t="s">
        <v>734</v>
      </c>
    </row>
    <row r="51" spans="1:2" x14ac:dyDescent="0.2">
      <c r="A51" s="40" t="s">
        <v>211</v>
      </c>
      <c r="B51" s="40" t="s">
        <v>212</v>
      </c>
    </row>
    <row r="52" spans="1:2" x14ac:dyDescent="0.2">
      <c r="A52" s="40" t="s">
        <v>213</v>
      </c>
      <c r="B52" s="40" t="s">
        <v>214</v>
      </c>
    </row>
    <row r="53" spans="1:2" x14ac:dyDescent="0.2">
      <c r="A53" s="40" t="s">
        <v>103</v>
      </c>
      <c r="B53" s="40" t="s">
        <v>215</v>
      </c>
    </row>
    <row r="54" spans="1:2" x14ac:dyDescent="0.2">
      <c r="A54" s="40" t="s">
        <v>8188</v>
      </c>
      <c r="B54" s="40" t="s">
        <v>8189</v>
      </c>
    </row>
    <row r="55" spans="1:2" x14ac:dyDescent="0.2">
      <c r="A55" s="40" t="s">
        <v>8190</v>
      </c>
      <c r="B55" s="40" t="s">
        <v>8191</v>
      </c>
    </row>
    <row r="56" spans="1:2" x14ac:dyDescent="0.2">
      <c r="A56" s="40" t="s">
        <v>104</v>
      </c>
      <c r="B56" s="40" t="s">
        <v>216</v>
      </c>
    </row>
    <row r="57" spans="1:2" x14ac:dyDescent="0.2">
      <c r="A57" s="40" t="s">
        <v>105</v>
      </c>
      <c r="B57" s="40" t="s">
        <v>217</v>
      </c>
    </row>
    <row r="58" spans="1:2" x14ac:dyDescent="0.2">
      <c r="A58" s="40" t="s">
        <v>106</v>
      </c>
      <c r="B58" s="40" t="s">
        <v>218</v>
      </c>
    </row>
    <row r="59" spans="1:2" x14ac:dyDescent="0.2">
      <c r="A59" s="40" t="s">
        <v>107</v>
      </c>
      <c r="B59" s="40" t="s">
        <v>219</v>
      </c>
    </row>
    <row r="60" spans="1:2" x14ac:dyDescent="0.2">
      <c r="A60" s="40" t="s">
        <v>108</v>
      </c>
      <c r="B60" s="40" t="s">
        <v>220</v>
      </c>
    </row>
    <row r="61" spans="1:2" x14ac:dyDescent="0.2">
      <c r="A61" s="40" t="s">
        <v>109</v>
      </c>
      <c r="B61" s="40" t="s">
        <v>221</v>
      </c>
    </row>
    <row r="62" spans="1:2" x14ac:dyDescent="0.2">
      <c r="A62" s="40" t="s">
        <v>110</v>
      </c>
      <c r="B62" s="40" t="s">
        <v>222</v>
      </c>
    </row>
    <row r="63" spans="1:2" x14ac:dyDescent="0.2">
      <c r="A63" s="40" t="s">
        <v>223</v>
      </c>
      <c r="B63" s="40" t="s">
        <v>224</v>
      </c>
    </row>
    <row r="64" spans="1:2" x14ac:dyDescent="0.2">
      <c r="A64" s="40" t="s">
        <v>111</v>
      </c>
      <c r="B64" s="40" t="s">
        <v>225</v>
      </c>
    </row>
    <row r="65" spans="1:2" x14ac:dyDescent="0.2">
      <c r="A65" s="40" t="s">
        <v>112</v>
      </c>
      <c r="B65" s="40" t="s">
        <v>226</v>
      </c>
    </row>
    <row r="66" spans="1:2" x14ac:dyDescent="0.2">
      <c r="A66" s="40" t="s">
        <v>113</v>
      </c>
      <c r="B66" s="40" t="s">
        <v>227</v>
      </c>
    </row>
    <row r="67" spans="1:2" x14ac:dyDescent="0.2">
      <c r="A67" s="40" t="s">
        <v>113</v>
      </c>
      <c r="B67" s="40" t="s">
        <v>228</v>
      </c>
    </row>
    <row r="68" spans="1:2" x14ac:dyDescent="0.2">
      <c r="A68" s="40" t="s">
        <v>114</v>
      </c>
      <c r="B68" s="40" t="s">
        <v>229</v>
      </c>
    </row>
    <row r="69" spans="1:2" x14ac:dyDescent="0.2">
      <c r="A69" s="40" t="s">
        <v>230</v>
      </c>
      <c r="B69" s="40" t="s">
        <v>231</v>
      </c>
    </row>
    <row r="70" spans="1:2" x14ac:dyDescent="0.2">
      <c r="A70" s="40" t="s">
        <v>232</v>
      </c>
      <c r="B70" s="40" t="s">
        <v>233</v>
      </c>
    </row>
    <row r="71" spans="1:2" x14ac:dyDescent="0.2">
      <c r="A71" s="40" t="s">
        <v>115</v>
      </c>
      <c r="B71" s="40" t="s">
        <v>234</v>
      </c>
    </row>
    <row r="72" spans="1:2" x14ac:dyDescent="0.2">
      <c r="A72" s="40" t="s">
        <v>235</v>
      </c>
      <c r="B72" s="40" t="s">
        <v>236</v>
      </c>
    </row>
    <row r="73" spans="1:2" x14ac:dyDescent="0.2">
      <c r="A73" s="40" t="s">
        <v>237</v>
      </c>
      <c r="B73" s="40" t="s">
        <v>238</v>
      </c>
    </row>
    <row r="74" spans="1:2" x14ac:dyDescent="0.2">
      <c r="A74" s="40" t="s">
        <v>239</v>
      </c>
      <c r="B74" s="40" t="s">
        <v>240</v>
      </c>
    </row>
    <row r="75" spans="1:2" x14ac:dyDescent="0.2">
      <c r="A75" s="40" t="s">
        <v>729</v>
      </c>
      <c r="B75" s="40" t="s">
        <v>735</v>
      </c>
    </row>
    <row r="76" spans="1:2" x14ac:dyDescent="0.2">
      <c r="A76" s="40" t="s">
        <v>241</v>
      </c>
      <c r="B76" s="40" t="s">
        <v>242</v>
      </c>
    </row>
    <row r="77" spans="1:2" x14ac:dyDescent="0.2">
      <c r="A77" s="40" t="s">
        <v>116</v>
      </c>
      <c r="B77" s="40" t="s">
        <v>243</v>
      </c>
    </row>
    <row r="78" spans="1:2" x14ac:dyDescent="0.2">
      <c r="A78" s="40" t="s">
        <v>244</v>
      </c>
      <c r="B78" s="40" t="s">
        <v>245</v>
      </c>
    </row>
    <row r="79" spans="1:2" x14ac:dyDescent="0.2">
      <c r="A79" s="40" t="s">
        <v>246</v>
      </c>
      <c r="B79" s="40" t="s">
        <v>247</v>
      </c>
    </row>
    <row r="80" spans="1:2" x14ac:dyDescent="0.2">
      <c r="A80" s="40" t="s">
        <v>117</v>
      </c>
      <c r="B80" s="40" t="s">
        <v>248</v>
      </c>
    </row>
    <row r="81" spans="1:2" x14ac:dyDescent="0.2">
      <c r="A81" s="40" t="s">
        <v>249</v>
      </c>
      <c r="B81" s="40" t="s">
        <v>250</v>
      </c>
    </row>
    <row r="82" spans="1:2" x14ac:dyDescent="0.2">
      <c r="A82" s="40" t="s">
        <v>251</v>
      </c>
      <c r="B82" s="40" t="s">
        <v>252</v>
      </c>
    </row>
    <row r="83" spans="1:2" x14ac:dyDescent="0.2">
      <c r="A83" s="40" t="s">
        <v>253</v>
      </c>
      <c r="B83" s="40" t="s">
        <v>254</v>
      </c>
    </row>
    <row r="84" spans="1:2" x14ac:dyDescent="0.2">
      <c r="A84" s="40" t="s">
        <v>255</v>
      </c>
      <c r="B84" s="40" t="s">
        <v>256</v>
      </c>
    </row>
    <row r="85" spans="1:2" x14ac:dyDescent="0.2">
      <c r="A85" s="40" t="s">
        <v>257</v>
      </c>
      <c r="B85" s="40" t="s">
        <v>258</v>
      </c>
    </row>
    <row r="86" spans="1:2" x14ac:dyDescent="0.2">
      <c r="A86" s="40" t="s">
        <v>8192</v>
      </c>
      <c r="B86" s="40" t="s">
        <v>883</v>
      </c>
    </row>
    <row r="87" spans="1:2" x14ac:dyDescent="0.2">
      <c r="A87" s="40" t="s">
        <v>259</v>
      </c>
      <c r="B87" s="40" t="s">
        <v>260</v>
      </c>
    </row>
    <row r="88" spans="1:2" x14ac:dyDescent="0.2">
      <c r="A88" s="40" t="s">
        <v>261</v>
      </c>
      <c r="B88" s="40" t="s">
        <v>262</v>
      </c>
    </row>
    <row r="89" spans="1:2" x14ac:dyDescent="0.2">
      <c r="A89" s="40" t="s">
        <v>8193</v>
      </c>
      <c r="B89" s="40" t="s">
        <v>8194</v>
      </c>
    </row>
    <row r="90" spans="1:2" x14ac:dyDescent="0.2">
      <c r="A90" s="40" t="s">
        <v>263</v>
      </c>
      <c r="B90" s="40" t="s">
        <v>264</v>
      </c>
    </row>
    <row r="91" spans="1:2" x14ac:dyDescent="0.2">
      <c r="A91" s="40" t="s">
        <v>265</v>
      </c>
      <c r="B91" s="40" t="s">
        <v>266</v>
      </c>
    </row>
    <row r="92" spans="1:2" x14ac:dyDescent="0.2">
      <c r="A92" s="40" t="s">
        <v>267</v>
      </c>
      <c r="B92" s="40" t="s">
        <v>268</v>
      </c>
    </row>
    <row r="93" spans="1:2" x14ac:dyDescent="0.2">
      <c r="A93" s="40" t="s">
        <v>118</v>
      </c>
      <c r="B93" s="40" t="s">
        <v>269</v>
      </c>
    </row>
    <row r="94" spans="1:2" x14ac:dyDescent="0.2">
      <c r="A94" s="40" t="s">
        <v>119</v>
      </c>
      <c r="B94" s="40" t="s">
        <v>270</v>
      </c>
    </row>
    <row r="95" spans="1:2" x14ac:dyDescent="0.2">
      <c r="A95" s="40" t="s">
        <v>120</v>
      </c>
      <c r="B95" s="40" t="s">
        <v>271</v>
      </c>
    </row>
    <row r="96" spans="1:2" x14ac:dyDescent="0.2">
      <c r="A96" s="40" t="s">
        <v>121</v>
      </c>
      <c r="B96" s="40" t="s">
        <v>272</v>
      </c>
    </row>
    <row r="97" spans="1:2" x14ac:dyDescent="0.2">
      <c r="A97" s="40" t="s">
        <v>122</v>
      </c>
      <c r="B97" s="40" t="s">
        <v>273</v>
      </c>
    </row>
    <row r="98" spans="1:2" x14ac:dyDescent="0.2">
      <c r="A98" s="40" t="s">
        <v>123</v>
      </c>
      <c r="B98" s="40" t="s">
        <v>274</v>
      </c>
    </row>
    <row r="99" spans="1:2" x14ac:dyDescent="0.2">
      <c r="A99" s="40" t="s">
        <v>124</v>
      </c>
      <c r="B99" s="40" t="s">
        <v>275</v>
      </c>
    </row>
    <row r="100" spans="1:2" x14ac:dyDescent="0.2">
      <c r="A100" s="40" t="s">
        <v>125</v>
      </c>
      <c r="B100" s="40" t="s">
        <v>276</v>
      </c>
    </row>
    <row r="101" spans="1:2" x14ac:dyDescent="0.2">
      <c r="A101" s="40" t="s">
        <v>126</v>
      </c>
      <c r="B101" s="40" t="s">
        <v>277</v>
      </c>
    </row>
    <row r="102" spans="1:2" x14ac:dyDescent="0.2">
      <c r="A102" s="40" t="s">
        <v>127</v>
      </c>
      <c r="B102" s="40" t="s">
        <v>278</v>
      </c>
    </row>
    <row r="103" spans="1:2" x14ac:dyDescent="0.2">
      <c r="A103" s="40" t="s">
        <v>128</v>
      </c>
      <c r="B103" s="40" t="s">
        <v>279</v>
      </c>
    </row>
    <row r="104" spans="1:2" x14ac:dyDescent="0.2">
      <c r="A104" s="40" t="s">
        <v>129</v>
      </c>
      <c r="B104" s="40" t="s">
        <v>280</v>
      </c>
    </row>
    <row r="105" spans="1:2" x14ac:dyDescent="0.2">
      <c r="A105" s="40" t="s">
        <v>130</v>
      </c>
      <c r="B105" s="40" t="s">
        <v>281</v>
      </c>
    </row>
    <row r="106" spans="1:2" x14ac:dyDescent="0.2">
      <c r="A106" s="40" t="s">
        <v>131</v>
      </c>
      <c r="B106" s="40" t="s">
        <v>282</v>
      </c>
    </row>
    <row r="107" spans="1:2" x14ac:dyDescent="0.2">
      <c r="A107" s="40" t="s">
        <v>132</v>
      </c>
      <c r="B107" s="40" t="s">
        <v>283</v>
      </c>
    </row>
    <row r="108" spans="1:2" x14ac:dyDescent="0.2">
      <c r="A108" s="40" t="s">
        <v>133</v>
      </c>
      <c r="B108" s="40" t="s">
        <v>284</v>
      </c>
    </row>
    <row r="109" spans="1:2" x14ac:dyDescent="0.2">
      <c r="A109" s="40" t="s">
        <v>285</v>
      </c>
      <c r="B109" s="40" t="s">
        <v>286</v>
      </c>
    </row>
    <row r="110" spans="1:2" x14ac:dyDescent="0.2">
      <c r="A110" s="40" t="s">
        <v>134</v>
      </c>
      <c r="B110" s="40" t="s">
        <v>287</v>
      </c>
    </row>
    <row r="111" spans="1:2" x14ac:dyDescent="0.2">
      <c r="A111" s="40" t="s">
        <v>288</v>
      </c>
      <c r="B111" s="40" t="s">
        <v>289</v>
      </c>
    </row>
    <row r="112" spans="1:2" x14ac:dyDescent="0.2">
      <c r="A112" s="40" t="s">
        <v>290</v>
      </c>
      <c r="B112" s="40" t="s">
        <v>291</v>
      </c>
    </row>
    <row r="113" spans="1:2" x14ac:dyDescent="0.2">
      <c r="A113" s="40" t="s">
        <v>292</v>
      </c>
      <c r="B113" s="40" t="s">
        <v>293</v>
      </c>
    </row>
    <row r="114" spans="1:2" x14ac:dyDescent="0.2">
      <c r="A114" s="40" t="s">
        <v>294</v>
      </c>
      <c r="B114" s="40" t="s">
        <v>295</v>
      </c>
    </row>
    <row r="115" spans="1:2" x14ac:dyDescent="0.2">
      <c r="A115" s="40" t="s">
        <v>296</v>
      </c>
      <c r="B115" s="40" t="s">
        <v>297</v>
      </c>
    </row>
    <row r="116" spans="1:2" x14ac:dyDescent="0.2">
      <c r="A116" s="40" t="s">
        <v>135</v>
      </c>
      <c r="B116" s="40" t="s">
        <v>298</v>
      </c>
    </row>
    <row r="117" spans="1:2" x14ac:dyDescent="0.2">
      <c r="A117" s="40" t="s">
        <v>136</v>
      </c>
      <c r="B117" s="40" t="s">
        <v>299</v>
      </c>
    </row>
    <row r="118" spans="1:2" x14ac:dyDescent="0.2">
      <c r="A118" s="40" t="s">
        <v>137</v>
      </c>
      <c r="B118" s="40" t="s">
        <v>300</v>
      </c>
    </row>
    <row r="119" spans="1:2" x14ac:dyDescent="0.2">
      <c r="A119" s="40" t="s">
        <v>138</v>
      </c>
      <c r="B119" s="40" t="s">
        <v>301</v>
      </c>
    </row>
    <row r="120" spans="1:2" x14ac:dyDescent="0.2">
      <c r="A120" s="40" t="s">
        <v>730</v>
      </c>
      <c r="B120" s="40" t="s">
        <v>709</v>
      </c>
    </row>
    <row r="121" spans="1:2" x14ac:dyDescent="0.2">
      <c r="A121" s="40" t="s">
        <v>302</v>
      </c>
      <c r="B121" s="40" t="s">
        <v>303</v>
      </c>
    </row>
    <row r="122" spans="1:2" x14ac:dyDescent="0.2">
      <c r="A122" s="40" t="s">
        <v>304</v>
      </c>
      <c r="B122" s="40" t="s">
        <v>305</v>
      </c>
    </row>
    <row r="123" spans="1:2" x14ac:dyDescent="0.2">
      <c r="A123" s="40" t="s">
        <v>731</v>
      </c>
      <c r="B123" s="40" t="s">
        <v>736</v>
      </c>
    </row>
    <row r="124" spans="1:2" x14ac:dyDescent="0.2">
      <c r="A124" s="40" t="s">
        <v>306</v>
      </c>
      <c r="B124" s="40" t="s">
        <v>307</v>
      </c>
    </row>
    <row r="125" spans="1:2" x14ac:dyDescent="0.2">
      <c r="A125" s="40" t="s">
        <v>308</v>
      </c>
      <c r="B125" s="40" t="s">
        <v>309</v>
      </c>
    </row>
    <row r="126" spans="1:2" x14ac:dyDescent="0.2">
      <c r="A126" s="40" t="s">
        <v>310</v>
      </c>
      <c r="B126" s="40" t="s">
        <v>311</v>
      </c>
    </row>
    <row r="127" spans="1:2" x14ac:dyDescent="0.2">
      <c r="A127" s="40" t="s">
        <v>8195</v>
      </c>
      <c r="B127" s="40" t="s">
        <v>8039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4FE2-5C82-4E07-AD92-C7925C7B5A3D}">
  <dimension ref="A1:W1901"/>
  <sheetViews>
    <sheetView workbookViewId="0">
      <selection sqref="A1:W1661"/>
    </sheetView>
  </sheetViews>
  <sheetFormatPr defaultRowHeight="11.25" x14ac:dyDescent="0.15"/>
  <cols>
    <col min="1" max="2" width="9.140625" style="34"/>
    <col min="3" max="3" width="16" style="34" bestFit="1" customWidth="1"/>
    <col min="4" max="5" width="11.85546875" style="34" bestFit="1" customWidth="1"/>
    <col min="6" max="6" width="11.5703125" style="34" bestFit="1" customWidth="1"/>
    <col min="7" max="7" width="9.28515625" style="34" bestFit="1" customWidth="1"/>
    <col min="8" max="9" width="9.140625" style="34"/>
    <col min="10" max="10" width="12.42578125" style="34" bestFit="1" customWidth="1"/>
    <col min="11" max="11" width="9.42578125" style="34" bestFit="1" customWidth="1"/>
    <col min="12" max="12" width="12.42578125" style="34" bestFit="1" customWidth="1"/>
    <col min="13" max="13" width="9.85546875" style="34" bestFit="1" customWidth="1"/>
    <col min="14" max="14" width="16.7109375" style="34" bestFit="1" customWidth="1"/>
    <col min="15" max="15" width="11.28515625" style="34" bestFit="1" customWidth="1"/>
    <col min="16" max="16384" width="9.140625" style="34"/>
  </cols>
  <sheetData>
    <row r="1" spans="1:23" ht="12" x14ac:dyDescent="0.2">
      <c r="A1" s="35" t="s">
        <v>477</v>
      </c>
      <c r="B1" s="36" t="s">
        <v>478</v>
      </c>
      <c r="C1" s="36" t="s">
        <v>479</v>
      </c>
      <c r="D1" s="37" t="s">
        <v>480</v>
      </c>
      <c r="E1" s="37" t="s">
        <v>315</v>
      </c>
      <c r="F1" s="37" t="s">
        <v>481</v>
      </c>
      <c r="G1" s="37" t="s">
        <v>316</v>
      </c>
      <c r="H1" s="36" t="s">
        <v>482</v>
      </c>
      <c r="I1" s="35" t="s">
        <v>483</v>
      </c>
      <c r="J1" s="37" t="s">
        <v>660</v>
      </c>
      <c r="K1" s="37" t="s">
        <v>661</v>
      </c>
      <c r="L1" s="37" t="s">
        <v>662</v>
      </c>
      <c r="M1" s="37" t="s">
        <v>484</v>
      </c>
      <c r="N1" s="38" t="s">
        <v>784</v>
      </c>
      <c r="O1" s="37" t="s">
        <v>663</v>
      </c>
      <c r="P1" s="36" t="s">
        <v>485</v>
      </c>
      <c r="Q1" s="36" t="s">
        <v>486</v>
      </c>
      <c r="R1" s="36" t="s">
        <v>487</v>
      </c>
      <c r="S1" s="36" t="s">
        <v>488</v>
      </c>
      <c r="T1" s="36" t="s">
        <v>489</v>
      </c>
      <c r="U1" s="36" t="s">
        <v>490</v>
      </c>
      <c r="V1" s="36" t="s">
        <v>491</v>
      </c>
      <c r="W1" s="36" t="s">
        <v>492</v>
      </c>
    </row>
    <row r="2" spans="1:23" ht="12" x14ac:dyDescent="0.2">
      <c r="A2" s="39" t="s">
        <v>376</v>
      </c>
      <c r="B2" s="40" t="s">
        <v>375</v>
      </c>
      <c r="C2" s="40" t="s">
        <v>378</v>
      </c>
      <c r="D2" s="41">
        <v>43832</v>
      </c>
      <c r="E2" s="41">
        <v>43862</v>
      </c>
      <c r="F2" s="41">
        <v>46091</v>
      </c>
      <c r="G2" s="42">
        <v>2229</v>
      </c>
      <c r="H2" s="40" t="s">
        <v>493</v>
      </c>
      <c r="I2" s="39" t="s">
        <v>320</v>
      </c>
      <c r="J2" s="43">
        <v>3836.57</v>
      </c>
      <c r="K2" s="43">
        <v>639.42999999999995</v>
      </c>
      <c r="L2" s="43">
        <v>2692.56</v>
      </c>
      <c r="M2" s="44">
        <v>448.76</v>
      </c>
      <c r="N2" s="44">
        <f>IF(I2="GBP",L2-K2,O2-K2)</f>
        <v>2053.13</v>
      </c>
      <c r="O2" s="44">
        <v>2692.56</v>
      </c>
      <c r="P2" s="40" t="s">
        <v>377</v>
      </c>
      <c r="Q2" s="40" t="s">
        <v>503</v>
      </c>
      <c r="R2" s="40" t="s">
        <v>494</v>
      </c>
      <c r="S2" s="40" t="s">
        <v>495</v>
      </c>
      <c r="T2" s="40" t="s">
        <v>189</v>
      </c>
      <c r="U2" s="40" t="s">
        <v>504</v>
      </c>
      <c r="V2" s="40" t="s">
        <v>3787</v>
      </c>
      <c r="W2" s="40" t="s">
        <v>505</v>
      </c>
    </row>
    <row r="3" spans="1:23" ht="12" x14ac:dyDescent="0.2">
      <c r="A3" s="39" t="s">
        <v>399</v>
      </c>
      <c r="B3" s="40" t="s">
        <v>398</v>
      </c>
      <c r="C3" s="40" t="s">
        <v>400</v>
      </c>
      <c r="D3" s="41">
        <v>43843</v>
      </c>
      <c r="E3" s="41">
        <v>43873</v>
      </c>
      <c r="F3" s="41">
        <v>46091</v>
      </c>
      <c r="G3" s="42">
        <v>2218</v>
      </c>
      <c r="H3" s="40" t="s">
        <v>493</v>
      </c>
      <c r="I3" s="39" t="s">
        <v>320</v>
      </c>
      <c r="J3" s="43">
        <v>37237.97</v>
      </c>
      <c r="K3" s="43">
        <v>6206.33</v>
      </c>
      <c r="L3" s="43">
        <v>37237.97</v>
      </c>
      <c r="M3" s="44">
        <v>6206.33</v>
      </c>
      <c r="N3" s="44">
        <f t="shared" ref="N3:N66" si="0">IF(I3="GBP",L3-K3,O3-K3)</f>
        <v>31031.64</v>
      </c>
      <c r="O3" s="44">
        <v>37237.97</v>
      </c>
      <c r="P3" s="40" t="s">
        <v>401</v>
      </c>
      <c r="Q3" s="40" t="s">
        <v>515</v>
      </c>
      <c r="R3" s="40" t="s">
        <v>494</v>
      </c>
      <c r="S3" s="40" t="s">
        <v>495</v>
      </c>
      <c r="T3" s="40" t="s">
        <v>188</v>
      </c>
      <c r="U3" s="40" t="s">
        <v>516</v>
      </c>
      <c r="V3" s="40" t="s">
        <v>1624</v>
      </c>
      <c r="W3" s="40"/>
    </row>
    <row r="4" spans="1:23" ht="12" x14ac:dyDescent="0.2">
      <c r="A4" s="39" t="s">
        <v>432</v>
      </c>
      <c r="B4" s="40" t="s">
        <v>431</v>
      </c>
      <c r="C4" s="40" t="s">
        <v>435</v>
      </c>
      <c r="D4" s="41">
        <v>43861</v>
      </c>
      <c r="E4" s="41">
        <v>43891</v>
      </c>
      <c r="F4" s="41">
        <v>46091</v>
      </c>
      <c r="G4" s="42">
        <v>2200</v>
      </c>
      <c r="H4" s="40" t="s">
        <v>493</v>
      </c>
      <c r="I4" s="39" t="s">
        <v>320</v>
      </c>
      <c r="J4" s="43">
        <v>172095.46</v>
      </c>
      <c r="K4" s="43">
        <v>28682.58</v>
      </c>
      <c r="L4" s="43">
        <v>172095.46</v>
      </c>
      <c r="M4" s="44">
        <v>28682.58</v>
      </c>
      <c r="N4" s="44">
        <f t="shared" si="0"/>
        <v>143412.88</v>
      </c>
      <c r="O4" s="44">
        <v>172095.46</v>
      </c>
      <c r="P4" s="40" t="s">
        <v>434</v>
      </c>
      <c r="Q4" s="40" t="s">
        <v>517</v>
      </c>
      <c r="R4" s="40" t="s">
        <v>494</v>
      </c>
      <c r="S4" s="40" t="s">
        <v>495</v>
      </c>
      <c r="T4" s="40" t="s">
        <v>225</v>
      </c>
      <c r="U4" s="40" t="s">
        <v>518</v>
      </c>
      <c r="V4" s="40" t="s">
        <v>1624</v>
      </c>
      <c r="W4" s="40" t="s">
        <v>321</v>
      </c>
    </row>
    <row r="5" spans="1:23" ht="12" x14ac:dyDescent="0.2">
      <c r="A5" s="39" t="s">
        <v>427</v>
      </c>
      <c r="B5" s="40" t="s">
        <v>426</v>
      </c>
      <c r="C5" s="40" t="s">
        <v>428</v>
      </c>
      <c r="D5" s="41">
        <v>43861</v>
      </c>
      <c r="E5" s="41">
        <v>43891</v>
      </c>
      <c r="F5" s="41">
        <v>46091</v>
      </c>
      <c r="G5" s="42">
        <v>2200</v>
      </c>
      <c r="H5" s="40" t="s">
        <v>493</v>
      </c>
      <c r="I5" s="39" t="s">
        <v>320</v>
      </c>
      <c r="J5" s="43">
        <v>16789.2</v>
      </c>
      <c r="K5" s="43">
        <v>2798.2</v>
      </c>
      <c r="L5" s="43">
        <v>16789.2</v>
      </c>
      <c r="M5" s="44">
        <v>2798.2</v>
      </c>
      <c r="N5" s="44">
        <f t="shared" si="0"/>
        <v>13991</v>
      </c>
      <c r="O5" s="44">
        <v>16789.2</v>
      </c>
      <c r="P5" s="40" t="s">
        <v>429</v>
      </c>
      <c r="Q5" s="40" t="s">
        <v>521</v>
      </c>
      <c r="R5" s="40" t="s">
        <v>494</v>
      </c>
      <c r="S5" s="40" t="s">
        <v>495</v>
      </c>
      <c r="T5" s="40" t="s">
        <v>225</v>
      </c>
      <c r="U5" s="40" t="s">
        <v>518</v>
      </c>
      <c r="V5" s="40" t="s">
        <v>1624</v>
      </c>
      <c r="W5" s="40" t="s">
        <v>321</v>
      </c>
    </row>
    <row r="6" spans="1:23" ht="12" x14ac:dyDescent="0.2">
      <c r="A6" s="39" t="s">
        <v>403</v>
      </c>
      <c r="B6" s="40" t="s">
        <v>402</v>
      </c>
      <c r="C6" s="40" t="s">
        <v>404</v>
      </c>
      <c r="D6" s="41">
        <v>43861</v>
      </c>
      <c r="E6" s="41">
        <v>43891</v>
      </c>
      <c r="F6" s="41">
        <v>46091</v>
      </c>
      <c r="G6" s="42">
        <v>2200</v>
      </c>
      <c r="H6" s="40" t="s">
        <v>493</v>
      </c>
      <c r="I6" s="39" t="s">
        <v>320</v>
      </c>
      <c r="J6" s="43">
        <v>296447.64</v>
      </c>
      <c r="K6" s="43">
        <v>49407.94</v>
      </c>
      <c r="L6" s="43">
        <v>296447.64</v>
      </c>
      <c r="M6" s="44">
        <v>49407.94</v>
      </c>
      <c r="N6" s="44">
        <f t="shared" si="0"/>
        <v>247039.7</v>
      </c>
      <c r="O6" s="44">
        <v>296447.64</v>
      </c>
      <c r="P6" s="40" t="s">
        <v>405</v>
      </c>
      <c r="Q6" s="40" t="s">
        <v>519</v>
      </c>
      <c r="R6" s="40" t="s">
        <v>494</v>
      </c>
      <c r="S6" s="40" t="s">
        <v>495</v>
      </c>
      <c r="T6" s="40" t="s">
        <v>225</v>
      </c>
      <c r="U6" s="40" t="s">
        <v>518</v>
      </c>
      <c r="V6" s="40" t="s">
        <v>1624</v>
      </c>
      <c r="W6" s="40" t="s">
        <v>321</v>
      </c>
    </row>
    <row r="7" spans="1:23" ht="12" x14ac:dyDescent="0.2">
      <c r="A7" s="39" t="s">
        <v>421</v>
      </c>
      <c r="B7" s="40" t="s">
        <v>420</v>
      </c>
      <c r="C7" s="40" t="s">
        <v>425</v>
      </c>
      <c r="D7" s="41">
        <v>43861</v>
      </c>
      <c r="E7" s="41">
        <v>43891</v>
      </c>
      <c r="F7" s="41">
        <v>46091</v>
      </c>
      <c r="G7" s="42">
        <v>2200</v>
      </c>
      <c r="H7" s="40" t="s">
        <v>493</v>
      </c>
      <c r="I7" s="39" t="s">
        <v>320</v>
      </c>
      <c r="J7" s="43">
        <v>356133.34</v>
      </c>
      <c r="K7" s="43">
        <v>59355.56</v>
      </c>
      <c r="L7" s="43">
        <v>356133.34</v>
      </c>
      <c r="M7" s="44">
        <v>59355.56</v>
      </c>
      <c r="N7" s="44">
        <f t="shared" si="0"/>
        <v>296777.78000000003</v>
      </c>
      <c r="O7" s="44">
        <v>356133.34</v>
      </c>
      <c r="P7" s="40" t="s">
        <v>423</v>
      </c>
      <c r="Q7" s="40" t="s">
        <v>520</v>
      </c>
      <c r="R7" s="40" t="s">
        <v>494</v>
      </c>
      <c r="S7" s="40" t="s">
        <v>495</v>
      </c>
      <c r="T7" s="40" t="s">
        <v>225</v>
      </c>
      <c r="U7" s="40" t="s">
        <v>518</v>
      </c>
      <c r="V7" s="40" t="s">
        <v>1624</v>
      </c>
      <c r="W7" s="40"/>
    </row>
    <row r="8" spans="1:23" ht="12" x14ac:dyDescent="0.2">
      <c r="A8" s="39" t="s">
        <v>376</v>
      </c>
      <c r="B8" s="40" t="s">
        <v>375</v>
      </c>
      <c r="C8" s="40" t="s">
        <v>379</v>
      </c>
      <c r="D8" s="41">
        <v>43865</v>
      </c>
      <c r="E8" s="41">
        <v>43895</v>
      </c>
      <c r="F8" s="41">
        <v>46091</v>
      </c>
      <c r="G8" s="42">
        <v>2196</v>
      </c>
      <c r="H8" s="40" t="s">
        <v>493</v>
      </c>
      <c r="I8" s="39" t="s">
        <v>320</v>
      </c>
      <c r="J8" s="43">
        <v>3836.57</v>
      </c>
      <c r="K8" s="43">
        <v>639.42999999999995</v>
      </c>
      <c r="L8" s="43">
        <v>3836.57</v>
      </c>
      <c r="M8" s="44">
        <v>639.42999999999995</v>
      </c>
      <c r="N8" s="44">
        <f t="shared" si="0"/>
        <v>3197.1400000000003</v>
      </c>
      <c r="O8" s="44">
        <v>3836.57</v>
      </c>
      <c r="P8" s="40" t="s">
        <v>377</v>
      </c>
      <c r="Q8" s="40" t="s">
        <v>503</v>
      </c>
      <c r="R8" s="40" t="s">
        <v>494</v>
      </c>
      <c r="S8" s="40" t="s">
        <v>495</v>
      </c>
      <c r="T8" s="40" t="s">
        <v>189</v>
      </c>
      <c r="U8" s="40" t="s">
        <v>504</v>
      </c>
      <c r="V8" s="40" t="s">
        <v>3787</v>
      </c>
      <c r="W8" s="40" t="s">
        <v>505</v>
      </c>
    </row>
    <row r="9" spans="1:23" ht="12" x14ac:dyDescent="0.2">
      <c r="A9" s="39" t="s">
        <v>376</v>
      </c>
      <c r="B9" s="40" t="s">
        <v>375</v>
      </c>
      <c r="C9" s="40" t="s">
        <v>380</v>
      </c>
      <c r="D9" s="41">
        <v>43892</v>
      </c>
      <c r="E9" s="41">
        <v>43922</v>
      </c>
      <c r="F9" s="41">
        <v>46091</v>
      </c>
      <c r="G9" s="42">
        <v>2169</v>
      </c>
      <c r="H9" s="40" t="s">
        <v>493</v>
      </c>
      <c r="I9" s="39" t="s">
        <v>320</v>
      </c>
      <c r="J9" s="43">
        <v>3836.57</v>
      </c>
      <c r="K9" s="43">
        <v>639.42999999999995</v>
      </c>
      <c r="L9" s="43">
        <v>3836.57</v>
      </c>
      <c r="M9" s="44">
        <v>639.42999999999995</v>
      </c>
      <c r="N9" s="44">
        <f t="shared" si="0"/>
        <v>3197.1400000000003</v>
      </c>
      <c r="O9" s="44">
        <v>3836.57</v>
      </c>
      <c r="P9" s="40" t="s">
        <v>377</v>
      </c>
      <c r="Q9" s="40" t="s">
        <v>503</v>
      </c>
      <c r="R9" s="40" t="s">
        <v>494</v>
      </c>
      <c r="S9" s="40" t="s">
        <v>495</v>
      </c>
      <c r="T9" s="40" t="s">
        <v>189</v>
      </c>
      <c r="U9" s="40" t="s">
        <v>504</v>
      </c>
      <c r="V9" s="40" t="s">
        <v>3787</v>
      </c>
      <c r="W9" s="40" t="s">
        <v>505</v>
      </c>
    </row>
    <row r="10" spans="1:23" ht="12" x14ac:dyDescent="0.2">
      <c r="A10" s="39" t="s">
        <v>376</v>
      </c>
      <c r="B10" s="40" t="s">
        <v>375</v>
      </c>
      <c r="C10" s="40" t="s">
        <v>381</v>
      </c>
      <c r="D10" s="41">
        <v>43922</v>
      </c>
      <c r="E10" s="41">
        <v>43952</v>
      </c>
      <c r="F10" s="41">
        <v>46091</v>
      </c>
      <c r="G10" s="42">
        <v>2139</v>
      </c>
      <c r="H10" s="40" t="s">
        <v>493</v>
      </c>
      <c r="I10" s="39" t="s">
        <v>320</v>
      </c>
      <c r="J10" s="43">
        <v>3836.57</v>
      </c>
      <c r="K10" s="43">
        <v>639.42999999999995</v>
      </c>
      <c r="L10" s="43">
        <v>3836.57</v>
      </c>
      <c r="M10" s="44">
        <v>639.42999999999995</v>
      </c>
      <c r="N10" s="44">
        <f t="shared" si="0"/>
        <v>3197.1400000000003</v>
      </c>
      <c r="O10" s="44">
        <v>3836.57</v>
      </c>
      <c r="P10" s="40" t="s">
        <v>377</v>
      </c>
      <c r="Q10" s="40" t="s">
        <v>503</v>
      </c>
      <c r="R10" s="40" t="s">
        <v>494</v>
      </c>
      <c r="S10" s="40" t="s">
        <v>495</v>
      </c>
      <c r="T10" s="40" t="s">
        <v>189</v>
      </c>
      <c r="U10" s="40" t="s">
        <v>504</v>
      </c>
      <c r="V10" s="40" t="s">
        <v>3787</v>
      </c>
      <c r="W10" s="40" t="s">
        <v>505</v>
      </c>
    </row>
    <row r="11" spans="1:23" ht="12" x14ac:dyDescent="0.2">
      <c r="A11" s="39" t="s">
        <v>376</v>
      </c>
      <c r="B11" s="40" t="s">
        <v>375</v>
      </c>
      <c r="C11" s="40" t="s">
        <v>382</v>
      </c>
      <c r="D11" s="41">
        <v>43952</v>
      </c>
      <c r="E11" s="41">
        <v>43982</v>
      </c>
      <c r="F11" s="41">
        <v>46091</v>
      </c>
      <c r="G11" s="42">
        <v>2109</v>
      </c>
      <c r="H11" s="40" t="s">
        <v>493</v>
      </c>
      <c r="I11" s="39" t="s">
        <v>320</v>
      </c>
      <c r="J11" s="43">
        <v>3836.57</v>
      </c>
      <c r="K11" s="43">
        <v>639.42999999999995</v>
      </c>
      <c r="L11" s="43">
        <v>3836.57</v>
      </c>
      <c r="M11" s="44">
        <v>639.42999999999995</v>
      </c>
      <c r="N11" s="44">
        <f t="shared" si="0"/>
        <v>3197.1400000000003</v>
      </c>
      <c r="O11" s="44">
        <v>3836.57</v>
      </c>
      <c r="P11" s="40" t="s">
        <v>377</v>
      </c>
      <c r="Q11" s="40" t="s">
        <v>503</v>
      </c>
      <c r="R11" s="40" t="s">
        <v>494</v>
      </c>
      <c r="S11" s="40" t="s">
        <v>495</v>
      </c>
      <c r="T11" s="40" t="s">
        <v>189</v>
      </c>
      <c r="U11" s="40" t="s">
        <v>504</v>
      </c>
      <c r="V11" s="40" t="s">
        <v>3787</v>
      </c>
      <c r="W11" s="40" t="s">
        <v>505</v>
      </c>
    </row>
    <row r="12" spans="1:23" ht="12" x14ac:dyDescent="0.2">
      <c r="A12" s="39" t="s">
        <v>408</v>
      </c>
      <c r="B12" s="40" t="s">
        <v>407</v>
      </c>
      <c r="C12" s="40" t="s">
        <v>409</v>
      </c>
      <c r="D12" s="41">
        <v>43979</v>
      </c>
      <c r="E12" s="41">
        <v>44009</v>
      </c>
      <c r="F12" s="41">
        <v>46091</v>
      </c>
      <c r="G12" s="42">
        <v>2082</v>
      </c>
      <c r="H12" s="40" t="s">
        <v>493</v>
      </c>
      <c r="I12" s="39" t="s">
        <v>320</v>
      </c>
      <c r="J12" s="43">
        <v>31939.05</v>
      </c>
      <c r="K12" s="43">
        <v>5323.18</v>
      </c>
      <c r="L12" s="43">
        <v>31939.05</v>
      </c>
      <c r="M12" s="44">
        <v>5323.18</v>
      </c>
      <c r="N12" s="44">
        <f t="shared" si="0"/>
        <v>26615.87</v>
      </c>
      <c r="O12" s="44">
        <v>31939.05</v>
      </c>
      <c r="P12" s="40" t="s">
        <v>410</v>
      </c>
      <c r="Q12" s="40" t="s">
        <v>524</v>
      </c>
      <c r="R12" s="40" t="s">
        <v>494</v>
      </c>
      <c r="S12" s="40" t="s">
        <v>495</v>
      </c>
      <c r="T12" s="40" t="s">
        <v>225</v>
      </c>
      <c r="U12" s="40" t="s">
        <v>518</v>
      </c>
      <c r="V12" s="40" t="s">
        <v>1624</v>
      </c>
      <c r="W12" s="40" t="s">
        <v>322</v>
      </c>
    </row>
    <row r="13" spans="1:23" ht="12" x14ac:dyDescent="0.2">
      <c r="A13" s="39" t="s">
        <v>427</v>
      </c>
      <c r="B13" s="40" t="s">
        <v>426</v>
      </c>
      <c r="C13" s="40" t="s">
        <v>430</v>
      </c>
      <c r="D13" s="41">
        <v>43979</v>
      </c>
      <c r="E13" s="41">
        <v>44009</v>
      </c>
      <c r="F13" s="41">
        <v>46091</v>
      </c>
      <c r="G13" s="42">
        <v>2082</v>
      </c>
      <c r="H13" s="40" t="s">
        <v>493</v>
      </c>
      <c r="I13" s="39" t="s">
        <v>320</v>
      </c>
      <c r="J13" s="43">
        <v>17203.37</v>
      </c>
      <c r="K13" s="43">
        <v>2867.23</v>
      </c>
      <c r="L13" s="43">
        <v>17203.37</v>
      </c>
      <c r="M13" s="44">
        <v>2867.23</v>
      </c>
      <c r="N13" s="44">
        <f t="shared" si="0"/>
        <v>14336.14</v>
      </c>
      <c r="O13" s="44">
        <v>17203.37</v>
      </c>
      <c r="P13" s="40" t="s">
        <v>429</v>
      </c>
      <c r="Q13" s="40" t="s">
        <v>521</v>
      </c>
      <c r="R13" s="40" t="s">
        <v>494</v>
      </c>
      <c r="S13" s="40" t="s">
        <v>495</v>
      </c>
      <c r="T13" s="40" t="s">
        <v>225</v>
      </c>
      <c r="U13" s="40" t="s">
        <v>518</v>
      </c>
      <c r="V13" s="40" t="s">
        <v>1624</v>
      </c>
      <c r="W13" s="40" t="s">
        <v>321</v>
      </c>
    </row>
    <row r="14" spans="1:23" ht="12" x14ac:dyDescent="0.2">
      <c r="A14" s="39" t="s">
        <v>432</v>
      </c>
      <c r="B14" s="40" t="s">
        <v>431</v>
      </c>
      <c r="C14" s="40" t="s">
        <v>433</v>
      </c>
      <c r="D14" s="41">
        <v>43979</v>
      </c>
      <c r="E14" s="41">
        <v>44009</v>
      </c>
      <c r="F14" s="41">
        <v>46091</v>
      </c>
      <c r="G14" s="42">
        <v>2082</v>
      </c>
      <c r="H14" s="40" t="s">
        <v>493</v>
      </c>
      <c r="I14" s="39" t="s">
        <v>320</v>
      </c>
      <c r="J14" s="43">
        <v>40663.25</v>
      </c>
      <c r="K14" s="43">
        <v>6777.21</v>
      </c>
      <c r="L14" s="43">
        <v>40663.25</v>
      </c>
      <c r="M14" s="44">
        <v>6777.21</v>
      </c>
      <c r="N14" s="44">
        <f t="shared" si="0"/>
        <v>33886.04</v>
      </c>
      <c r="O14" s="44">
        <v>40663.25</v>
      </c>
      <c r="P14" s="40" t="s">
        <v>434</v>
      </c>
      <c r="Q14" s="40" t="s">
        <v>517</v>
      </c>
      <c r="R14" s="40" t="s">
        <v>494</v>
      </c>
      <c r="S14" s="40" t="s">
        <v>495</v>
      </c>
      <c r="T14" s="40" t="s">
        <v>225</v>
      </c>
      <c r="U14" s="40" t="s">
        <v>518</v>
      </c>
      <c r="V14" s="40" t="s">
        <v>1624</v>
      </c>
      <c r="W14" s="40" t="s">
        <v>321</v>
      </c>
    </row>
    <row r="15" spans="1:23" ht="12" x14ac:dyDescent="0.2">
      <c r="A15" s="39" t="s">
        <v>376</v>
      </c>
      <c r="B15" s="40" t="s">
        <v>375</v>
      </c>
      <c r="C15" s="40" t="s">
        <v>383</v>
      </c>
      <c r="D15" s="41">
        <v>43983</v>
      </c>
      <c r="E15" s="41">
        <v>44013</v>
      </c>
      <c r="F15" s="41">
        <v>46091</v>
      </c>
      <c r="G15" s="42">
        <v>2078</v>
      </c>
      <c r="H15" s="40" t="s">
        <v>493</v>
      </c>
      <c r="I15" s="39" t="s">
        <v>320</v>
      </c>
      <c r="J15" s="43">
        <v>3836.57</v>
      </c>
      <c r="K15" s="43">
        <v>639.42999999999995</v>
      </c>
      <c r="L15" s="43">
        <v>3836.57</v>
      </c>
      <c r="M15" s="44">
        <v>639.42999999999995</v>
      </c>
      <c r="N15" s="44">
        <f t="shared" si="0"/>
        <v>3197.1400000000003</v>
      </c>
      <c r="O15" s="44">
        <v>3836.57</v>
      </c>
      <c r="P15" s="40" t="s">
        <v>377</v>
      </c>
      <c r="Q15" s="40" t="s">
        <v>503</v>
      </c>
      <c r="R15" s="40" t="s">
        <v>494</v>
      </c>
      <c r="S15" s="40" t="s">
        <v>495</v>
      </c>
      <c r="T15" s="40" t="s">
        <v>189</v>
      </c>
      <c r="U15" s="40" t="s">
        <v>504</v>
      </c>
      <c r="V15" s="40" t="s">
        <v>3787</v>
      </c>
      <c r="W15" s="40" t="s">
        <v>505</v>
      </c>
    </row>
    <row r="16" spans="1:23" ht="12" x14ac:dyDescent="0.2">
      <c r="A16" s="39" t="s">
        <v>417</v>
      </c>
      <c r="B16" s="40" t="s">
        <v>416</v>
      </c>
      <c r="C16" s="40" t="s">
        <v>418</v>
      </c>
      <c r="D16" s="41">
        <v>44004</v>
      </c>
      <c r="E16" s="41">
        <v>44034</v>
      </c>
      <c r="F16" s="41">
        <v>46091</v>
      </c>
      <c r="G16" s="42">
        <v>2057</v>
      </c>
      <c r="H16" s="40" t="s">
        <v>493</v>
      </c>
      <c r="I16" s="39" t="s">
        <v>320</v>
      </c>
      <c r="J16" s="43">
        <v>27410.85</v>
      </c>
      <c r="K16" s="43">
        <v>4568.4799999999996</v>
      </c>
      <c r="L16" s="43">
        <v>27410.85</v>
      </c>
      <c r="M16" s="44">
        <v>4568.4799999999996</v>
      </c>
      <c r="N16" s="44">
        <f t="shared" si="0"/>
        <v>22842.37</v>
      </c>
      <c r="O16" s="44">
        <v>27410.85</v>
      </c>
      <c r="P16" s="40" t="s">
        <v>419</v>
      </c>
      <c r="Q16" s="40" t="s">
        <v>526</v>
      </c>
      <c r="R16" s="40" t="s">
        <v>494</v>
      </c>
      <c r="S16" s="40" t="s">
        <v>495</v>
      </c>
      <c r="T16" s="40" t="s">
        <v>507</v>
      </c>
      <c r="U16" s="40" t="s">
        <v>527</v>
      </c>
      <c r="V16" s="40" t="s">
        <v>1624</v>
      </c>
      <c r="W16" s="40" t="s">
        <v>322</v>
      </c>
    </row>
    <row r="17" spans="1:23" ht="12" x14ac:dyDescent="0.2">
      <c r="A17" s="39" t="s">
        <v>376</v>
      </c>
      <c r="B17" s="40" t="s">
        <v>375</v>
      </c>
      <c r="C17" s="40" t="s">
        <v>384</v>
      </c>
      <c r="D17" s="41">
        <v>44013</v>
      </c>
      <c r="E17" s="41">
        <v>44043</v>
      </c>
      <c r="F17" s="41">
        <v>46091</v>
      </c>
      <c r="G17" s="42">
        <v>2048</v>
      </c>
      <c r="H17" s="40" t="s">
        <v>493</v>
      </c>
      <c r="I17" s="39" t="s">
        <v>320</v>
      </c>
      <c r="J17" s="43">
        <v>3836.57</v>
      </c>
      <c r="K17" s="43">
        <v>639.42999999999995</v>
      </c>
      <c r="L17" s="43">
        <v>3836.57</v>
      </c>
      <c r="M17" s="44">
        <v>639.42999999999995</v>
      </c>
      <c r="N17" s="44">
        <f t="shared" si="0"/>
        <v>3197.1400000000003</v>
      </c>
      <c r="O17" s="44">
        <v>3836.57</v>
      </c>
      <c r="P17" s="40" t="s">
        <v>377</v>
      </c>
      <c r="Q17" s="40" t="s">
        <v>503</v>
      </c>
      <c r="R17" s="40" t="s">
        <v>494</v>
      </c>
      <c r="S17" s="40" t="s">
        <v>495</v>
      </c>
      <c r="T17" s="40" t="s">
        <v>189</v>
      </c>
      <c r="U17" s="40" t="s">
        <v>504</v>
      </c>
      <c r="V17" s="40" t="s">
        <v>3787</v>
      </c>
      <c r="W17" s="40" t="s">
        <v>505</v>
      </c>
    </row>
    <row r="18" spans="1:23" ht="12" x14ac:dyDescent="0.2">
      <c r="A18" s="39" t="s">
        <v>376</v>
      </c>
      <c r="B18" s="40" t="s">
        <v>375</v>
      </c>
      <c r="C18" s="40" t="s">
        <v>385</v>
      </c>
      <c r="D18" s="41">
        <v>44056</v>
      </c>
      <c r="E18" s="41">
        <v>44086</v>
      </c>
      <c r="F18" s="41">
        <v>46091</v>
      </c>
      <c r="G18" s="42">
        <v>2005</v>
      </c>
      <c r="H18" s="40" t="s">
        <v>493</v>
      </c>
      <c r="I18" s="39" t="s">
        <v>320</v>
      </c>
      <c r="J18" s="43">
        <v>3836.57</v>
      </c>
      <c r="K18" s="43">
        <v>639.42999999999995</v>
      </c>
      <c r="L18" s="43">
        <v>3836.57</v>
      </c>
      <c r="M18" s="44">
        <v>639.42999999999995</v>
      </c>
      <c r="N18" s="44">
        <f t="shared" si="0"/>
        <v>3197.1400000000003</v>
      </c>
      <c r="O18" s="44">
        <v>3836.57</v>
      </c>
      <c r="P18" s="40" t="s">
        <v>377</v>
      </c>
      <c r="Q18" s="40" t="s">
        <v>503</v>
      </c>
      <c r="R18" s="40" t="s">
        <v>494</v>
      </c>
      <c r="S18" s="40" t="s">
        <v>495</v>
      </c>
      <c r="T18" s="40" t="s">
        <v>189</v>
      </c>
      <c r="U18" s="40" t="s">
        <v>504</v>
      </c>
      <c r="V18" s="40" t="s">
        <v>3787</v>
      </c>
      <c r="W18" s="40" t="s">
        <v>505</v>
      </c>
    </row>
    <row r="19" spans="1:23" ht="12" x14ac:dyDescent="0.2">
      <c r="A19" s="39" t="s">
        <v>376</v>
      </c>
      <c r="B19" s="40" t="s">
        <v>375</v>
      </c>
      <c r="C19" s="40" t="s">
        <v>386</v>
      </c>
      <c r="D19" s="41">
        <v>44075</v>
      </c>
      <c r="E19" s="41">
        <v>44105</v>
      </c>
      <c r="F19" s="41">
        <v>46091</v>
      </c>
      <c r="G19" s="42">
        <v>1986</v>
      </c>
      <c r="H19" s="40" t="s">
        <v>493</v>
      </c>
      <c r="I19" s="39" t="s">
        <v>320</v>
      </c>
      <c r="J19" s="43">
        <v>3836.57</v>
      </c>
      <c r="K19" s="43">
        <v>639.42999999999995</v>
      </c>
      <c r="L19" s="43">
        <v>3836.57</v>
      </c>
      <c r="M19" s="44">
        <v>639.42999999999995</v>
      </c>
      <c r="N19" s="44">
        <f t="shared" si="0"/>
        <v>3197.1400000000003</v>
      </c>
      <c r="O19" s="44">
        <v>3836.57</v>
      </c>
      <c r="P19" s="40" t="s">
        <v>377</v>
      </c>
      <c r="Q19" s="40" t="s">
        <v>503</v>
      </c>
      <c r="R19" s="40" t="s">
        <v>494</v>
      </c>
      <c r="S19" s="40" t="s">
        <v>495</v>
      </c>
      <c r="T19" s="40" t="s">
        <v>189</v>
      </c>
      <c r="U19" s="40" t="s">
        <v>504</v>
      </c>
      <c r="V19" s="40" t="s">
        <v>3787</v>
      </c>
      <c r="W19" s="40" t="s">
        <v>505</v>
      </c>
    </row>
    <row r="20" spans="1:23" ht="12" x14ac:dyDescent="0.2">
      <c r="A20" s="39" t="s">
        <v>421</v>
      </c>
      <c r="B20" s="40" t="s">
        <v>420</v>
      </c>
      <c r="C20" s="40" t="s">
        <v>422</v>
      </c>
      <c r="D20" s="41">
        <v>44082</v>
      </c>
      <c r="E20" s="41">
        <v>44112</v>
      </c>
      <c r="F20" s="41">
        <v>46091</v>
      </c>
      <c r="G20" s="42">
        <v>1979</v>
      </c>
      <c r="H20" s="40" t="s">
        <v>493</v>
      </c>
      <c r="I20" s="39" t="s">
        <v>320</v>
      </c>
      <c r="J20" s="43">
        <v>754499.15</v>
      </c>
      <c r="K20" s="43">
        <v>125749.86</v>
      </c>
      <c r="L20" s="43">
        <v>754499.15</v>
      </c>
      <c r="M20" s="44">
        <v>125749.86</v>
      </c>
      <c r="N20" s="44">
        <f t="shared" si="0"/>
        <v>628749.29</v>
      </c>
      <c r="O20" s="44">
        <v>754499.15</v>
      </c>
      <c r="P20" s="40" t="s">
        <v>423</v>
      </c>
      <c r="Q20" s="40" t="s">
        <v>520</v>
      </c>
      <c r="R20" s="40" t="s">
        <v>494</v>
      </c>
      <c r="S20" s="40" t="s">
        <v>495</v>
      </c>
      <c r="T20" s="40" t="s">
        <v>225</v>
      </c>
      <c r="U20" s="40" t="s">
        <v>518</v>
      </c>
      <c r="V20" s="40" t="s">
        <v>1624</v>
      </c>
      <c r="W20" s="40"/>
    </row>
    <row r="21" spans="1:23" ht="12" x14ac:dyDescent="0.2">
      <c r="A21" s="39" t="s">
        <v>403</v>
      </c>
      <c r="B21" s="40" t="s">
        <v>402</v>
      </c>
      <c r="C21" s="40" t="s">
        <v>406</v>
      </c>
      <c r="D21" s="41">
        <v>44097</v>
      </c>
      <c r="E21" s="41">
        <v>44127</v>
      </c>
      <c r="F21" s="41">
        <v>46091</v>
      </c>
      <c r="G21" s="42">
        <v>1964</v>
      </c>
      <c r="H21" s="40" t="s">
        <v>493</v>
      </c>
      <c r="I21" s="39" t="s">
        <v>320</v>
      </c>
      <c r="J21" s="43">
        <v>232489.77</v>
      </c>
      <c r="K21" s="43">
        <v>38748.300000000003</v>
      </c>
      <c r="L21" s="43">
        <v>232489.77</v>
      </c>
      <c r="M21" s="44">
        <v>38748.300000000003</v>
      </c>
      <c r="N21" s="44">
        <f t="shared" si="0"/>
        <v>193741.46999999997</v>
      </c>
      <c r="O21" s="44">
        <v>232489.77</v>
      </c>
      <c r="P21" s="40" t="s">
        <v>405</v>
      </c>
      <c r="Q21" s="40" t="s">
        <v>519</v>
      </c>
      <c r="R21" s="40" t="s">
        <v>494</v>
      </c>
      <c r="S21" s="40" t="s">
        <v>495</v>
      </c>
      <c r="T21" s="40" t="s">
        <v>225</v>
      </c>
      <c r="U21" s="40" t="s">
        <v>518</v>
      </c>
      <c r="V21" s="40" t="s">
        <v>1624</v>
      </c>
      <c r="W21" s="40" t="s">
        <v>321</v>
      </c>
    </row>
    <row r="22" spans="1:23" ht="12" x14ac:dyDescent="0.2">
      <c r="A22" s="39" t="s">
        <v>376</v>
      </c>
      <c r="B22" s="40" t="s">
        <v>375</v>
      </c>
      <c r="C22" s="40" t="s">
        <v>387</v>
      </c>
      <c r="D22" s="41">
        <v>44105</v>
      </c>
      <c r="E22" s="41">
        <v>44135</v>
      </c>
      <c r="F22" s="41">
        <v>46091</v>
      </c>
      <c r="G22" s="42">
        <v>1956</v>
      </c>
      <c r="H22" s="40" t="s">
        <v>493</v>
      </c>
      <c r="I22" s="39" t="s">
        <v>320</v>
      </c>
      <c r="J22" s="43">
        <v>3836.57</v>
      </c>
      <c r="K22" s="43">
        <v>639.42999999999995</v>
      </c>
      <c r="L22" s="43">
        <v>3836.57</v>
      </c>
      <c r="M22" s="44">
        <v>639.42999999999995</v>
      </c>
      <c r="N22" s="44">
        <f t="shared" si="0"/>
        <v>3197.1400000000003</v>
      </c>
      <c r="O22" s="44">
        <v>3836.57</v>
      </c>
      <c r="P22" s="40" t="s">
        <v>377</v>
      </c>
      <c r="Q22" s="40" t="s">
        <v>503</v>
      </c>
      <c r="R22" s="40" t="s">
        <v>494</v>
      </c>
      <c r="S22" s="40" t="s">
        <v>495</v>
      </c>
      <c r="T22" s="40" t="s">
        <v>189</v>
      </c>
      <c r="U22" s="40" t="s">
        <v>504</v>
      </c>
      <c r="V22" s="40" t="s">
        <v>3787</v>
      </c>
      <c r="W22" s="40" t="s">
        <v>505</v>
      </c>
    </row>
    <row r="23" spans="1:23" ht="12" x14ac:dyDescent="0.2">
      <c r="A23" s="39" t="s">
        <v>376</v>
      </c>
      <c r="B23" s="40" t="s">
        <v>375</v>
      </c>
      <c r="C23" s="40" t="s">
        <v>388</v>
      </c>
      <c r="D23" s="41">
        <v>44137</v>
      </c>
      <c r="E23" s="41">
        <v>44167</v>
      </c>
      <c r="F23" s="41">
        <v>46091</v>
      </c>
      <c r="G23" s="42">
        <v>1924</v>
      </c>
      <c r="H23" s="40" t="s">
        <v>493</v>
      </c>
      <c r="I23" s="39" t="s">
        <v>320</v>
      </c>
      <c r="J23" s="43">
        <v>3836.57</v>
      </c>
      <c r="K23" s="43">
        <v>639.42999999999995</v>
      </c>
      <c r="L23" s="43">
        <v>3836.57</v>
      </c>
      <c r="M23" s="44">
        <v>639.42999999999995</v>
      </c>
      <c r="N23" s="44">
        <f t="shared" si="0"/>
        <v>3197.1400000000003</v>
      </c>
      <c r="O23" s="44">
        <v>3836.57</v>
      </c>
      <c r="P23" s="40" t="s">
        <v>377</v>
      </c>
      <c r="Q23" s="40" t="s">
        <v>503</v>
      </c>
      <c r="R23" s="40" t="s">
        <v>494</v>
      </c>
      <c r="S23" s="40" t="s">
        <v>495</v>
      </c>
      <c r="T23" s="40" t="s">
        <v>189</v>
      </c>
      <c r="U23" s="40" t="s">
        <v>504</v>
      </c>
      <c r="V23" s="40" t="s">
        <v>3787</v>
      </c>
      <c r="W23" s="40" t="s">
        <v>505</v>
      </c>
    </row>
    <row r="24" spans="1:23" ht="12" x14ac:dyDescent="0.2">
      <c r="A24" s="39" t="s">
        <v>376</v>
      </c>
      <c r="B24" s="40" t="s">
        <v>375</v>
      </c>
      <c r="C24" s="40" t="s">
        <v>965</v>
      </c>
      <c r="D24" s="41">
        <v>44166</v>
      </c>
      <c r="E24" s="41">
        <v>44196</v>
      </c>
      <c r="F24" s="41">
        <v>46091</v>
      </c>
      <c r="G24" s="42">
        <v>1895</v>
      </c>
      <c r="H24" s="40" t="s">
        <v>493</v>
      </c>
      <c r="I24" s="39" t="s">
        <v>320</v>
      </c>
      <c r="J24" s="43">
        <v>3836.57</v>
      </c>
      <c r="K24" s="43">
        <v>639.42999999999995</v>
      </c>
      <c r="L24" s="43">
        <v>3836.57</v>
      </c>
      <c r="M24" s="44">
        <v>639.42999999999995</v>
      </c>
      <c r="N24" s="44">
        <f t="shared" si="0"/>
        <v>3197.1400000000003</v>
      </c>
      <c r="O24" s="44">
        <v>3836.57</v>
      </c>
      <c r="P24" s="40" t="s">
        <v>377</v>
      </c>
      <c r="Q24" s="40" t="s">
        <v>503</v>
      </c>
      <c r="R24" s="40" t="s">
        <v>494</v>
      </c>
      <c r="S24" s="40" t="s">
        <v>495</v>
      </c>
      <c r="T24" s="40" t="s">
        <v>189</v>
      </c>
      <c r="U24" s="40" t="s">
        <v>504</v>
      </c>
      <c r="V24" s="40" t="s">
        <v>3787</v>
      </c>
      <c r="W24" s="40" t="s">
        <v>505</v>
      </c>
    </row>
    <row r="25" spans="1:23" ht="12" x14ac:dyDescent="0.2">
      <c r="A25" s="39" t="s">
        <v>31</v>
      </c>
      <c r="B25" s="40" t="s">
        <v>353</v>
      </c>
      <c r="C25" s="40" t="s">
        <v>354</v>
      </c>
      <c r="D25" s="41">
        <v>44173</v>
      </c>
      <c r="E25" s="41">
        <v>44203</v>
      </c>
      <c r="F25" s="41">
        <v>46091</v>
      </c>
      <c r="G25" s="42">
        <v>1888</v>
      </c>
      <c r="H25" s="40" t="s">
        <v>493</v>
      </c>
      <c r="I25" s="39" t="s">
        <v>320</v>
      </c>
      <c r="J25" s="43">
        <v>-4385</v>
      </c>
      <c r="K25" s="43">
        <v>0</v>
      </c>
      <c r="L25" s="43">
        <v>-4385</v>
      </c>
      <c r="M25" s="44">
        <v>0</v>
      </c>
      <c r="N25" s="44">
        <f t="shared" si="0"/>
        <v>-4385</v>
      </c>
      <c r="O25" s="44">
        <v>-4385</v>
      </c>
      <c r="P25" s="40" t="s">
        <v>355</v>
      </c>
      <c r="Q25" s="40" t="s">
        <v>531</v>
      </c>
      <c r="R25" s="40" t="s">
        <v>494</v>
      </c>
      <c r="S25" s="40" t="s">
        <v>495</v>
      </c>
      <c r="T25" s="40" t="s">
        <v>221</v>
      </c>
      <c r="U25" s="40" t="s">
        <v>532</v>
      </c>
      <c r="V25" s="40" t="s">
        <v>3788</v>
      </c>
      <c r="W25" s="40" t="s">
        <v>533</v>
      </c>
    </row>
    <row r="26" spans="1:23" ht="12" x14ac:dyDescent="0.2">
      <c r="A26" s="39" t="s">
        <v>421</v>
      </c>
      <c r="B26" s="40" t="s">
        <v>420</v>
      </c>
      <c r="C26" s="40" t="s">
        <v>424</v>
      </c>
      <c r="D26" s="41">
        <v>44218</v>
      </c>
      <c r="E26" s="41">
        <v>44248</v>
      </c>
      <c r="F26" s="41">
        <v>46091</v>
      </c>
      <c r="G26" s="42">
        <v>1843</v>
      </c>
      <c r="H26" s="40" t="s">
        <v>493</v>
      </c>
      <c r="I26" s="39" t="s">
        <v>320</v>
      </c>
      <c r="J26" s="43">
        <v>749559.52</v>
      </c>
      <c r="K26" s="43">
        <v>124926.59</v>
      </c>
      <c r="L26" s="43">
        <v>749559.52</v>
      </c>
      <c r="M26" s="44">
        <v>124926.59</v>
      </c>
      <c r="N26" s="44">
        <f t="shared" si="0"/>
        <v>624632.93000000005</v>
      </c>
      <c r="O26" s="44">
        <v>749559.52</v>
      </c>
      <c r="P26" s="40" t="s">
        <v>423</v>
      </c>
      <c r="Q26" s="40" t="s">
        <v>520</v>
      </c>
      <c r="R26" s="40" t="s">
        <v>494</v>
      </c>
      <c r="S26" s="40" t="s">
        <v>495</v>
      </c>
      <c r="T26" s="40" t="s">
        <v>225</v>
      </c>
      <c r="U26" s="40" t="s">
        <v>518</v>
      </c>
      <c r="V26" s="40" t="s">
        <v>1624</v>
      </c>
      <c r="W26" s="40"/>
    </row>
    <row r="27" spans="1:23" ht="12" x14ac:dyDescent="0.2">
      <c r="A27" s="39" t="s">
        <v>461</v>
      </c>
      <c r="B27" s="40" t="s">
        <v>460</v>
      </c>
      <c r="C27" s="40" t="s">
        <v>462</v>
      </c>
      <c r="D27" s="41">
        <v>44339</v>
      </c>
      <c r="E27" s="41">
        <v>44369</v>
      </c>
      <c r="F27" s="41">
        <v>46091</v>
      </c>
      <c r="G27" s="42">
        <v>1722</v>
      </c>
      <c r="H27" s="40" t="s">
        <v>493</v>
      </c>
      <c r="I27" s="39" t="s">
        <v>320</v>
      </c>
      <c r="J27" s="43">
        <v>125834.25</v>
      </c>
      <c r="K27" s="43">
        <v>0</v>
      </c>
      <c r="L27" s="43">
        <v>125834.25</v>
      </c>
      <c r="M27" s="44">
        <v>0</v>
      </c>
      <c r="N27" s="44">
        <f t="shared" si="0"/>
        <v>125834.25</v>
      </c>
      <c r="O27" s="44">
        <v>125834.25</v>
      </c>
      <c r="P27" s="40" t="s">
        <v>463</v>
      </c>
      <c r="Q27" s="40" t="s">
        <v>539</v>
      </c>
      <c r="R27" s="40" t="s">
        <v>494</v>
      </c>
      <c r="S27" s="40" t="s">
        <v>495</v>
      </c>
      <c r="T27" s="40" t="s">
        <v>282</v>
      </c>
      <c r="U27" s="40" t="s">
        <v>540</v>
      </c>
      <c r="V27" s="40" t="s">
        <v>3789</v>
      </c>
      <c r="W27" s="40" t="s">
        <v>2111</v>
      </c>
    </row>
    <row r="28" spans="1:23" ht="12" x14ac:dyDescent="0.2">
      <c r="A28" s="39" t="s">
        <v>349</v>
      </c>
      <c r="B28" s="40" t="s">
        <v>348</v>
      </c>
      <c r="C28" s="40" t="s">
        <v>350</v>
      </c>
      <c r="D28" s="41">
        <v>44428</v>
      </c>
      <c r="E28" s="41">
        <v>44458</v>
      </c>
      <c r="F28" s="41">
        <v>46091</v>
      </c>
      <c r="G28" s="42">
        <v>1633</v>
      </c>
      <c r="H28" s="40" t="s">
        <v>493</v>
      </c>
      <c r="I28" s="39" t="s">
        <v>320</v>
      </c>
      <c r="J28" s="43">
        <v>62500</v>
      </c>
      <c r="K28" s="43">
        <v>0</v>
      </c>
      <c r="L28" s="43">
        <v>36000</v>
      </c>
      <c r="M28" s="44">
        <v>0</v>
      </c>
      <c r="N28" s="44">
        <f t="shared" si="0"/>
        <v>36000</v>
      </c>
      <c r="O28" s="44">
        <v>36000</v>
      </c>
      <c r="P28" s="40" t="s">
        <v>351</v>
      </c>
      <c r="Q28" s="40" t="s">
        <v>551</v>
      </c>
      <c r="R28" s="40" t="s">
        <v>494</v>
      </c>
      <c r="S28" s="40" t="s">
        <v>495</v>
      </c>
      <c r="T28" s="40" t="s">
        <v>220</v>
      </c>
      <c r="U28" s="40" t="s">
        <v>552</v>
      </c>
      <c r="V28" s="40" t="s">
        <v>3790</v>
      </c>
      <c r="W28" s="40"/>
    </row>
    <row r="29" spans="1:23" ht="12" x14ac:dyDescent="0.2">
      <c r="A29" s="39" t="s">
        <v>357</v>
      </c>
      <c r="B29" s="40" t="s">
        <v>356</v>
      </c>
      <c r="C29" s="40" t="s">
        <v>606</v>
      </c>
      <c r="D29" s="41">
        <v>44489</v>
      </c>
      <c r="E29" s="41">
        <v>44519</v>
      </c>
      <c r="F29" s="41">
        <v>46091</v>
      </c>
      <c r="G29" s="42">
        <v>1572</v>
      </c>
      <c r="H29" s="40" t="s">
        <v>493</v>
      </c>
      <c r="I29" s="39" t="s">
        <v>341</v>
      </c>
      <c r="J29" s="43">
        <v>41394.620000000003</v>
      </c>
      <c r="K29" s="43">
        <v>0</v>
      </c>
      <c r="L29" s="43">
        <v>7021.66</v>
      </c>
      <c r="M29" s="44">
        <v>0</v>
      </c>
      <c r="N29" s="44">
        <f t="shared" si="0"/>
        <v>6160.1</v>
      </c>
      <c r="O29" s="44">
        <v>6160.1</v>
      </c>
      <c r="P29" s="40" t="s">
        <v>359</v>
      </c>
      <c r="Q29" s="40" t="s">
        <v>510</v>
      </c>
      <c r="R29" s="40" t="s">
        <v>494</v>
      </c>
      <c r="S29" s="40" t="s">
        <v>495</v>
      </c>
      <c r="T29" s="40" t="s">
        <v>289</v>
      </c>
      <c r="U29" s="40" t="s">
        <v>558</v>
      </c>
      <c r="V29" s="40" t="s">
        <v>3791</v>
      </c>
      <c r="W29" s="40" t="s">
        <v>511</v>
      </c>
    </row>
    <row r="30" spans="1:23" ht="12" x14ac:dyDescent="0.2">
      <c r="A30" s="39" t="s">
        <v>36</v>
      </c>
      <c r="B30" s="40" t="s">
        <v>352</v>
      </c>
      <c r="C30" s="40" t="s">
        <v>610</v>
      </c>
      <c r="D30" s="41">
        <v>44495</v>
      </c>
      <c r="E30" s="41">
        <v>44525</v>
      </c>
      <c r="F30" s="41">
        <v>46091</v>
      </c>
      <c r="G30" s="42">
        <v>1566</v>
      </c>
      <c r="H30" s="40" t="s">
        <v>493</v>
      </c>
      <c r="I30" s="39" t="s">
        <v>320</v>
      </c>
      <c r="J30" s="43">
        <v>96590.720000000001</v>
      </c>
      <c r="K30" s="43">
        <v>0</v>
      </c>
      <c r="L30" s="43">
        <v>15010</v>
      </c>
      <c r="M30" s="44">
        <v>0</v>
      </c>
      <c r="N30" s="44">
        <f t="shared" si="0"/>
        <v>15010</v>
      </c>
      <c r="O30" s="44">
        <v>15010</v>
      </c>
      <c r="P30" s="40" t="s">
        <v>611</v>
      </c>
      <c r="Q30" s="40" t="s">
        <v>612</v>
      </c>
      <c r="R30" s="40" t="s">
        <v>494</v>
      </c>
      <c r="S30" s="40" t="s">
        <v>495</v>
      </c>
      <c r="T30" s="40" t="s">
        <v>343</v>
      </c>
      <c r="U30" s="40" t="s">
        <v>613</v>
      </c>
      <c r="V30" s="40" t="s">
        <v>3792</v>
      </c>
      <c r="W30" s="40" t="s">
        <v>614</v>
      </c>
    </row>
    <row r="31" spans="1:23" ht="12" x14ac:dyDescent="0.2">
      <c r="A31" s="39" t="s">
        <v>357</v>
      </c>
      <c r="B31" s="40" t="s">
        <v>356</v>
      </c>
      <c r="C31" s="40" t="s">
        <v>622</v>
      </c>
      <c r="D31" s="41">
        <v>44505</v>
      </c>
      <c r="E31" s="41">
        <v>44535</v>
      </c>
      <c r="F31" s="41">
        <v>46091</v>
      </c>
      <c r="G31" s="42">
        <v>1556</v>
      </c>
      <c r="H31" s="40" t="s">
        <v>493</v>
      </c>
      <c r="I31" s="39" t="s">
        <v>341</v>
      </c>
      <c r="J31" s="43">
        <v>1043093.38</v>
      </c>
      <c r="K31" s="43">
        <v>0</v>
      </c>
      <c r="L31" s="43">
        <v>56940.800000000003</v>
      </c>
      <c r="M31" s="44">
        <v>0</v>
      </c>
      <c r="N31" s="44">
        <f t="shared" si="0"/>
        <v>48374.06</v>
      </c>
      <c r="O31" s="44">
        <v>48374.06</v>
      </c>
      <c r="P31" s="40" t="s">
        <v>360</v>
      </c>
      <c r="Q31" s="40" t="s">
        <v>522</v>
      </c>
      <c r="R31" s="40" t="s">
        <v>494</v>
      </c>
      <c r="S31" s="40" t="s">
        <v>495</v>
      </c>
      <c r="T31" s="40" t="s">
        <v>225</v>
      </c>
      <c r="U31" s="40" t="s">
        <v>574</v>
      </c>
      <c r="V31" s="40" t="s">
        <v>3793</v>
      </c>
      <c r="W31" s="40" t="s">
        <v>523</v>
      </c>
    </row>
    <row r="32" spans="1:23" ht="12" x14ac:dyDescent="0.2">
      <c r="A32" s="39" t="s">
        <v>357</v>
      </c>
      <c r="B32" s="40" t="s">
        <v>356</v>
      </c>
      <c r="C32" s="40" t="s">
        <v>669</v>
      </c>
      <c r="D32" s="41">
        <v>44600</v>
      </c>
      <c r="E32" s="41">
        <v>44630</v>
      </c>
      <c r="F32" s="41">
        <v>46091</v>
      </c>
      <c r="G32" s="42">
        <v>1461</v>
      </c>
      <c r="H32" s="40" t="s">
        <v>493</v>
      </c>
      <c r="I32" s="39" t="s">
        <v>341</v>
      </c>
      <c r="J32" s="43">
        <v>15397.83</v>
      </c>
      <c r="K32" s="43">
        <v>0</v>
      </c>
      <c r="L32" s="43">
        <v>15397.83</v>
      </c>
      <c r="M32" s="44">
        <v>0</v>
      </c>
      <c r="N32" s="44">
        <f t="shared" si="0"/>
        <v>13081.23</v>
      </c>
      <c r="O32" s="44">
        <v>13081.23</v>
      </c>
      <c r="P32" s="40" t="s">
        <v>360</v>
      </c>
      <c r="Q32" s="40" t="s">
        <v>522</v>
      </c>
      <c r="R32" s="40" t="s">
        <v>494</v>
      </c>
      <c r="S32" s="40" t="s">
        <v>495</v>
      </c>
      <c r="T32" s="40" t="s">
        <v>225</v>
      </c>
      <c r="U32" s="40" t="s">
        <v>574</v>
      </c>
      <c r="V32" s="40" t="s">
        <v>3793</v>
      </c>
      <c r="W32" s="40" t="s">
        <v>523</v>
      </c>
    </row>
    <row r="33" spans="1:23" ht="12" x14ac:dyDescent="0.2">
      <c r="A33" s="39" t="s">
        <v>357</v>
      </c>
      <c r="B33" s="40" t="s">
        <v>356</v>
      </c>
      <c r="C33" s="40" t="s">
        <v>670</v>
      </c>
      <c r="D33" s="41">
        <v>44620</v>
      </c>
      <c r="E33" s="41">
        <v>44650</v>
      </c>
      <c r="F33" s="41">
        <v>46091</v>
      </c>
      <c r="G33" s="42">
        <v>1441</v>
      </c>
      <c r="H33" s="40" t="s">
        <v>493</v>
      </c>
      <c r="I33" s="39" t="s">
        <v>341</v>
      </c>
      <c r="J33" s="43">
        <v>54317.42</v>
      </c>
      <c r="K33" s="43">
        <v>0</v>
      </c>
      <c r="L33" s="43">
        <v>14600.3</v>
      </c>
      <c r="M33" s="44">
        <v>0</v>
      </c>
      <c r="N33" s="44">
        <f t="shared" si="0"/>
        <v>12547.52</v>
      </c>
      <c r="O33" s="44">
        <v>12547.52</v>
      </c>
      <c r="P33" s="40" t="s">
        <v>671</v>
      </c>
      <c r="Q33" s="40" t="s">
        <v>672</v>
      </c>
      <c r="R33" s="40" t="s">
        <v>494</v>
      </c>
      <c r="S33" s="40" t="s">
        <v>495</v>
      </c>
      <c r="T33" s="40" t="s">
        <v>169</v>
      </c>
      <c r="U33" s="40" t="s">
        <v>634</v>
      </c>
      <c r="V33" s="40" t="s">
        <v>3791</v>
      </c>
      <c r="W33" s="40"/>
    </row>
    <row r="34" spans="1:23" ht="12" x14ac:dyDescent="0.2">
      <c r="A34" s="39" t="s">
        <v>357</v>
      </c>
      <c r="B34" s="40" t="s">
        <v>356</v>
      </c>
      <c r="C34" s="40" t="s">
        <v>683</v>
      </c>
      <c r="D34" s="41">
        <v>44662</v>
      </c>
      <c r="E34" s="41">
        <v>44692</v>
      </c>
      <c r="F34" s="41">
        <v>46091</v>
      </c>
      <c r="G34" s="42">
        <v>1399</v>
      </c>
      <c r="H34" s="40" t="s">
        <v>493</v>
      </c>
      <c r="I34" s="39" t="s">
        <v>341</v>
      </c>
      <c r="J34" s="43">
        <v>5070.42</v>
      </c>
      <c r="K34" s="43">
        <v>0</v>
      </c>
      <c r="L34" s="43">
        <v>5070.42</v>
      </c>
      <c r="M34" s="44">
        <v>0</v>
      </c>
      <c r="N34" s="44">
        <f t="shared" si="0"/>
        <v>4302.2</v>
      </c>
      <c r="O34" s="44">
        <v>4302.2</v>
      </c>
      <c r="P34" s="40" t="s">
        <v>360</v>
      </c>
      <c r="Q34" s="40" t="s">
        <v>522</v>
      </c>
      <c r="R34" s="40" t="s">
        <v>494</v>
      </c>
      <c r="S34" s="40" t="s">
        <v>495</v>
      </c>
      <c r="T34" s="40" t="s">
        <v>225</v>
      </c>
      <c r="U34" s="40" t="s">
        <v>574</v>
      </c>
      <c r="V34" s="40" t="s">
        <v>3793</v>
      </c>
      <c r="W34" s="40" t="s">
        <v>523</v>
      </c>
    </row>
    <row r="35" spans="1:23" ht="12" x14ac:dyDescent="0.2">
      <c r="A35" s="39" t="s">
        <v>357</v>
      </c>
      <c r="B35" s="40" t="s">
        <v>356</v>
      </c>
      <c r="C35" s="40" t="s">
        <v>689</v>
      </c>
      <c r="D35" s="41">
        <v>44685</v>
      </c>
      <c r="E35" s="41">
        <v>44715</v>
      </c>
      <c r="F35" s="41">
        <v>46091</v>
      </c>
      <c r="G35" s="42">
        <v>1376</v>
      </c>
      <c r="H35" s="40" t="s">
        <v>493</v>
      </c>
      <c r="I35" s="39" t="s">
        <v>341</v>
      </c>
      <c r="J35" s="43">
        <v>94210.68</v>
      </c>
      <c r="K35" s="43">
        <v>0</v>
      </c>
      <c r="L35" s="43">
        <v>52100.03</v>
      </c>
      <c r="M35" s="44">
        <v>0</v>
      </c>
      <c r="N35" s="44">
        <f t="shared" si="0"/>
        <v>44408.5</v>
      </c>
      <c r="O35" s="44">
        <v>44408.5</v>
      </c>
      <c r="P35" s="40" t="s">
        <v>679</v>
      </c>
      <c r="Q35" s="40" t="s">
        <v>680</v>
      </c>
      <c r="R35" s="40" t="s">
        <v>494</v>
      </c>
      <c r="S35" s="40" t="s">
        <v>495</v>
      </c>
      <c r="T35" s="40" t="s">
        <v>330</v>
      </c>
      <c r="U35" s="40" t="s">
        <v>681</v>
      </c>
      <c r="V35" s="40" t="s">
        <v>3791</v>
      </c>
      <c r="W35" s="40" t="s">
        <v>682</v>
      </c>
    </row>
    <row r="36" spans="1:23" ht="12" x14ac:dyDescent="0.2">
      <c r="A36" s="39" t="s">
        <v>357</v>
      </c>
      <c r="B36" s="40" t="s">
        <v>356</v>
      </c>
      <c r="C36" s="40" t="s">
        <v>695</v>
      </c>
      <c r="D36" s="41">
        <v>44721</v>
      </c>
      <c r="E36" s="41">
        <v>44751</v>
      </c>
      <c r="F36" s="41">
        <v>46091</v>
      </c>
      <c r="G36" s="42">
        <v>1340</v>
      </c>
      <c r="H36" s="40" t="s">
        <v>493</v>
      </c>
      <c r="I36" s="39" t="s">
        <v>341</v>
      </c>
      <c r="J36" s="43">
        <v>4927.4399999999996</v>
      </c>
      <c r="K36" s="43">
        <v>0</v>
      </c>
      <c r="L36" s="43">
        <v>4927.4399999999996</v>
      </c>
      <c r="M36" s="44">
        <v>0</v>
      </c>
      <c r="N36" s="44">
        <f t="shared" si="0"/>
        <v>4200</v>
      </c>
      <c r="O36" s="44">
        <v>4200</v>
      </c>
      <c r="P36" s="40" t="s">
        <v>679</v>
      </c>
      <c r="Q36" s="40" t="s">
        <v>680</v>
      </c>
      <c r="R36" s="40" t="s">
        <v>494</v>
      </c>
      <c r="S36" s="40" t="s">
        <v>495</v>
      </c>
      <c r="T36" s="40" t="s">
        <v>330</v>
      </c>
      <c r="U36" s="40" t="s">
        <v>681</v>
      </c>
      <c r="V36" s="40" t="s">
        <v>3791</v>
      </c>
      <c r="W36" s="40" t="s">
        <v>682</v>
      </c>
    </row>
    <row r="37" spans="1:23" ht="12" x14ac:dyDescent="0.2">
      <c r="A37" s="39" t="s">
        <v>357</v>
      </c>
      <c r="B37" s="40" t="s">
        <v>356</v>
      </c>
      <c r="C37" s="40" t="s">
        <v>696</v>
      </c>
      <c r="D37" s="41">
        <v>44722</v>
      </c>
      <c r="E37" s="41">
        <v>44752</v>
      </c>
      <c r="F37" s="41">
        <v>46091</v>
      </c>
      <c r="G37" s="42">
        <v>1339</v>
      </c>
      <c r="H37" s="40" t="s">
        <v>493</v>
      </c>
      <c r="I37" s="39" t="s">
        <v>341</v>
      </c>
      <c r="J37" s="43">
        <v>42459.15</v>
      </c>
      <c r="K37" s="43">
        <v>0</v>
      </c>
      <c r="L37" s="43">
        <v>6238.94</v>
      </c>
      <c r="M37" s="44">
        <v>0</v>
      </c>
      <c r="N37" s="44">
        <f t="shared" si="0"/>
        <v>5304.03</v>
      </c>
      <c r="O37" s="44">
        <v>5304.03</v>
      </c>
      <c r="P37" s="40" t="s">
        <v>697</v>
      </c>
      <c r="Q37" s="40" t="s">
        <v>698</v>
      </c>
      <c r="R37" s="40" t="s">
        <v>494</v>
      </c>
      <c r="S37" s="40" t="s">
        <v>495</v>
      </c>
      <c r="T37" s="40" t="s">
        <v>311</v>
      </c>
      <c r="U37" s="40" t="s">
        <v>699</v>
      </c>
      <c r="V37" s="40" t="s">
        <v>3791</v>
      </c>
      <c r="W37" s="40" t="s">
        <v>700</v>
      </c>
    </row>
    <row r="38" spans="1:23" ht="12" x14ac:dyDescent="0.2">
      <c r="A38" s="39" t="s">
        <v>27</v>
      </c>
      <c r="B38" s="40" t="s">
        <v>476</v>
      </c>
      <c r="C38" s="40" t="s">
        <v>737</v>
      </c>
      <c r="D38" s="41">
        <v>44761</v>
      </c>
      <c r="E38" s="41">
        <v>44791</v>
      </c>
      <c r="F38" s="41">
        <v>46091</v>
      </c>
      <c r="G38" s="42">
        <v>1300</v>
      </c>
      <c r="H38" s="40" t="s">
        <v>493</v>
      </c>
      <c r="I38" s="39" t="s">
        <v>320</v>
      </c>
      <c r="J38" s="43">
        <v>304758.58</v>
      </c>
      <c r="K38" s="43">
        <v>0</v>
      </c>
      <c r="L38" s="43">
        <v>15068.12</v>
      </c>
      <c r="M38" s="44">
        <v>0</v>
      </c>
      <c r="N38" s="44">
        <f t="shared" si="0"/>
        <v>15068.12</v>
      </c>
      <c r="O38" s="44">
        <v>15068.12</v>
      </c>
      <c r="P38" s="40" t="s">
        <v>738</v>
      </c>
      <c r="Q38" s="40" t="s">
        <v>739</v>
      </c>
      <c r="R38" s="40" t="s">
        <v>494</v>
      </c>
      <c r="S38" s="40" t="s">
        <v>495</v>
      </c>
      <c r="T38" s="40" t="s">
        <v>165</v>
      </c>
      <c r="U38" s="40" t="s">
        <v>740</v>
      </c>
      <c r="V38" s="40" t="s">
        <v>3794</v>
      </c>
      <c r="W38" s="40" t="s">
        <v>741</v>
      </c>
    </row>
    <row r="39" spans="1:23" ht="12" x14ac:dyDescent="0.2">
      <c r="A39" s="39" t="s">
        <v>16</v>
      </c>
      <c r="B39" s="40" t="s">
        <v>414</v>
      </c>
      <c r="C39" s="40" t="s">
        <v>746</v>
      </c>
      <c r="D39" s="41">
        <v>44783</v>
      </c>
      <c r="E39" s="41">
        <v>44813</v>
      </c>
      <c r="F39" s="41">
        <v>46091</v>
      </c>
      <c r="G39" s="42">
        <v>1278</v>
      </c>
      <c r="H39" s="40" t="s">
        <v>493</v>
      </c>
      <c r="I39" s="39" t="s">
        <v>320</v>
      </c>
      <c r="J39" s="43">
        <v>11149.23</v>
      </c>
      <c r="K39" s="43">
        <v>0</v>
      </c>
      <c r="L39" s="43">
        <v>11149.23</v>
      </c>
      <c r="M39" s="44">
        <v>0</v>
      </c>
      <c r="N39" s="44">
        <f t="shared" si="0"/>
        <v>11149.23</v>
      </c>
      <c r="O39" s="44">
        <v>11149.23</v>
      </c>
      <c r="P39" s="40" t="s">
        <v>747</v>
      </c>
      <c r="Q39" s="40" t="s">
        <v>748</v>
      </c>
      <c r="R39" s="40" t="s">
        <v>494</v>
      </c>
      <c r="S39" s="40" t="s">
        <v>495</v>
      </c>
      <c r="T39" s="40" t="s">
        <v>289</v>
      </c>
      <c r="U39" s="40" t="s">
        <v>749</v>
      </c>
      <c r="V39" s="40" t="s">
        <v>3795</v>
      </c>
      <c r="W39" s="40" t="s">
        <v>750</v>
      </c>
    </row>
    <row r="40" spans="1:23" ht="12" x14ac:dyDescent="0.2">
      <c r="A40" s="39" t="s">
        <v>446</v>
      </c>
      <c r="B40" s="40" t="s">
        <v>445</v>
      </c>
      <c r="C40" s="40" t="s">
        <v>751</v>
      </c>
      <c r="D40" s="41">
        <v>44784</v>
      </c>
      <c r="E40" s="41">
        <v>44814</v>
      </c>
      <c r="F40" s="41">
        <v>46091</v>
      </c>
      <c r="G40" s="42">
        <v>1277</v>
      </c>
      <c r="H40" s="40" t="s">
        <v>493</v>
      </c>
      <c r="I40" s="39" t="s">
        <v>320</v>
      </c>
      <c r="J40" s="43">
        <v>20000</v>
      </c>
      <c r="K40" s="43">
        <v>0</v>
      </c>
      <c r="L40" s="43">
        <v>20000</v>
      </c>
      <c r="M40" s="44">
        <v>0</v>
      </c>
      <c r="N40" s="44">
        <f t="shared" si="0"/>
        <v>20000</v>
      </c>
      <c r="O40" s="44">
        <v>20000</v>
      </c>
      <c r="P40" s="40" t="s">
        <v>447</v>
      </c>
      <c r="Q40" s="40" t="s">
        <v>548</v>
      </c>
      <c r="R40" s="40" t="s">
        <v>494</v>
      </c>
      <c r="S40" s="40" t="s">
        <v>502</v>
      </c>
      <c r="T40" s="40" t="s">
        <v>181</v>
      </c>
      <c r="U40" s="40" t="s">
        <v>562</v>
      </c>
      <c r="V40" s="40" t="s">
        <v>3796</v>
      </c>
      <c r="W40" s="40" t="s">
        <v>321</v>
      </c>
    </row>
    <row r="41" spans="1:23" ht="12" x14ac:dyDescent="0.2">
      <c r="A41" s="39" t="s">
        <v>36</v>
      </c>
      <c r="B41" s="40" t="s">
        <v>352</v>
      </c>
      <c r="C41" s="40" t="s">
        <v>758</v>
      </c>
      <c r="D41" s="41">
        <v>44812</v>
      </c>
      <c r="E41" s="41">
        <v>44842</v>
      </c>
      <c r="F41" s="41">
        <v>46091</v>
      </c>
      <c r="G41" s="42">
        <v>1249</v>
      </c>
      <c r="H41" s="40" t="s">
        <v>493</v>
      </c>
      <c r="I41" s="39" t="s">
        <v>320</v>
      </c>
      <c r="J41" s="43">
        <v>22627.79</v>
      </c>
      <c r="K41" s="43">
        <v>0</v>
      </c>
      <c r="L41" s="43">
        <v>22627.79</v>
      </c>
      <c r="M41" s="44">
        <v>0</v>
      </c>
      <c r="N41" s="44">
        <f t="shared" si="0"/>
        <v>22627.79</v>
      </c>
      <c r="O41" s="44">
        <v>22627.79</v>
      </c>
      <c r="P41" s="40" t="s">
        <v>611</v>
      </c>
      <c r="Q41" s="40" t="s">
        <v>612</v>
      </c>
      <c r="R41" s="40" t="s">
        <v>494</v>
      </c>
      <c r="S41" s="40" t="s">
        <v>495</v>
      </c>
      <c r="T41" s="40" t="s">
        <v>343</v>
      </c>
      <c r="U41" s="40" t="s">
        <v>613</v>
      </c>
      <c r="V41" s="40" t="s">
        <v>3792</v>
      </c>
      <c r="W41" s="40" t="s">
        <v>614</v>
      </c>
    </row>
    <row r="42" spans="1:23" ht="12" x14ac:dyDescent="0.2">
      <c r="A42" s="39" t="s">
        <v>357</v>
      </c>
      <c r="B42" s="40" t="s">
        <v>356</v>
      </c>
      <c r="C42" s="40" t="s">
        <v>761</v>
      </c>
      <c r="D42" s="41">
        <v>44824</v>
      </c>
      <c r="E42" s="41">
        <v>44854</v>
      </c>
      <c r="F42" s="41">
        <v>46091</v>
      </c>
      <c r="G42" s="42">
        <v>1237</v>
      </c>
      <c r="H42" s="40" t="s">
        <v>493</v>
      </c>
      <c r="I42" s="39" t="s">
        <v>341</v>
      </c>
      <c r="J42" s="43">
        <v>131448.56</v>
      </c>
      <c r="K42" s="43">
        <v>0</v>
      </c>
      <c r="L42" s="43">
        <v>38933.81</v>
      </c>
      <c r="M42" s="44">
        <v>0</v>
      </c>
      <c r="N42" s="44">
        <f t="shared" si="0"/>
        <v>33101.910000000003</v>
      </c>
      <c r="O42" s="44">
        <v>33101.910000000003</v>
      </c>
      <c r="P42" s="40" t="s">
        <v>754</v>
      </c>
      <c r="Q42" s="40" t="s">
        <v>755</v>
      </c>
      <c r="R42" s="40" t="s">
        <v>494</v>
      </c>
      <c r="S42" s="40" t="s">
        <v>495</v>
      </c>
      <c r="T42" s="40" t="s">
        <v>284</v>
      </c>
      <c r="U42" s="40" t="s">
        <v>756</v>
      </c>
      <c r="V42" s="40" t="s">
        <v>3791</v>
      </c>
      <c r="W42" s="40" t="s">
        <v>757</v>
      </c>
    </row>
    <row r="43" spans="1:23" ht="12" x14ac:dyDescent="0.2">
      <c r="A43" s="39" t="s">
        <v>36</v>
      </c>
      <c r="B43" s="40" t="s">
        <v>352</v>
      </c>
      <c r="C43" s="40" t="s">
        <v>762</v>
      </c>
      <c r="D43" s="41">
        <v>44827</v>
      </c>
      <c r="E43" s="41">
        <v>44857</v>
      </c>
      <c r="F43" s="41">
        <v>46091</v>
      </c>
      <c r="G43" s="42">
        <v>1234</v>
      </c>
      <c r="H43" s="40" t="s">
        <v>493</v>
      </c>
      <c r="I43" s="39" t="s">
        <v>320</v>
      </c>
      <c r="J43" s="43">
        <v>-468.33</v>
      </c>
      <c r="K43" s="43">
        <v>0</v>
      </c>
      <c r="L43" s="43">
        <v>-205.51</v>
      </c>
      <c r="M43" s="44">
        <v>0</v>
      </c>
      <c r="N43" s="44">
        <f t="shared" si="0"/>
        <v>-205.51</v>
      </c>
      <c r="O43" s="44">
        <v>-205.51</v>
      </c>
      <c r="P43" s="40" t="s">
        <v>673</v>
      </c>
      <c r="Q43" s="40" t="s">
        <v>674</v>
      </c>
      <c r="R43" s="40" t="s">
        <v>494</v>
      </c>
      <c r="S43" s="40" t="s">
        <v>495</v>
      </c>
      <c r="T43" s="40" t="s">
        <v>204</v>
      </c>
      <c r="U43" s="40" t="s">
        <v>675</v>
      </c>
      <c r="V43" s="40" t="s">
        <v>3797</v>
      </c>
      <c r="W43" s="40" t="s">
        <v>676</v>
      </c>
    </row>
    <row r="44" spans="1:23" ht="12" x14ac:dyDescent="0.2">
      <c r="A44" s="39" t="s">
        <v>357</v>
      </c>
      <c r="B44" s="40" t="s">
        <v>356</v>
      </c>
      <c r="C44" s="40" t="s">
        <v>763</v>
      </c>
      <c r="D44" s="41">
        <v>44833</v>
      </c>
      <c r="E44" s="41">
        <v>44863</v>
      </c>
      <c r="F44" s="41">
        <v>46091</v>
      </c>
      <c r="G44" s="42">
        <v>1228</v>
      </c>
      <c r="H44" s="40" t="s">
        <v>493</v>
      </c>
      <c r="I44" s="39" t="s">
        <v>341</v>
      </c>
      <c r="J44" s="43">
        <v>11052.33</v>
      </c>
      <c r="K44" s="43">
        <v>0</v>
      </c>
      <c r="L44" s="43">
        <v>11052.33</v>
      </c>
      <c r="M44" s="44">
        <v>0</v>
      </c>
      <c r="N44" s="44">
        <f t="shared" si="0"/>
        <v>9396.7999999999993</v>
      </c>
      <c r="O44" s="44">
        <v>9396.7999999999993</v>
      </c>
      <c r="P44" s="40" t="s">
        <v>754</v>
      </c>
      <c r="Q44" s="40" t="s">
        <v>755</v>
      </c>
      <c r="R44" s="40" t="s">
        <v>494</v>
      </c>
      <c r="S44" s="40" t="s">
        <v>495</v>
      </c>
      <c r="T44" s="40" t="s">
        <v>284</v>
      </c>
      <c r="U44" s="40" t="s">
        <v>756</v>
      </c>
      <c r="V44" s="40" t="s">
        <v>3791</v>
      </c>
      <c r="W44" s="40" t="s">
        <v>757</v>
      </c>
    </row>
    <row r="45" spans="1:23" ht="12" x14ac:dyDescent="0.2">
      <c r="A45" s="39" t="s">
        <v>357</v>
      </c>
      <c r="B45" s="40" t="s">
        <v>356</v>
      </c>
      <c r="C45" s="40" t="s">
        <v>775</v>
      </c>
      <c r="D45" s="41">
        <v>44866</v>
      </c>
      <c r="E45" s="41">
        <v>44896</v>
      </c>
      <c r="F45" s="41">
        <v>46091</v>
      </c>
      <c r="G45" s="42">
        <v>1195</v>
      </c>
      <c r="H45" s="40" t="s">
        <v>493</v>
      </c>
      <c r="I45" s="39" t="s">
        <v>341</v>
      </c>
      <c r="J45" s="43">
        <v>16290.21</v>
      </c>
      <c r="K45" s="43">
        <v>0</v>
      </c>
      <c r="L45" s="43">
        <v>16290.21</v>
      </c>
      <c r="M45" s="44">
        <v>0</v>
      </c>
      <c r="N45" s="44">
        <f t="shared" si="0"/>
        <v>13778.75</v>
      </c>
      <c r="O45" s="44">
        <v>13778.75</v>
      </c>
      <c r="P45" s="40" t="s">
        <v>359</v>
      </c>
      <c r="Q45" s="40" t="s">
        <v>510</v>
      </c>
      <c r="R45" s="40" t="s">
        <v>494</v>
      </c>
      <c r="S45" s="40" t="s">
        <v>495</v>
      </c>
      <c r="T45" s="40" t="s">
        <v>289</v>
      </c>
      <c r="U45" s="40" t="s">
        <v>558</v>
      </c>
      <c r="V45" s="40" t="s">
        <v>3791</v>
      </c>
      <c r="W45" s="40" t="s">
        <v>511</v>
      </c>
    </row>
    <row r="46" spans="1:23" ht="12" x14ac:dyDescent="0.2">
      <c r="A46" s="39" t="s">
        <v>357</v>
      </c>
      <c r="B46" s="40" t="s">
        <v>356</v>
      </c>
      <c r="C46" s="40" t="s">
        <v>787</v>
      </c>
      <c r="D46" s="41">
        <v>44909</v>
      </c>
      <c r="E46" s="41">
        <v>44939</v>
      </c>
      <c r="F46" s="41">
        <v>46091</v>
      </c>
      <c r="G46" s="42">
        <v>1152</v>
      </c>
      <c r="H46" s="40" t="s">
        <v>493</v>
      </c>
      <c r="I46" s="39" t="s">
        <v>341</v>
      </c>
      <c r="J46" s="43">
        <v>3756.42</v>
      </c>
      <c r="K46" s="43">
        <v>0</v>
      </c>
      <c r="L46" s="43">
        <v>3756.42</v>
      </c>
      <c r="M46" s="44">
        <v>0</v>
      </c>
      <c r="N46" s="44">
        <f t="shared" si="0"/>
        <v>3193.75</v>
      </c>
      <c r="O46" s="44">
        <v>3193.75</v>
      </c>
      <c r="P46" s="40" t="s">
        <v>754</v>
      </c>
      <c r="Q46" s="40" t="s">
        <v>755</v>
      </c>
      <c r="R46" s="40" t="s">
        <v>494</v>
      </c>
      <c r="S46" s="40" t="s">
        <v>495</v>
      </c>
      <c r="T46" s="40" t="s">
        <v>284</v>
      </c>
      <c r="U46" s="40" t="s">
        <v>756</v>
      </c>
      <c r="V46" s="40" t="s">
        <v>3791</v>
      </c>
      <c r="W46" s="40" t="s">
        <v>757</v>
      </c>
    </row>
    <row r="47" spans="1:23" ht="12" x14ac:dyDescent="0.2">
      <c r="A47" s="39" t="s">
        <v>357</v>
      </c>
      <c r="B47" s="40" t="s">
        <v>356</v>
      </c>
      <c r="C47" s="40" t="s">
        <v>795</v>
      </c>
      <c r="D47" s="41">
        <v>44931</v>
      </c>
      <c r="E47" s="41">
        <v>44961</v>
      </c>
      <c r="F47" s="41">
        <v>46091</v>
      </c>
      <c r="G47" s="42">
        <v>1130</v>
      </c>
      <c r="H47" s="40" t="s">
        <v>493</v>
      </c>
      <c r="I47" s="39" t="s">
        <v>341</v>
      </c>
      <c r="J47" s="43">
        <v>14547.66</v>
      </c>
      <c r="K47" s="43">
        <v>0</v>
      </c>
      <c r="L47" s="43">
        <v>14547.66</v>
      </c>
      <c r="M47" s="44">
        <v>0</v>
      </c>
      <c r="N47" s="44">
        <f t="shared" si="0"/>
        <v>12955.88</v>
      </c>
      <c r="O47" s="44">
        <v>12955.88</v>
      </c>
      <c r="P47" s="40" t="s">
        <v>671</v>
      </c>
      <c r="Q47" s="40" t="s">
        <v>672</v>
      </c>
      <c r="R47" s="40" t="s">
        <v>494</v>
      </c>
      <c r="S47" s="40" t="s">
        <v>495</v>
      </c>
      <c r="T47" s="40" t="s">
        <v>169</v>
      </c>
      <c r="U47" s="40" t="s">
        <v>634</v>
      </c>
      <c r="V47" s="40" t="s">
        <v>3791</v>
      </c>
      <c r="W47" s="40"/>
    </row>
    <row r="48" spans="1:23" ht="12" x14ac:dyDescent="0.2">
      <c r="A48" s="39" t="s">
        <v>357</v>
      </c>
      <c r="B48" s="40" t="s">
        <v>356</v>
      </c>
      <c r="C48" s="40" t="s">
        <v>823</v>
      </c>
      <c r="D48" s="41">
        <v>45008</v>
      </c>
      <c r="E48" s="41">
        <v>45038</v>
      </c>
      <c r="F48" s="41">
        <v>46091</v>
      </c>
      <c r="G48" s="42">
        <v>1053</v>
      </c>
      <c r="H48" s="40" t="s">
        <v>493</v>
      </c>
      <c r="I48" s="39" t="s">
        <v>341</v>
      </c>
      <c r="J48" s="43">
        <v>202272.69</v>
      </c>
      <c r="K48" s="43">
        <v>0</v>
      </c>
      <c r="L48" s="43">
        <v>32382.91</v>
      </c>
      <c r="M48" s="44">
        <v>0</v>
      </c>
      <c r="N48" s="44">
        <f t="shared" si="0"/>
        <v>27867.11</v>
      </c>
      <c r="O48" s="44">
        <v>27867.11</v>
      </c>
      <c r="P48" s="40" t="s">
        <v>704</v>
      </c>
      <c r="Q48" s="40" t="s">
        <v>705</v>
      </c>
      <c r="R48" s="40" t="s">
        <v>494</v>
      </c>
      <c r="S48" s="40" t="s">
        <v>495</v>
      </c>
      <c r="T48" s="40" t="s">
        <v>278</v>
      </c>
      <c r="U48" s="40" t="s">
        <v>703</v>
      </c>
      <c r="V48" s="40" t="s">
        <v>3791</v>
      </c>
      <c r="W48" s="40" t="s">
        <v>706</v>
      </c>
    </row>
    <row r="49" spans="1:23" ht="12" x14ac:dyDescent="0.2">
      <c r="A49" s="39" t="s">
        <v>10</v>
      </c>
      <c r="B49" s="40" t="s">
        <v>393</v>
      </c>
      <c r="C49" s="40" t="s">
        <v>831</v>
      </c>
      <c r="D49" s="41">
        <v>45027</v>
      </c>
      <c r="E49" s="41">
        <v>45057</v>
      </c>
      <c r="F49" s="41">
        <v>46091</v>
      </c>
      <c r="G49" s="42">
        <v>1034</v>
      </c>
      <c r="H49" s="40" t="s">
        <v>493</v>
      </c>
      <c r="I49" s="39" t="s">
        <v>320</v>
      </c>
      <c r="J49" s="43">
        <v>6111.96</v>
      </c>
      <c r="K49" s="43">
        <v>0</v>
      </c>
      <c r="L49" s="43">
        <v>4764.6499999999996</v>
      </c>
      <c r="M49" s="44">
        <v>0</v>
      </c>
      <c r="N49" s="44">
        <f t="shared" si="0"/>
        <v>4764.6499999999996</v>
      </c>
      <c r="O49" s="44">
        <v>4764.6499999999996</v>
      </c>
      <c r="P49" s="40" t="s">
        <v>686</v>
      </c>
      <c r="Q49" s="40" t="s">
        <v>687</v>
      </c>
      <c r="R49" s="40" t="s">
        <v>494</v>
      </c>
      <c r="S49" s="40" t="s">
        <v>495</v>
      </c>
      <c r="T49" s="40" t="s">
        <v>330</v>
      </c>
      <c r="U49" s="40" t="s">
        <v>688</v>
      </c>
      <c r="V49" s="40" t="s">
        <v>3798</v>
      </c>
      <c r="W49" s="40" t="s">
        <v>2112</v>
      </c>
    </row>
    <row r="50" spans="1:23" ht="12" x14ac:dyDescent="0.2">
      <c r="A50" s="39" t="s">
        <v>835</v>
      </c>
      <c r="B50" s="40" t="s">
        <v>836</v>
      </c>
      <c r="C50" s="40" t="s">
        <v>837</v>
      </c>
      <c r="D50" s="41">
        <v>45056</v>
      </c>
      <c r="E50" s="41">
        <v>45086</v>
      </c>
      <c r="F50" s="41">
        <v>46091</v>
      </c>
      <c r="G50" s="42">
        <v>1005</v>
      </c>
      <c r="H50" s="40" t="s">
        <v>493</v>
      </c>
      <c r="I50" s="39" t="s">
        <v>320</v>
      </c>
      <c r="J50" s="43">
        <v>21429.68</v>
      </c>
      <c r="K50" s="43">
        <v>0</v>
      </c>
      <c r="L50" s="43">
        <v>2363</v>
      </c>
      <c r="M50" s="44">
        <v>0</v>
      </c>
      <c r="N50" s="44">
        <f t="shared" si="0"/>
        <v>2363</v>
      </c>
      <c r="O50" s="44">
        <v>2363</v>
      </c>
      <c r="P50" s="40" t="s">
        <v>838</v>
      </c>
      <c r="Q50" s="40" t="s">
        <v>839</v>
      </c>
      <c r="R50" s="40" t="s">
        <v>494</v>
      </c>
      <c r="S50" s="40" t="s">
        <v>495</v>
      </c>
      <c r="T50" s="40" t="s">
        <v>190</v>
      </c>
      <c r="U50" s="40" t="s">
        <v>780</v>
      </c>
      <c r="V50" s="40" t="s">
        <v>3799</v>
      </c>
      <c r="W50" s="40" t="s">
        <v>840</v>
      </c>
    </row>
    <row r="51" spans="1:23" ht="12" x14ac:dyDescent="0.2">
      <c r="A51" s="39" t="s">
        <v>357</v>
      </c>
      <c r="B51" s="40" t="s">
        <v>356</v>
      </c>
      <c r="C51" s="40" t="s">
        <v>848</v>
      </c>
      <c r="D51" s="41">
        <v>45078</v>
      </c>
      <c r="E51" s="41">
        <v>45108</v>
      </c>
      <c r="F51" s="41">
        <v>46091</v>
      </c>
      <c r="G51" s="42">
        <v>983</v>
      </c>
      <c r="H51" s="40" t="s">
        <v>493</v>
      </c>
      <c r="I51" s="39" t="s">
        <v>341</v>
      </c>
      <c r="J51" s="43">
        <v>98791.6</v>
      </c>
      <c r="K51" s="43">
        <v>0</v>
      </c>
      <c r="L51" s="43">
        <v>75654.89</v>
      </c>
      <c r="M51" s="44">
        <v>0</v>
      </c>
      <c r="N51" s="44">
        <f t="shared" si="0"/>
        <v>64837</v>
      </c>
      <c r="O51" s="44">
        <v>64837</v>
      </c>
      <c r="P51" s="40" t="s">
        <v>849</v>
      </c>
      <c r="Q51" s="40" t="s">
        <v>850</v>
      </c>
      <c r="R51" s="40" t="s">
        <v>494</v>
      </c>
      <c r="S51" s="40" t="s">
        <v>495</v>
      </c>
      <c r="T51" s="40" t="s">
        <v>311</v>
      </c>
      <c r="U51" s="40" t="s">
        <v>851</v>
      </c>
      <c r="V51" s="40" t="s">
        <v>3791</v>
      </c>
      <c r="W51" s="40" t="s">
        <v>852</v>
      </c>
    </row>
    <row r="52" spans="1:23" ht="12" x14ac:dyDescent="0.2">
      <c r="A52" s="39" t="s">
        <v>357</v>
      </c>
      <c r="B52" s="40" t="s">
        <v>356</v>
      </c>
      <c r="C52" s="40" t="s">
        <v>854</v>
      </c>
      <c r="D52" s="41">
        <v>45085</v>
      </c>
      <c r="E52" s="41">
        <v>45115</v>
      </c>
      <c r="F52" s="41">
        <v>46091</v>
      </c>
      <c r="G52" s="42">
        <v>976</v>
      </c>
      <c r="H52" s="40" t="s">
        <v>493</v>
      </c>
      <c r="I52" s="39" t="s">
        <v>341</v>
      </c>
      <c r="J52" s="43">
        <v>368696.92</v>
      </c>
      <c r="K52" s="43">
        <v>0</v>
      </c>
      <c r="L52" s="43">
        <v>40579.99</v>
      </c>
      <c r="M52" s="44">
        <v>0</v>
      </c>
      <c r="N52" s="44">
        <f t="shared" si="0"/>
        <v>35079.78</v>
      </c>
      <c r="O52" s="44">
        <v>35079.78</v>
      </c>
      <c r="P52" s="40" t="s">
        <v>855</v>
      </c>
      <c r="Q52" s="40" t="s">
        <v>856</v>
      </c>
      <c r="R52" s="40" t="s">
        <v>494</v>
      </c>
      <c r="S52" s="40" t="s">
        <v>495</v>
      </c>
      <c r="T52" s="40" t="s">
        <v>512</v>
      </c>
      <c r="U52" s="40" t="s">
        <v>857</v>
      </c>
      <c r="V52" s="40" t="s">
        <v>3791</v>
      </c>
      <c r="W52" s="40" t="s">
        <v>858</v>
      </c>
    </row>
    <row r="53" spans="1:23" ht="12" x14ac:dyDescent="0.2">
      <c r="A53" s="39" t="s">
        <v>357</v>
      </c>
      <c r="B53" s="40" t="s">
        <v>356</v>
      </c>
      <c r="C53" s="40" t="s">
        <v>877</v>
      </c>
      <c r="D53" s="41">
        <v>45106</v>
      </c>
      <c r="E53" s="41">
        <v>45136</v>
      </c>
      <c r="F53" s="41">
        <v>46091</v>
      </c>
      <c r="G53" s="42">
        <v>955</v>
      </c>
      <c r="H53" s="40" t="s">
        <v>493</v>
      </c>
      <c r="I53" s="39" t="s">
        <v>341</v>
      </c>
      <c r="J53" s="43">
        <v>760.14</v>
      </c>
      <c r="K53" s="43">
        <v>0</v>
      </c>
      <c r="L53" s="43">
        <v>760.14</v>
      </c>
      <c r="M53" s="44">
        <v>0</v>
      </c>
      <c r="N53" s="44">
        <f t="shared" si="0"/>
        <v>676.97</v>
      </c>
      <c r="O53" s="44">
        <v>676.97</v>
      </c>
      <c r="P53" s="40" t="s">
        <v>671</v>
      </c>
      <c r="Q53" s="40" t="s">
        <v>672</v>
      </c>
      <c r="R53" s="40" t="s">
        <v>494</v>
      </c>
      <c r="S53" s="40" t="s">
        <v>495</v>
      </c>
      <c r="T53" s="40" t="s">
        <v>169</v>
      </c>
      <c r="U53" s="40" t="s">
        <v>634</v>
      </c>
      <c r="V53" s="40" t="s">
        <v>3791</v>
      </c>
      <c r="W53" s="40"/>
    </row>
    <row r="54" spans="1:23" ht="12" x14ac:dyDescent="0.2">
      <c r="A54" s="39" t="s">
        <v>835</v>
      </c>
      <c r="B54" s="40" t="s">
        <v>836</v>
      </c>
      <c r="C54" s="40" t="s">
        <v>872</v>
      </c>
      <c r="D54" s="41">
        <v>45106</v>
      </c>
      <c r="E54" s="41">
        <v>45136</v>
      </c>
      <c r="F54" s="41">
        <v>46091</v>
      </c>
      <c r="G54" s="42">
        <v>955</v>
      </c>
      <c r="H54" s="40" t="s">
        <v>493</v>
      </c>
      <c r="I54" s="39" t="s">
        <v>320</v>
      </c>
      <c r="J54" s="43">
        <v>31340.75</v>
      </c>
      <c r="K54" s="43">
        <v>0</v>
      </c>
      <c r="L54" s="43">
        <v>31340.75</v>
      </c>
      <c r="M54" s="44">
        <v>0</v>
      </c>
      <c r="N54" s="44">
        <f t="shared" si="0"/>
        <v>31340.75</v>
      </c>
      <c r="O54" s="44">
        <v>31340.75</v>
      </c>
      <c r="P54" s="40" t="s">
        <v>873</v>
      </c>
      <c r="Q54" s="40" t="s">
        <v>874</v>
      </c>
      <c r="R54" s="40" t="s">
        <v>494</v>
      </c>
      <c r="S54" s="40" t="s">
        <v>495</v>
      </c>
      <c r="T54" s="40" t="s">
        <v>327</v>
      </c>
      <c r="U54" s="40" t="s">
        <v>875</v>
      </c>
      <c r="V54" s="40" t="s">
        <v>3800</v>
      </c>
      <c r="W54" s="40" t="s">
        <v>876</v>
      </c>
    </row>
    <row r="55" spans="1:23" ht="12" x14ac:dyDescent="0.2">
      <c r="A55" s="39" t="s">
        <v>900</v>
      </c>
      <c r="B55" s="40" t="s">
        <v>901</v>
      </c>
      <c r="C55" s="40" t="s">
        <v>902</v>
      </c>
      <c r="D55" s="41">
        <v>45125</v>
      </c>
      <c r="E55" s="41">
        <v>45155</v>
      </c>
      <c r="F55" s="41">
        <v>46091</v>
      </c>
      <c r="G55" s="42">
        <v>936</v>
      </c>
      <c r="H55" s="40" t="s">
        <v>493</v>
      </c>
      <c r="I55" s="39" t="s">
        <v>320</v>
      </c>
      <c r="J55" s="43">
        <v>103530</v>
      </c>
      <c r="K55" s="43">
        <v>0</v>
      </c>
      <c r="L55" s="43">
        <v>103530</v>
      </c>
      <c r="M55" s="44">
        <v>0</v>
      </c>
      <c r="N55" s="44">
        <f t="shared" si="0"/>
        <v>103530</v>
      </c>
      <c r="O55" s="44">
        <v>103530</v>
      </c>
      <c r="P55" s="40" t="s">
        <v>903</v>
      </c>
      <c r="Q55" s="40" t="s">
        <v>904</v>
      </c>
      <c r="R55" s="40" t="s">
        <v>494</v>
      </c>
      <c r="S55" s="40" t="s">
        <v>495</v>
      </c>
      <c r="T55" s="40" t="s">
        <v>215</v>
      </c>
      <c r="U55" s="40" t="s">
        <v>885</v>
      </c>
      <c r="V55" s="40" t="s">
        <v>3801</v>
      </c>
      <c r="W55" s="40"/>
    </row>
    <row r="56" spans="1:23" ht="12" x14ac:dyDescent="0.2">
      <c r="A56" s="39" t="s">
        <v>357</v>
      </c>
      <c r="B56" s="40" t="s">
        <v>356</v>
      </c>
      <c r="C56" s="40" t="s">
        <v>921</v>
      </c>
      <c r="D56" s="41">
        <v>45133</v>
      </c>
      <c r="E56" s="41">
        <v>45163</v>
      </c>
      <c r="F56" s="41">
        <v>46091</v>
      </c>
      <c r="G56" s="42">
        <v>928</v>
      </c>
      <c r="H56" s="40" t="s">
        <v>493</v>
      </c>
      <c r="I56" s="39" t="s">
        <v>341</v>
      </c>
      <c r="J56" s="43">
        <v>231280.98</v>
      </c>
      <c r="K56" s="43">
        <v>0</v>
      </c>
      <c r="L56" s="43">
        <v>13931.82</v>
      </c>
      <c r="M56" s="44">
        <v>0</v>
      </c>
      <c r="N56" s="44">
        <f t="shared" si="0"/>
        <v>12113.3</v>
      </c>
      <c r="O56" s="44">
        <v>12113.3</v>
      </c>
      <c r="P56" s="40" t="s">
        <v>922</v>
      </c>
      <c r="Q56" s="40" t="s">
        <v>923</v>
      </c>
      <c r="R56" s="40" t="s">
        <v>494</v>
      </c>
      <c r="S56" s="40" t="s">
        <v>495</v>
      </c>
      <c r="T56" s="40" t="s">
        <v>330</v>
      </c>
      <c r="U56" s="40" t="s">
        <v>677</v>
      </c>
      <c r="V56" s="40" t="s">
        <v>3791</v>
      </c>
      <c r="W56" s="40" t="s">
        <v>924</v>
      </c>
    </row>
    <row r="57" spans="1:23" ht="12" x14ac:dyDescent="0.2">
      <c r="A57" s="39" t="s">
        <v>357</v>
      </c>
      <c r="B57" s="40" t="s">
        <v>356</v>
      </c>
      <c r="C57" s="40" t="s">
        <v>933</v>
      </c>
      <c r="D57" s="41">
        <v>45141</v>
      </c>
      <c r="E57" s="41">
        <v>45171</v>
      </c>
      <c r="F57" s="41">
        <v>46091</v>
      </c>
      <c r="G57" s="42">
        <v>920</v>
      </c>
      <c r="H57" s="40" t="s">
        <v>493</v>
      </c>
      <c r="I57" s="39" t="s">
        <v>341</v>
      </c>
      <c r="J57" s="43">
        <v>3133.97</v>
      </c>
      <c r="K57" s="43">
        <v>0</v>
      </c>
      <c r="L57" s="43">
        <v>3133.97</v>
      </c>
      <c r="M57" s="44">
        <v>0</v>
      </c>
      <c r="N57" s="44">
        <f t="shared" si="0"/>
        <v>2720</v>
      </c>
      <c r="O57" s="44">
        <v>2720</v>
      </c>
      <c r="P57" s="40" t="s">
        <v>697</v>
      </c>
      <c r="Q57" s="40" t="s">
        <v>698</v>
      </c>
      <c r="R57" s="40" t="s">
        <v>494</v>
      </c>
      <c r="S57" s="40" t="s">
        <v>495</v>
      </c>
      <c r="T57" s="40" t="s">
        <v>311</v>
      </c>
      <c r="U57" s="40" t="s">
        <v>699</v>
      </c>
      <c r="V57" s="40" t="s">
        <v>3791</v>
      </c>
      <c r="W57" s="40" t="s">
        <v>700</v>
      </c>
    </row>
    <row r="58" spans="1:23" ht="12" x14ac:dyDescent="0.2">
      <c r="A58" s="39" t="s">
        <v>442</v>
      </c>
      <c r="B58" s="40" t="s">
        <v>441</v>
      </c>
      <c r="C58" s="40" t="s">
        <v>934</v>
      </c>
      <c r="D58" s="41">
        <v>45141</v>
      </c>
      <c r="E58" s="41">
        <v>45171</v>
      </c>
      <c r="F58" s="41">
        <v>46091</v>
      </c>
      <c r="G58" s="42">
        <v>920</v>
      </c>
      <c r="H58" s="40" t="s">
        <v>493</v>
      </c>
      <c r="I58" s="39" t="s">
        <v>320</v>
      </c>
      <c r="J58" s="43">
        <v>41023.64</v>
      </c>
      <c r="K58" s="43">
        <v>0</v>
      </c>
      <c r="L58" s="43">
        <v>7118.81</v>
      </c>
      <c r="M58" s="44">
        <v>0</v>
      </c>
      <c r="N58" s="44">
        <f t="shared" si="0"/>
        <v>7118.81</v>
      </c>
      <c r="O58" s="44">
        <v>7118.81</v>
      </c>
      <c r="P58" s="40" t="s">
        <v>935</v>
      </c>
      <c r="Q58" s="40" t="s">
        <v>936</v>
      </c>
      <c r="R58" s="40" t="s">
        <v>494</v>
      </c>
      <c r="S58" s="40" t="s">
        <v>495</v>
      </c>
      <c r="T58" s="40" t="s">
        <v>221</v>
      </c>
      <c r="U58" s="40" t="s">
        <v>937</v>
      </c>
      <c r="V58" s="40" t="s">
        <v>3802</v>
      </c>
      <c r="W58" s="40" t="s">
        <v>938</v>
      </c>
    </row>
    <row r="59" spans="1:23" ht="12" x14ac:dyDescent="0.2">
      <c r="A59" s="39" t="s">
        <v>357</v>
      </c>
      <c r="B59" s="40" t="s">
        <v>356</v>
      </c>
      <c r="C59" s="40" t="s">
        <v>977</v>
      </c>
      <c r="D59" s="41">
        <v>45169</v>
      </c>
      <c r="E59" s="41">
        <v>45199</v>
      </c>
      <c r="F59" s="41">
        <v>46091</v>
      </c>
      <c r="G59" s="42">
        <v>892</v>
      </c>
      <c r="H59" s="40" t="s">
        <v>493</v>
      </c>
      <c r="I59" s="39" t="s">
        <v>341</v>
      </c>
      <c r="J59" s="43">
        <v>347029.86</v>
      </c>
      <c r="K59" s="43">
        <v>0</v>
      </c>
      <c r="L59" s="43">
        <v>93213.35</v>
      </c>
      <c r="M59" s="44">
        <v>0</v>
      </c>
      <c r="N59" s="44">
        <f t="shared" si="0"/>
        <v>81056.05</v>
      </c>
      <c r="O59" s="44">
        <v>81056.05</v>
      </c>
      <c r="P59" s="40" t="s">
        <v>978</v>
      </c>
      <c r="Q59" s="40" t="s">
        <v>979</v>
      </c>
      <c r="R59" s="40" t="s">
        <v>494</v>
      </c>
      <c r="S59" s="40" t="s">
        <v>495</v>
      </c>
      <c r="T59" s="40" t="s">
        <v>165</v>
      </c>
      <c r="U59" s="40" t="s">
        <v>980</v>
      </c>
      <c r="V59" s="40" t="s">
        <v>3791</v>
      </c>
      <c r="W59" s="40" t="s">
        <v>981</v>
      </c>
    </row>
    <row r="60" spans="1:23" ht="12" x14ac:dyDescent="0.2">
      <c r="A60" s="39" t="s">
        <v>357</v>
      </c>
      <c r="B60" s="40" t="s">
        <v>356</v>
      </c>
      <c r="C60" s="40" t="s">
        <v>1625</v>
      </c>
      <c r="D60" s="41">
        <v>45169</v>
      </c>
      <c r="E60" s="41">
        <v>45199</v>
      </c>
      <c r="F60" s="41">
        <v>46091</v>
      </c>
      <c r="G60" s="42">
        <v>892</v>
      </c>
      <c r="H60" s="40" t="s">
        <v>493</v>
      </c>
      <c r="I60" s="39" t="s">
        <v>341</v>
      </c>
      <c r="J60" s="43">
        <v>619938.74</v>
      </c>
      <c r="K60" s="43">
        <v>0</v>
      </c>
      <c r="L60" s="43">
        <v>65384</v>
      </c>
      <c r="M60" s="44">
        <v>0</v>
      </c>
      <c r="N60" s="44">
        <f t="shared" si="0"/>
        <v>56421.16</v>
      </c>
      <c r="O60" s="44">
        <v>56421.16</v>
      </c>
      <c r="P60" s="40" t="s">
        <v>1626</v>
      </c>
      <c r="Q60" s="40" t="s">
        <v>1627</v>
      </c>
      <c r="R60" s="40" t="s">
        <v>494</v>
      </c>
      <c r="S60" s="40" t="s">
        <v>495</v>
      </c>
      <c r="T60" s="40" t="s">
        <v>165</v>
      </c>
      <c r="U60" s="40" t="s">
        <v>1628</v>
      </c>
      <c r="V60" s="40" t="s">
        <v>3791</v>
      </c>
      <c r="W60" s="40" t="s">
        <v>1629</v>
      </c>
    </row>
    <row r="61" spans="1:23" ht="12" x14ac:dyDescent="0.2">
      <c r="A61" s="39" t="s">
        <v>27</v>
      </c>
      <c r="B61" s="40" t="s">
        <v>476</v>
      </c>
      <c r="C61" s="40" t="s">
        <v>1008</v>
      </c>
      <c r="D61" s="41">
        <v>45199</v>
      </c>
      <c r="E61" s="41">
        <v>45229</v>
      </c>
      <c r="F61" s="41">
        <v>46091</v>
      </c>
      <c r="G61" s="42">
        <v>862</v>
      </c>
      <c r="H61" s="40" t="s">
        <v>493</v>
      </c>
      <c r="I61" s="39" t="s">
        <v>320</v>
      </c>
      <c r="J61" s="43">
        <v>60367.27</v>
      </c>
      <c r="K61" s="43">
        <v>0</v>
      </c>
      <c r="L61" s="43">
        <v>21073.62</v>
      </c>
      <c r="M61" s="44">
        <v>0</v>
      </c>
      <c r="N61" s="44">
        <f t="shared" si="0"/>
        <v>21073.62</v>
      </c>
      <c r="O61" s="44">
        <v>21073.62</v>
      </c>
      <c r="P61" s="40" t="s">
        <v>1009</v>
      </c>
      <c r="Q61" s="40" t="s">
        <v>1010</v>
      </c>
      <c r="R61" s="40" t="s">
        <v>494</v>
      </c>
      <c r="S61" s="40" t="s">
        <v>502</v>
      </c>
      <c r="T61" s="40" t="s">
        <v>188</v>
      </c>
      <c r="U61" s="40" t="s">
        <v>1011</v>
      </c>
      <c r="V61" s="40" t="s">
        <v>598</v>
      </c>
      <c r="W61" s="40" t="s">
        <v>1012</v>
      </c>
    </row>
    <row r="62" spans="1:23" ht="12" x14ac:dyDescent="0.2">
      <c r="A62" s="39" t="s">
        <v>800</v>
      </c>
      <c r="B62" s="40" t="s">
        <v>808</v>
      </c>
      <c r="C62" s="40" t="s">
        <v>1025</v>
      </c>
      <c r="D62" s="41">
        <v>45201</v>
      </c>
      <c r="E62" s="41">
        <v>45231</v>
      </c>
      <c r="F62" s="41">
        <v>46091</v>
      </c>
      <c r="G62" s="42">
        <v>860</v>
      </c>
      <c r="H62" s="40" t="s">
        <v>493</v>
      </c>
      <c r="I62" s="39" t="s">
        <v>320</v>
      </c>
      <c r="J62" s="43">
        <v>30074.26</v>
      </c>
      <c r="K62" s="43">
        <v>0</v>
      </c>
      <c r="L62" s="43">
        <v>8906.08</v>
      </c>
      <c r="M62" s="44">
        <v>0</v>
      </c>
      <c r="N62" s="44">
        <f t="shared" si="0"/>
        <v>8906.08</v>
      </c>
      <c r="O62" s="44">
        <v>8906.08</v>
      </c>
      <c r="P62" s="40" t="s">
        <v>799</v>
      </c>
      <c r="Q62" s="40" t="s">
        <v>809</v>
      </c>
      <c r="R62" s="40" t="s">
        <v>494</v>
      </c>
      <c r="S62" s="40" t="s">
        <v>502</v>
      </c>
      <c r="T62" s="40" t="s">
        <v>282</v>
      </c>
      <c r="U62" s="40" t="s">
        <v>664</v>
      </c>
      <c r="V62" s="40" t="s">
        <v>3803</v>
      </c>
      <c r="W62" s="40" t="s">
        <v>810</v>
      </c>
    </row>
    <row r="63" spans="1:23" ht="12" x14ac:dyDescent="0.2">
      <c r="A63" s="39" t="s">
        <v>10</v>
      </c>
      <c r="B63" s="40" t="s">
        <v>393</v>
      </c>
      <c r="C63" s="40" t="s">
        <v>1028</v>
      </c>
      <c r="D63" s="41">
        <v>45212</v>
      </c>
      <c r="E63" s="41">
        <v>45242</v>
      </c>
      <c r="F63" s="41">
        <v>46091</v>
      </c>
      <c r="G63" s="42">
        <v>849</v>
      </c>
      <c r="H63" s="40" t="s">
        <v>493</v>
      </c>
      <c r="I63" s="39" t="s">
        <v>320</v>
      </c>
      <c r="J63" s="43">
        <v>246796.67</v>
      </c>
      <c r="K63" s="43">
        <v>0</v>
      </c>
      <c r="L63" s="43">
        <v>246796.67</v>
      </c>
      <c r="M63" s="44">
        <v>0</v>
      </c>
      <c r="N63" s="44">
        <f t="shared" si="0"/>
        <v>246796.67</v>
      </c>
      <c r="O63" s="44">
        <v>246796.67</v>
      </c>
      <c r="P63" s="40" t="s">
        <v>1029</v>
      </c>
      <c r="Q63" s="40" t="s">
        <v>1030</v>
      </c>
      <c r="R63" s="40" t="s">
        <v>494</v>
      </c>
      <c r="S63" s="40" t="s">
        <v>495</v>
      </c>
      <c r="T63" s="40" t="s">
        <v>191</v>
      </c>
      <c r="U63" s="40" t="s">
        <v>578</v>
      </c>
      <c r="V63" s="40" t="s">
        <v>3804</v>
      </c>
      <c r="W63" s="40" t="s">
        <v>1031</v>
      </c>
    </row>
    <row r="64" spans="1:23" ht="12" x14ac:dyDescent="0.2">
      <c r="A64" s="39" t="s">
        <v>15</v>
      </c>
      <c r="B64" s="40" t="s">
        <v>361</v>
      </c>
      <c r="C64" s="40" t="s">
        <v>1036</v>
      </c>
      <c r="D64" s="41">
        <v>45226</v>
      </c>
      <c r="E64" s="41">
        <v>45256</v>
      </c>
      <c r="F64" s="41">
        <v>46091</v>
      </c>
      <c r="G64" s="42">
        <v>835</v>
      </c>
      <c r="H64" s="40" t="s">
        <v>493</v>
      </c>
      <c r="I64" s="39" t="s">
        <v>341</v>
      </c>
      <c r="J64" s="43">
        <v>30000</v>
      </c>
      <c r="K64" s="43">
        <v>0</v>
      </c>
      <c r="L64" s="43">
        <v>30000</v>
      </c>
      <c r="M64" s="44">
        <v>0</v>
      </c>
      <c r="N64" s="44">
        <f t="shared" si="0"/>
        <v>24000</v>
      </c>
      <c r="O64" s="44">
        <v>24000</v>
      </c>
      <c r="P64" s="40" t="s">
        <v>1037</v>
      </c>
      <c r="Q64" s="40" t="s">
        <v>1038</v>
      </c>
      <c r="R64" s="40" t="s">
        <v>494</v>
      </c>
      <c r="S64" s="40" t="s">
        <v>495</v>
      </c>
      <c r="T64" s="40" t="s">
        <v>218</v>
      </c>
      <c r="U64" s="40" t="s">
        <v>570</v>
      </c>
      <c r="V64" s="40" t="s">
        <v>3805</v>
      </c>
      <c r="W64" s="40" t="s">
        <v>322</v>
      </c>
    </row>
    <row r="65" spans="1:23" ht="12" x14ac:dyDescent="0.2">
      <c r="A65" s="39" t="s">
        <v>357</v>
      </c>
      <c r="B65" s="40" t="s">
        <v>356</v>
      </c>
      <c r="C65" s="40" t="s">
        <v>1071</v>
      </c>
      <c r="D65" s="41">
        <v>45230</v>
      </c>
      <c r="E65" s="41">
        <v>45260</v>
      </c>
      <c r="F65" s="41">
        <v>46091</v>
      </c>
      <c r="G65" s="42">
        <v>831</v>
      </c>
      <c r="H65" s="40" t="s">
        <v>493</v>
      </c>
      <c r="I65" s="39" t="s">
        <v>341</v>
      </c>
      <c r="J65" s="43">
        <v>18230.5</v>
      </c>
      <c r="K65" s="43">
        <v>0</v>
      </c>
      <c r="L65" s="43">
        <v>17035.63</v>
      </c>
      <c r="M65" s="44">
        <v>0</v>
      </c>
      <c r="N65" s="44">
        <f t="shared" si="0"/>
        <v>14752.86</v>
      </c>
      <c r="O65" s="44">
        <v>14752.86</v>
      </c>
      <c r="P65" s="40" t="s">
        <v>1072</v>
      </c>
      <c r="Q65" s="40" t="s">
        <v>1073</v>
      </c>
      <c r="R65" s="40" t="s">
        <v>494</v>
      </c>
      <c r="S65" s="40" t="s">
        <v>495</v>
      </c>
      <c r="T65" s="40" t="s">
        <v>538</v>
      </c>
      <c r="U65" s="40" t="s">
        <v>1074</v>
      </c>
      <c r="V65" s="40" t="s">
        <v>3791</v>
      </c>
      <c r="W65" s="40" t="s">
        <v>1075</v>
      </c>
    </row>
    <row r="66" spans="1:23" ht="12" x14ac:dyDescent="0.2">
      <c r="A66" s="39" t="s">
        <v>357</v>
      </c>
      <c r="B66" s="40" t="s">
        <v>356</v>
      </c>
      <c r="C66" s="40" t="s">
        <v>1046</v>
      </c>
      <c r="D66" s="41">
        <v>45236</v>
      </c>
      <c r="E66" s="41">
        <v>45266</v>
      </c>
      <c r="F66" s="41">
        <v>46091</v>
      </c>
      <c r="G66" s="42">
        <v>825</v>
      </c>
      <c r="H66" s="40" t="s">
        <v>493</v>
      </c>
      <c r="I66" s="39" t="s">
        <v>341</v>
      </c>
      <c r="J66" s="43">
        <v>227293.1</v>
      </c>
      <c r="K66" s="43">
        <v>0</v>
      </c>
      <c r="L66" s="43">
        <v>387.78</v>
      </c>
      <c r="M66" s="44">
        <v>0</v>
      </c>
      <c r="N66" s="44">
        <f t="shared" si="0"/>
        <v>333.71</v>
      </c>
      <c r="O66" s="44">
        <v>333.71</v>
      </c>
      <c r="P66" s="40" t="s">
        <v>1047</v>
      </c>
      <c r="Q66" s="40" t="s">
        <v>1048</v>
      </c>
      <c r="R66" s="40" t="s">
        <v>494</v>
      </c>
      <c r="S66" s="40" t="s">
        <v>502</v>
      </c>
      <c r="T66" s="40" t="s">
        <v>221</v>
      </c>
      <c r="U66" s="40" t="s">
        <v>643</v>
      </c>
      <c r="V66" s="40" t="s">
        <v>3791</v>
      </c>
      <c r="W66" s="40" t="s">
        <v>1049</v>
      </c>
    </row>
    <row r="67" spans="1:23" ht="12" x14ac:dyDescent="0.2">
      <c r="A67" s="39" t="s">
        <v>2113</v>
      </c>
      <c r="B67" s="40" t="s">
        <v>1056</v>
      </c>
      <c r="C67" s="40" t="s">
        <v>1057</v>
      </c>
      <c r="D67" s="41">
        <v>45252</v>
      </c>
      <c r="E67" s="41">
        <v>45282</v>
      </c>
      <c r="F67" s="41">
        <v>46091</v>
      </c>
      <c r="G67" s="42">
        <v>809</v>
      </c>
      <c r="H67" s="40" t="s">
        <v>493</v>
      </c>
      <c r="I67" s="39" t="s">
        <v>320</v>
      </c>
      <c r="J67" s="43">
        <v>40000</v>
      </c>
      <c r="K67" s="43">
        <v>0</v>
      </c>
      <c r="L67" s="43">
        <v>40000</v>
      </c>
      <c r="M67" s="44">
        <v>0</v>
      </c>
      <c r="N67" s="44">
        <f t="shared" ref="N67:N130" si="1">IF(I67="GBP",L67-K67,O67-K67)</f>
        <v>40000</v>
      </c>
      <c r="O67" s="44">
        <v>40000</v>
      </c>
      <c r="P67" s="40" t="s">
        <v>948</v>
      </c>
      <c r="Q67" s="40" t="s">
        <v>1058</v>
      </c>
      <c r="R67" s="40" t="s">
        <v>494</v>
      </c>
      <c r="S67" s="40" t="s">
        <v>495</v>
      </c>
      <c r="T67" s="40" t="s">
        <v>363</v>
      </c>
      <c r="U67" s="40" t="s">
        <v>987</v>
      </c>
      <c r="V67" s="40" t="s">
        <v>3806</v>
      </c>
      <c r="W67" s="40" t="s">
        <v>500</v>
      </c>
    </row>
    <row r="68" spans="1:23" ht="12" x14ac:dyDescent="0.2">
      <c r="A68" s="39" t="s">
        <v>357</v>
      </c>
      <c r="B68" s="40" t="s">
        <v>356</v>
      </c>
      <c r="C68" s="40" t="s">
        <v>1085</v>
      </c>
      <c r="D68" s="41">
        <v>45257</v>
      </c>
      <c r="E68" s="41">
        <v>45287</v>
      </c>
      <c r="F68" s="41">
        <v>46091</v>
      </c>
      <c r="G68" s="42">
        <v>804</v>
      </c>
      <c r="H68" s="40" t="s">
        <v>493</v>
      </c>
      <c r="I68" s="39" t="s">
        <v>341</v>
      </c>
      <c r="J68" s="43">
        <v>22269.58</v>
      </c>
      <c r="K68" s="43">
        <v>0</v>
      </c>
      <c r="L68" s="43">
        <v>21708.92</v>
      </c>
      <c r="M68" s="44">
        <v>0</v>
      </c>
      <c r="N68" s="44">
        <f t="shared" si="1"/>
        <v>18766.060000000001</v>
      </c>
      <c r="O68" s="44">
        <v>18766.060000000001</v>
      </c>
      <c r="P68" s="40" t="s">
        <v>1086</v>
      </c>
      <c r="Q68" s="40" t="s">
        <v>1087</v>
      </c>
      <c r="R68" s="40" t="s">
        <v>494</v>
      </c>
      <c r="S68" s="40" t="s">
        <v>502</v>
      </c>
      <c r="T68" s="40" t="s">
        <v>769</v>
      </c>
      <c r="U68" s="40" t="s">
        <v>1088</v>
      </c>
      <c r="V68" s="40" t="s">
        <v>3791</v>
      </c>
      <c r="W68" s="40" t="s">
        <v>1089</v>
      </c>
    </row>
    <row r="69" spans="1:23" ht="12" x14ac:dyDescent="0.2">
      <c r="A69" s="39" t="s">
        <v>357</v>
      </c>
      <c r="B69" s="40" t="s">
        <v>356</v>
      </c>
      <c r="C69" s="40" t="s">
        <v>1084</v>
      </c>
      <c r="D69" s="41">
        <v>45257</v>
      </c>
      <c r="E69" s="41">
        <v>45287</v>
      </c>
      <c r="F69" s="41">
        <v>46091</v>
      </c>
      <c r="G69" s="42">
        <v>804</v>
      </c>
      <c r="H69" s="40" t="s">
        <v>493</v>
      </c>
      <c r="I69" s="39" t="s">
        <v>341</v>
      </c>
      <c r="J69" s="43">
        <v>33607.839999999997</v>
      </c>
      <c r="K69" s="43">
        <v>0</v>
      </c>
      <c r="L69" s="43">
        <v>33607.839999999997</v>
      </c>
      <c r="M69" s="44">
        <v>0</v>
      </c>
      <c r="N69" s="44">
        <f t="shared" si="1"/>
        <v>29050.28</v>
      </c>
      <c r="O69" s="44">
        <v>29050.28</v>
      </c>
      <c r="P69" s="40" t="s">
        <v>849</v>
      </c>
      <c r="Q69" s="40" t="s">
        <v>850</v>
      </c>
      <c r="R69" s="40" t="s">
        <v>494</v>
      </c>
      <c r="S69" s="40" t="s">
        <v>495</v>
      </c>
      <c r="T69" s="40" t="s">
        <v>311</v>
      </c>
      <c r="U69" s="40" t="s">
        <v>851</v>
      </c>
      <c r="V69" s="40" t="s">
        <v>3791</v>
      </c>
      <c r="W69" s="40" t="s">
        <v>852</v>
      </c>
    </row>
    <row r="70" spans="1:23" ht="12" x14ac:dyDescent="0.2">
      <c r="A70" s="39" t="s">
        <v>951</v>
      </c>
      <c r="B70" s="40" t="s">
        <v>1098</v>
      </c>
      <c r="C70" s="40" t="s">
        <v>1099</v>
      </c>
      <c r="D70" s="41">
        <v>45272</v>
      </c>
      <c r="E70" s="41">
        <v>45302</v>
      </c>
      <c r="F70" s="41">
        <v>46091</v>
      </c>
      <c r="G70" s="42">
        <v>789</v>
      </c>
      <c r="H70" s="40" t="s">
        <v>493</v>
      </c>
      <c r="I70" s="39" t="s">
        <v>320</v>
      </c>
      <c r="J70" s="43">
        <v>116952</v>
      </c>
      <c r="K70" s="43">
        <v>19492</v>
      </c>
      <c r="L70" s="43">
        <v>116952</v>
      </c>
      <c r="M70" s="44">
        <v>19492</v>
      </c>
      <c r="N70" s="44">
        <f t="shared" si="1"/>
        <v>97460</v>
      </c>
      <c r="O70" s="44">
        <v>116952</v>
      </c>
      <c r="P70" s="40" t="s">
        <v>950</v>
      </c>
      <c r="Q70" s="40" t="s">
        <v>1100</v>
      </c>
      <c r="R70" s="40" t="s">
        <v>494</v>
      </c>
      <c r="S70" s="40" t="s">
        <v>495</v>
      </c>
      <c r="T70" s="40" t="s">
        <v>327</v>
      </c>
      <c r="U70" s="40" t="s">
        <v>565</v>
      </c>
      <c r="V70" s="40" t="s">
        <v>3807</v>
      </c>
      <c r="W70" s="40"/>
    </row>
    <row r="71" spans="1:23" ht="12" x14ac:dyDescent="0.2">
      <c r="A71" s="39" t="s">
        <v>357</v>
      </c>
      <c r="B71" s="40" t="s">
        <v>356</v>
      </c>
      <c r="C71" s="40" t="s">
        <v>1433</v>
      </c>
      <c r="D71" s="41">
        <v>45291</v>
      </c>
      <c r="E71" s="41">
        <v>45321</v>
      </c>
      <c r="F71" s="41">
        <v>46091</v>
      </c>
      <c r="G71" s="42">
        <v>770</v>
      </c>
      <c r="H71" s="40" t="s">
        <v>493</v>
      </c>
      <c r="I71" s="39" t="s">
        <v>341</v>
      </c>
      <c r="J71" s="43">
        <v>264805.40000000002</v>
      </c>
      <c r="K71" s="43">
        <v>0</v>
      </c>
      <c r="L71" s="43">
        <v>136590.03</v>
      </c>
      <c r="M71" s="44">
        <v>0</v>
      </c>
      <c r="N71" s="44">
        <f t="shared" si="1"/>
        <v>118804.64</v>
      </c>
      <c r="O71" s="44">
        <v>118804.64</v>
      </c>
      <c r="P71" s="40" t="s">
        <v>1205</v>
      </c>
      <c r="Q71" s="40" t="s">
        <v>1206</v>
      </c>
      <c r="R71" s="40" t="s">
        <v>494</v>
      </c>
      <c r="S71" s="40" t="s">
        <v>502</v>
      </c>
      <c r="T71" s="40" t="s">
        <v>330</v>
      </c>
      <c r="U71" s="40" t="s">
        <v>677</v>
      </c>
      <c r="V71" s="40" t="s">
        <v>3791</v>
      </c>
      <c r="W71" s="40" t="s">
        <v>1207</v>
      </c>
    </row>
    <row r="72" spans="1:23" ht="12" x14ac:dyDescent="0.2">
      <c r="A72" s="39" t="s">
        <v>27</v>
      </c>
      <c r="B72" s="40" t="s">
        <v>476</v>
      </c>
      <c r="C72" s="40" t="s">
        <v>3808</v>
      </c>
      <c r="D72" s="41">
        <v>45291</v>
      </c>
      <c r="E72" s="41">
        <v>45321</v>
      </c>
      <c r="F72" s="41">
        <v>46091</v>
      </c>
      <c r="G72" s="42">
        <v>770</v>
      </c>
      <c r="H72" s="40" t="s">
        <v>493</v>
      </c>
      <c r="I72" s="39" t="s">
        <v>320</v>
      </c>
      <c r="J72" s="43">
        <v>39086.769999999997</v>
      </c>
      <c r="K72" s="43">
        <v>0</v>
      </c>
      <c r="L72" s="43">
        <v>39086.769999999997</v>
      </c>
      <c r="M72" s="44">
        <v>0</v>
      </c>
      <c r="N72" s="44">
        <f t="shared" si="1"/>
        <v>39086.769999999997</v>
      </c>
      <c r="O72" s="44">
        <v>39086.769999999997</v>
      </c>
      <c r="P72" s="40" t="s">
        <v>1022</v>
      </c>
      <c r="Q72" s="40" t="s">
        <v>1023</v>
      </c>
      <c r="R72" s="40" t="s">
        <v>494</v>
      </c>
      <c r="S72" s="40" t="s">
        <v>495</v>
      </c>
      <c r="T72" s="40" t="s">
        <v>178</v>
      </c>
      <c r="U72" s="40" t="s">
        <v>561</v>
      </c>
      <c r="V72" s="40" t="s">
        <v>3809</v>
      </c>
      <c r="W72" s="40" t="s">
        <v>1024</v>
      </c>
    </row>
    <row r="73" spans="1:23" ht="12" x14ac:dyDescent="0.2">
      <c r="A73" s="39" t="s">
        <v>357</v>
      </c>
      <c r="B73" s="40" t="s">
        <v>356</v>
      </c>
      <c r="C73" s="40" t="s">
        <v>1434</v>
      </c>
      <c r="D73" s="41">
        <v>45291</v>
      </c>
      <c r="E73" s="41">
        <v>45321</v>
      </c>
      <c r="F73" s="41">
        <v>46091</v>
      </c>
      <c r="G73" s="42">
        <v>770</v>
      </c>
      <c r="H73" s="40" t="s">
        <v>493</v>
      </c>
      <c r="I73" s="39" t="s">
        <v>341</v>
      </c>
      <c r="J73" s="43">
        <v>30190.48</v>
      </c>
      <c r="K73" s="43">
        <v>0</v>
      </c>
      <c r="L73" s="43">
        <v>30190.48</v>
      </c>
      <c r="M73" s="44">
        <v>0</v>
      </c>
      <c r="N73" s="44">
        <f t="shared" si="1"/>
        <v>25745.23</v>
      </c>
      <c r="O73" s="44">
        <v>25745.23</v>
      </c>
      <c r="P73" s="40" t="s">
        <v>1205</v>
      </c>
      <c r="Q73" s="40" t="s">
        <v>1206</v>
      </c>
      <c r="R73" s="40" t="s">
        <v>494</v>
      </c>
      <c r="S73" s="40" t="s">
        <v>502</v>
      </c>
      <c r="T73" s="40" t="s">
        <v>330</v>
      </c>
      <c r="U73" s="40" t="s">
        <v>677</v>
      </c>
      <c r="V73" s="40" t="s">
        <v>3791</v>
      </c>
      <c r="W73" s="40" t="s">
        <v>1207</v>
      </c>
    </row>
    <row r="74" spans="1:23" ht="12" x14ac:dyDescent="0.2">
      <c r="A74" s="39" t="s">
        <v>800</v>
      </c>
      <c r="B74" s="40" t="s">
        <v>808</v>
      </c>
      <c r="C74" s="40" t="s">
        <v>1105</v>
      </c>
      <c r="D74" s="41">
        <v>45293</v>
      </c>
      <c r="E74" s="41">
        <v>45323</v>
      </c>
      <c r="F74" s="41">
        <v>46091</v>
      </c>
      <c r="G74" s="42">
        <v>768</v>
      </c>
      <c r="H74" s="40" t="s">
        <v>493</v>
      </c>
      <c r="I74" s="39" t="s">
        <v>320</v>
      </c>
      <c r="J74" s="43">
        <v>30074.26</v>
      </c>
      <c r="K74" s="43">
        <v>0</v>
      </c>
      <c r="L74" s="43">
        <v>30074.26</v>
      </c>
      <c r="M74" s="44">
        <v>0</v>
      </c>
      <c r="N74" s="44">
        <f t="shared" si="1"/>
        <v>30074.26</v>
      </c>
      <c r="O74" s="44">
        <v>30074.26</v>
      </c>
      <c r="P74" s="40" t="s">
        <v>799</v>
      </c>
      <c r="Q74" s="40" t="s">
        <v>809</v>
      </c>
      <c r="R74" s="40" t="s">
        <v>494</v>
      </c>
      <c r="S74" s="40" t="s">
        <v>502</v>
      </c>
      <c r="T74" s="40" t="s">
        <v>282</v>
      </c>
      <c r="U74" s="40" t="s">
        <v>664</v>
      </c>
      <c r="V74" s="40" t="s">
        <v>3803</v>
      </c>
      <c r="W74" s="40" t="s">
        <v>810</v>
      </c>
    </row>
    <row r="75" spans="1:23" ht="12" x14ac:dyDescent="0.2">
      <c r="A75" s="39" t="s">
        <v>27</v>
      </c>
      <c r="B75" s="40" t="s">
        <v>476</v>
      </c>
      <c r="C75" s="40" t="s">
        <v>1104</v>
      </c>
      <c r="D75" s="41">
        <v>45293</v>
      </c>
      <c r="E75" s="41">
        <v>45323</v>
      </c>
      <c r="F75" s="41">
        <v>46091</v>
      </c>
      <c r="G75" s="42">
        <v>768</v>
      </c>
      <c r="H75" s="40" t="s">
        <v>493</v>
      </c>
      <c r="I75" s="39" t="s">
        <v>320</v>
      </c>
      <c r="J75" s="43">
        <v>33668.75</v>
      </c>
      <c r="K75" s="43">
        <v>0</v>
      </c>
      <c r="L75" s="43">
        <v>6999.8</v>
      </c>
      <c r="M75" s="44">
        <v>0</v>
      </c>
      <c r="N75" s="44">
        <f t="shared" si="1"/>
        <v>6999.8</v>
      </c>
      <c r="O75" s="44">
        <v>6999.8</v>
      </c>
      <c r="P75" s="40" t="s">
        <v>1018</v>
      </c>
      <c r="Q75" s="40" t="s">
        <v>1019</v>
      </c>
      <c r="R75" s="40" t="s">
        <v>494</v>
      </c>
      <c r="S75" s="40" t="s">
        <v>495</v>
      </c>
      <c r="T75" s="40" t="s">
        <v>507</v>
      </c>
      <c r="U75" s="40" t="s">
        <v>582</v>
      </c>
      <c r="V75" s="40" t="s">
        <v>3810</v>
      </c>
      <c r="W75" s="40" t="s">
        <v>1020</v>
      </c>
    </row>
    <row r="76" spans="1:23" ht="12" x14ac:dyDescent="0.2">
      <c r="A76" s="39" t="s">
        <v>357</v>
      </c>
      <c r="B76" s="40" t="s">
        <v>356</v>
      </c>
      <c r="C76" s="40" t="s">
        <v>1113</v>
      </c>
      <c r="D76" s="41">
        <v>45299</v>
      </c>
      <c r="E76" s="41">
        <v>45329</v>
      </c>
      <c r="F76" s="41">
        <v>46091</v>
      </c>
      <c r="G76" s="42">
        <v>762</v>
      </c>
      <c r="H76" s="40" t="s">
        <v>493</v>
      </c>
      <c r="I76" s="39" t="s">
        <v>341</v>
      </c>
      <c r="J76" s="43">
        <v>224933.76000000001</v>
      </c>
      <c r="K76" s="43">
        <v>0</v>
      </c>
      <c r="L76" s="43">
        <v>146206.94</v>
      </c>
      <c r="M76" s="44">
        <v>0</v>
      </c>
      <c r="N76" s="44">
        <f t="shared" si="1"/>
        <v>125622.46</v>
      </c>
      <c r="O76" s="44">
        <v>125622.46</v>
      </c>
      <c r="P76" s="40" t="s">
        <v>1114</v>
      </c>
      <c r="Q76" s="40" t="s">
        <v>1115</v>
      </c>
      <c r="R76" s="40" t="s">
        <v>494</v>
      </c>
      <c r="S76" s="40" t="s">
        <v>495</v>
      </c>
      <c r="T76" s="40" t="s">
        <v>311</v>
      </c>
      <c r="U76" s="40" t="s">
        <v>1116</v>
      </c>
      <c r="V76" s="40" t="s">
        <v>3791</v>
      </c>
      <c r="W76" s="40" t="s">
        <v>1117</v>
      </c>
    </row>
    <row r="77" spans="1:23" ht="12" x14ac:dyDescent="0.2">
      <c r="A77" s="39" t="s">
        <v>1125</v>
      </c>
      <c r="B77" s="40" t="s">
        <v>1126</v>
      </c>
      <c r="C77" s="40" t="s">
        <v>1127</v>
      </c>
      <c r="D77" s="41">
        <v>45309</v>
      </c>
      <c r="E77" s="41">
        <v>45339</v>
      </c>
      <c r="F77" s="41">
        <v>46091</v>
      </c>
      <c r="G77" s="42">
        <v>752</v>
      </c>
      <c r="H77" s="40" t="s">
        <v>493</v>
      </c>
      <c r="I77" s="39" t="s">
        <v>320</v>
      </c>
      <c r="J77" s="43">
        <v>53500</v>
      </c>
      <c r="K77" s="43">
        <v>0</v>
      </c>
      <c r="L77" s="43">
        <v>53500</v>
      </c>
      <c r="M77" s="44">
        <v>0</v>
      </c>
      <c r="N77" s="44">
        <f t="shared" si="1"/>
        <v>53500</v>
      </c>
      <c r="O77" s="44">
        <v>53500</v>
      </c>
      <c r="P77" s="40" t="s">
        <v>1128</v>
      </c>
      <c r="Q77" s="40" t="s">
        <v>1129</v>
      </c>
      <c r="R77" s="40" t="s">
        <v>494</v>
      </c>
      <c r="S77" s="40" t="s">
        <v>495</v>
      </c>
      <c r="T77" s="40" t="s">
        <v>169</v>
      </c>
      <c r="U77" s="40" t="s">
        <v>1130</v>
      </c>
      <c r="V77" s="40" t="s">
        <v>3811</v>
      </c>
      <c r="W77" s="40" t="s">
        <v>322</v>
      </c>
    </row>
    <row r="78" spans="1:23" ht="12" x14ac:dyDescent="0.2">
      <c r="A78" s="39" t="s">
        <v>1139</v>
      </c>
      <c r="B78" s="40" t="s">
        <v>1140</v>
      </c>
      <c r="C78" s="40" t="s">
        <v>1141</v>
      </c>
      <c r="D78" s="41">
        <v>45315</v>
      </c>
      <c r="E78" s="41">
        <v>45345</v>
      </c>
      <c r="F78" s="41">
        <v>46091</v>
      </c>
      <c r="G78" s="42">
        <v>746</v>
      </c>
      <c r="H78" s="40" t="s">
        <v>493</v>
      </c>
      <c r="I78" s="39" t="s">
        <v>323</v>
      </c>
      <c r="J78" s="43">
        <v>14358.94</v>
      </c>
      <c r="K78" s="43">
        <v>0</v>
      </c>
      <c r="L78" s="43">
        <v>14358.94</v>
      </c>
      <c r="M78" s="44">
        <v>0</v>
      </c>
      <c r="N78" s="44">
        <f t="shared" si="1"/>
        <v>10636.25</v>
      </c>
      <c r="O78" s="44">
        <v>10636.25</v>
      </c>
      <c r="P78" s="40" t="s">
        <v>1142</v>
      </c>
      <c r="Q78" s="40" t="s">
        <v>1143</v>
      </c>
      <c r="R78" s="40" t="s">
        <v>494</v>
      </c>
      <c r="S78" s="40" t="s">
        <v>495</v>
      </c>
      <c r="T78" s="40" t="s">
        <v>284</v>
      </c>
      <c r="U78" s="40" t="s">
        <v>678</v>
      </c>
      <c r="V78" s="40" t="s">
        <v>3812</v>
      </c>
      <c r="W78" s="40" t="s">
        <v>1144</v>
      </c>
    </row>
    <row r="79" spans="1:23" ht="12" x14ac:dyDescent="0.2">
      <c r="A79" s="39" t="s">
        <v>357</v>
      </c>
      <c r="B79" s="40" t="s">
        <v>356</v>
      </c>
      <c r="C79" s="40" t="s">
        <v>1435</v>
      </c>
      <c r="D79" s="41">
        <v>45331</v>
      </c>
      <c r="E79" s="41">
        <v>45361</v>
      </c>
      <c r="F79" s="41">
        <v>46091</v>
      </c>
      <c r="G79" s="42">
        <v>730</v>
      </c>
      <c r="H79" s="40" t="s">
        <v>493</v>
      </c>
      <c r="I79" s="39" t="s">
        <v>341</v>
      </c>
      <c r="J79" s="43">
        <v>623054.01</v>
      </c>
      <c r="K79" s="43">
        <v>0</v>
      </c>
      <c r="L79" s="43">
        <v>1777.89</v>
      </c>
      <c r="M79" s="44">
        <v>0</v>
      </c>
      <c r="N79" s="44">
        <f t="shared" si="1"/>
        <v>1536.88</v>
      </c>
      <c r="O79" s="44">
        <v>1536.88</v>
      </c>
      <c r="P79" s="40" t="s">
        <v>1436</v>
      </c>
      <c r="Q79" s="40" t="s">
        <v>1437</v>
      </c>
      <c r="R79" s="40" t="s">
        <v>494</v>
      </c>
      <c r="S79" s="40" t="s">
        <v>502</v>
      </c>
      <c r="T79" s="40" t="s">
        <v>538</v>
      </c>
      <c r="U79" s="40" t="s">
        <v>1438</v>
      </c>
      <c r="V79" s="40" t="s">
        <v>3813</v>
      </c>
      <c r="W79" s="40" t="s">
        <v>1439</v>
      </c>
    </row>
    <row r="80" spans="1:23" ht="12" x14ac:dyDescent="0.2">
      <c r="A80" s="39" t="s">
        <v>357</v>
      </c>
      <c r="B80" s="40" t="s">
        <v>356</v>
      </c>
      <c r="C80" s="40" t="s">
        <v>1191</v>
      </c>
      <c r="D80" s="41">
        <v>45345</v>
      </c>
      <c r="E80" s="41">
        <v>45375</v>
      </c>
      <c r="F80" s="41">
        <v>46091</v>
      </c>
      <c r="G80" s="42">
        <v>716</v>
      </c>
      <c r="H80" s="40" t="s">
        <v>493</v>
      </c>
      <c r="I80" s="39" t="s">
        <v>341</v>
      </c>
      <c r="J80" s="43">
        <v>21900.28</v>
      </c>
      <c r="K80" s="43">
        <v>0</v>
      </c>
      <c r="L80" s="43">
        <v>1206.3900000000001</v>
      </c>
      <c r="M80" s="44">
        <v>0</v>
      </c>
      <c r="N80" s="44">
        <f t="shared" si="1"/>
        <v>1045.8399999999999</v>
      </c>
      <c r="O80" s="44">
        <v>1045.8399999999999</v>
      </c>
      <c r="P80" s="40" t="s">
        <v>1192</v>
      </c>
      <c r="Q80" s="40" t="s">
        <v>1193</v>
      </c>
      <c r="R80" s="40" t="s">
        <v>494</v>
      </c>
      <c r="S80" s="40" t="s">
        <v>495</v>
      </c>
      <c r="T80" s="40" t="s">
        <v>203</v>
      </c>
      <c r="U80" s="40" t="s">
        <v>1194</v>
      </c>
      <c r="V80" s="40" t="s">
        <v>3791</v>
      </c>
      <c r="W80" s="40" t="s">
        <v>1195</v>
      </c>
    </row>
    <row r="81" spans="1:23" ht="12" x14ac:dyDescent="0.2">
      <c r="A81" s="39" t="s">
        <v>357</v>
      </c>
      <c r="B81" s="40" t="s">
        <v>356</v>
      </c>
      <c r="C81" s="40" t="s">
        <v>3814</v>
      </c>
      <c r="D81" s="41">
        <v>45350</v>
      </c>
      <c r="E81" s="41">
        <v>45380</v>
      </c>
      <c r="F81" s="41">
        <v>46091</v>
      </c>
      <c r="G81" s="42">
        <v>711</v>
      </c>
      <c r="H81" s="40" t="s">
        <v>493</v>
      </c>
      <c r="I81" s="39" t="s">
        <v>341</v>
      </c>
      <c r="J81" s="43">
        <v>250789.4</v>
      </c>
      <c r="K81" s="43">
        <v>0</v>
      </c>
      <c r="L81" s="43">
        <v>39065.730000000003</v>
      </c>
      <c r="M81" s="44">
        <v>0</v>
      </c>
      <c r="N81" s="44">
        <f t="shared" si="1"/>
        <v>33887.96</v>
      </c>
      <c r="O81" s="44">
        <v>33887.96</v>
      </c>
      <c r="P81" s="40" t="s">
        <v>3815</v>
      </c>
      <c r="Q81" s="40" t="s">
        <v>3816</v>
      </c>
      <c r="R81" s="40" t="s">
        <v>494</v>
      </c>
      <c r="S81" s="40" t="s">
        <v>502</v>
      </c>
      <c r="T81" s="40" t="s">
        <v>3817</v>
      </c>
      <c r="U81" s="40" t="s">
        <v>3818</v>
      </c>
      <c r="V81" s="40" t="s">
        <v>3819</v>
      </c>
      <c r="W81" s="40" t="s">
        <v>3820</v>
      </c>
    </row>
    <row r="82" spans="1:23" ht="12" x14ac:dyDescent="0.2">
      <c r="A82" s="39" t="s">
        <v>357</v>
      </c>
      <c r="B82" s="40" t="s">
        <v>356</v>
      </c>
      <c r="C82" s="40" t="s">
        <v>1198</v>
      </c>
      <c r="D82" s="41">
        <v>45350</v>
      </c>
      <c r="E82" s="41">
        <v>45380</v>
      </c>
      <c r="F82" s="41">
        <v>46091</v>
      </c>
      <c r="G82" s="42">
        <v>711</v>
      </c>
      <c r="H82" s="40" t="s">
        <v>493</v>
      </c>
      <c r="I82" s="39" t="s">
        <v>341</v>
      </c>
      <c r="J82" s="43">
        <v>114540</v>
      </c>
      <c r="K82" s="43">
        <v>0</v>
      </c>
      <c r="L82" s="43">
        <v>20440</v>
      </c>
      <c r="M82" s="44">
        <v>0</v>
      </c>
      <c r="N82" s="44">
        <f t="shared" si="1"/>
        <v>17623.57</v>
      </c>
      <c r="O82" s="44">
        <v>17623.57</v>
      </c>
      <c r="P82" s="40" t="s">
        <v>1199</v>
      </c>
      <c r="Q82" s="40" t="s">
        <v>1200</v>
      </c>
      <c r="R82" s="40" t="s">
        <v>494</v>
      </c>
      <c r="S82" s="40" t="s">
        <v>502</v>
      </c>
      <c r="T82" s="40" t="s">
        <v>499</v>
      </c>
      <c r="U82" s="40" t="s">
        <v>584</v>
      </c>
      <c r="V82" s="40" t="s">
        <v>3791</v>
      </c>
      <c r="W82" s="40" t="s">
        <v>1201</v>
      </c>
    </row>
    <row r="83" spans="1:23" ht="12" x14ac:dyDescent="0.2">
      <c r="A83" s="39" t="s">
        <v>988</v>
      </c>
      <c r="B83" s="40" t="s">
        <v>989</v>
      </c>
      <c r="C83" s="40" t="s">
        <v>1208</v>
      </c>
      <c r="D83" s="41">
        <v>45357</v>
      </c>
      <c r="E83" s="41">
        <v>45387</v>
      </c>
      <c r="F83" s="41">
        <v>46091</v>
      </c>
      <c r="G83" s="42">
        <v>704</v>
      </c>
      <c r="H83" s="40" t="s">
        <v>493</v>
      </c>
      <c r="I83" s="39" t="s">
        <v>320</v>
      </c>
      <c r="J83" s="43">
        <v>222365</v>
      </c>
      <c r="K83" s="43">
        <v>0</v>
      </c>
      <c r="L83" s="43">
        <v>22236</v>
      </c>
      <c r="M83" s="44">
        <v>0</v>
      </c>
      <c r="N83" s="44">
        <f t="shared" si="1"/>
        <v>22236</v>
      </c>
      <c r="O83" s="44">
        <v>22236</v>
      </c>
      <c r="P83" s="40" t="s">
        <v>990</v>
      </c>
      <c r="Q83" s="40" t="s">
        <v>991</v>
      </c>
      <c r="R83" s="40" t="s">
        <v>494</v>
      </c>
      <c r="S83" s="40" t="s">
        <v>502</v>
      </c>
      <c r="T83" s="40" t="s">
        <v>178</v>
      </c>
      <c r="U83" s="40" t="s">
        <v>992</v>
      </c>
      <c r="V83" s="40" t="s">
        <v>3821</v>
      </c>
      <c r="W83" s="40" t="s">
        <v>500</v>
      </c>
    </row>
    <row r="84" spans="1:23" ht="12" x14ac:dyDescent="0.2">
      <c r="A84" s="39" t="s">
        <v>951</v>
      </c>
      <c r="B84" s="40" t="s">
        <v>1098</v>
      </c>
      <c r="C84" s="40" t="s">
        <v>1256</v>
      </c>
      <c r="D84" s="41">
        <v>45377</v>
      </c>
      <c r="E84" s="41">
        <v>45407</v>
      </c>
      <c r="F84" s="41">
        <v>46091</v>
      </c>
      <c r="G84" s="42">
        <v>684</v>
      </c>
      <c r="H84" s="40" t="s">
        <v>493</v>
      </c>
      <c r="I84" s="39" t="s">
        <v>320</v>
      </c>
      <c r="J84" s="43">
        <v>116952</v>
      </c>
      <c r="K84" s="43">
        <v>19492</v>
      </c>
      <c r="L84" s="43">
        <v>116952</v>
      </c>
      <c r="M84" s="44">
        <v>19492</v>
      </c>
      <c r="N84" s="44">
        <f t="shared" si="1"/>
        <v>97460</v>
      </c>
      <c r="O84" s="44">
        <v>116952</v>
      </c>
      <c r="P84" s="40" t="s">
        <v>950</v>
      </c>
      <c r="Q84" s="40" t="s">
        <v>1100</v>
      </c>
      <c r="R84" s="40" t="s">
        <v>494</v>
      </c>
      <c r="S84" s="40" t="s">
        <v>495</v>
      </c>
      <c r="T84" s="40" t="s">
        <v>327</v>
      </c>
      <c r="U84" s="40" t="s">
        <v>565</v>
      </c>
      <c r="V84" s="40" t="s">
        <v>3807</v>
      </c>
      <c r="W84" s="40"/>
    </row>
    <row r="85" spans="1:23" ht="12" x14ac:dyDescent="0.2">
      <c r="A85" s="39" t="s">
        <v>413</v>
      </c>
      <c r="B85" s="40" t="s">
        <v>774</v>
      </c>
      <c r="C85" s="40" t="s">
        <v>1257</v>
      </c>
      <c r="D85" s="41">
        <v>45378</v>
      </c>
      <c r="E85" s="41">
        <v>45408</v>
      </c>
      <c r="F85" s="41">
        <v>46091</v>
      </c>
      <c r="G85" s="42">
        <v>683</v>
      </c>
      <c r="H85" s="40" t="s">
        <v>493</v>
      </c>
      <c r="I85" s="39" t="s">
        <v>320</v>
      </c>
      <c r="J85" s="43">
        <v>18470.400000000001</v>
      </c>
      <c r="K85" s="43">
        <v>0</v>
      </c>
      <c r="L85" s="43">
        <v>18470.400000000001</v>
      </c>
      <c r="M85" s="44">
        <v>0</v>
      </c>
      <c r="N85" s="44">
        <f t="shared" si="1"/>
        <v>18470.400000000001</v>
      </c>
      <c r="O85" s="44">
        <v>18470.400000000001</v>
      </c>
      <c r="P85" s="40" t="s">
        <v>962</v>
      </c>
      <c r="Q85" s="40" t="s">
        <v>1044</v>
      </c>
      <c r="R85" s="40" t="s">
        <v>494</v>
      </c>
      <c r="S85" s="40" t="s">
        <v>502</v>
      </c>
      <c r="T85" s="40" t="s">
        <v>512</v>
      </c>
      <c r="U85" s="40" t="s">
        <v>1045</v>
      </c>
      <c r="V85" s="40" t="s">
        <v>3822</v>
      </c>
      <c r="W85" s="40" t="s">
        <v>1636</v>
      </c>
    </row>
    <row r="86" spans="1:23" ht="12" x14ac:dyDescent="0.2">
      <c r="A86" s="39" t="s">
        <v>800</v>
      </c>
      <c r="B86" s="40" t="s">
        <v>808</v>
      </c>
      <c r="C86" s="40" t="s">
        <v>1258</v>
      </c>
      <c r="D86" s="41">
        <v>45383</v>
      </c>
      <c r="E86" s="41">
        <v>45413</v>
      </c>
      <c r="F86" s="41">
        <v>46091</v>
      </c>
      <c r="G86" s="42">
        <v>678</v>
      </c>
      <c r="H86" s="40" t="s">
        <v>493</v>
      </c>
      <c r="I86" s="39" t="s">
        <v>320</v>
      </c>
      <c r="J86" s="43">
        <v>30074.26</v>
      </c>
      <c r="K86" s="43">
        <v>0</v>
      </c>
      <c r="L86" s="43">
        <v>30074.26</v>
      </c>
      <c r="M86" s="44">
        <v>0</v>
      </c>
      <c r="N86" s="44">
        <f t="shared" si="1"/>
        <v>30074.26</v>
      </c>
      <c r="O86" s="44">
        <v>30074.26</v>
      </c>
      <c r="P86" s="40" t="s">
        <v>799</v>
      </c>
      <c r="Q86" s="40" t="s">
        <v>809</v>
      </c>
      <c r="R86" s="40" t="s">
        <v>494</v>
      </c>
      <c r="S86" s="40" t="s">
        <v>502</v>
      </c>
      <c r="T86" s="40" t="s">
        <v>282</v>
      </c>
      <c r="U86" s="40" t="s">
        <v>664</v>
      </c>
      <c r="V86" s="40" t="s">
        <v>3803</v>
      </c>
      <c r="W86" s="40" t="s">
        <v>810</v>
      </c>
    </row>
    <row r="87" spans="1:23" ht="12" x14ac:dyDescent="0.2">
      <c r="A87" s="39" t="s">
        <v>337</v>
      </c>
      <c r="B87" s="40" t="s">
        <v>336</v>
      </c>
      <c r="C87" s="40" t="s">
        <v>1289</v>
      </c>
      <c r="D87" s="41">
        <v>45400</v>
      </c>
      <c r="E87" s="41">
        <v>45430</v>
      </c>
      <c r="F87" s="41">
        <v>46091</v>
      </c>
      <c r="G87" s="42">
        <v>661</v>
      </c>
      <c r="H87" s="40" t="s">
        <v>493</v>
      </c>
      <c r="I87" s="39" t="s">
        <v>320</v>
      </c>
      <c r="J87" s="43">
        <v>134441.34</v>
      </c>
      <c r="K87" s="43">
        <v>0</v>
      </c>
      <c r="L87" s="43">
        <v>134441.34</v>
      </c>
      <c r="M87" s="44">
        <v>0</v>
      </c>
      <c r="N87" s="44">
        <f t="shared" si="1"/>
        <v>134441.34</v>
      </c>
      <c r="O87" s="44">
        <v>134441.34</v>
      </c>
      <c r="P87" s="40" t="s">
        <v>1001</v>
      </c>
      <c r="Q87" s="40" t="s">
        <v>1002</v>
      </c>
      <c r="R87" s="40" t="s">
        <v>494</v>
      </c>
      <c r="S87" s="40" t="s">
        <v>502</v>
      </c>
      <c r="T87" s="40" t="s">
        <v>289</v>
      </c>
      <c r="U87" s="40" t="s">
        <v>1003</v>
      </c>
      <c r="V87" s="40" t="s">
        <v>3823</v>
      </c>
      <c r="W87" s="40" t="s">
        <v>1004</v>
      </c>
    </row>
    <row r="88" spans="1:23" ht="12" x14ac:dyDescent="0.2">
      <c r="A88" s="39" t="s">
        <v>2115</v>
      </c>
      <c r="B88" s="40" t="s">
        <v>2116</v>
      </c>
      <c r="C88" s="40" t="s">
        <v>2117</v>
      </c>
      <c r="D88" s="41">
        <v>45405</v>
      </c>
      <c r="E88" s="41">
        <v>45435</v>
      </c>
      <c r="F88" s="41">
        <v>46091</v>
      </c>
      <c r="G88" s="42">
        <v>656</v>
      </c>
      <c r="H88" s="40" t="s">
        <v>493</v>
      </c>
      <c r="I88" s="39" t="s">
        <v>320</v>
      </c>
      <c r="J88" s="43">
        <v>30000</v>
      </c>
      <c r="K88" s="43">
        <v>5000</v>
      </c>
      <c r="L88" s="43">
        <v>5000</v>
      </c>
      <c r="M88" s="44">
        <v>833.33</v>
      </c>
      <c r="N88" s="44">
        <f t="shared" si="1"/>
        <v>0</v>
      </c>
      <c r="O88" s="44">
        <v>5000</v>
      </c>
      <c r="P88" s="40" t="s">
        <v>2118</v>
      </c>
      <c r="Q88" s="40" t="s">
        <v>2119</v>
      </c>
      <c r="R88" s="40" t="s">
        <v>494</v>
      </c>
      <c r="S88" s="40" t="s">
        <v>1168</v>
      </c>
      <c r="T88" s="40" t="s">
        <v>220</v>
      </c>
      <c r="U88" s="40" t="s">
        <v>618</v>
      </c>
      <c r="V88" s="40" t="s">
        <v>3824</v>
      </c>
      <c r="W88" s="40" t="s">
        <v>321</v>
      </c>
    </row>
    <row r="89" spans="1:23" ht="12" x14ac:dyDescent="0.2">
      <c r="A89" s="39" t="s">
        <v>10</v>
      </c>
      <c r="B89" s="40" t="s">
        <v>393</v>
      </c>
      <c r="C89" s="40" t="s">
        <v>1292</v>
      </c>
      <c r="D89" s="41">
        <v>45407</v>
      </c>
      <c r="E89" s="41">
        <v>45437</v>
      </c>
      <c r="F89" s="41">
        <v>46091</v>
      </c>
      <c r="G89" s="42">
        <v>654</v>
      </c>
      <c r="H89" s="40" t="s">
        <v>493</v>
      </c>
      <c r="I89" s="39" t="s">
        <v>320</v>
      </c>
      <c r="J89" s="43">
        <v>15820.11</v>
      </c>
      <c r="K89" s="43">
        <v>0</v>
      </c>
      <c r="L89" s="43">
        <v>15820.11</v>
      </c>
      <c r="M89" s="44">
        <v>0</v>
      </c>
      <c r="N89" s="44">
        <f t="shared" si="1"/>
        <v>15820.11</v>
      </c>
      <c r="O89" s="44">
        <v>15820.11</v>
      </c>
      <c r="P89" s="40" t="s">
        <v>866</v>
      </c>
      <c r="Q89" s="40" t="s">
        <v>867</v>
      </c>
      <c r="R89" s="40" t="s">
        <v>494</v>
      </c>
      <c r="S89" s="40" t="s">
        <v>495</v>
      </c>
      <c r="T89" s="40" t="s">
        <v>330</v>
      </c>
      <c r="U89" s="40" t="s">
        <v>868</v>
      </c>
      <c r="V89" s="40" t="s">
        <v>3825</v>
      </c>
      <c r="W89" s="40" t="s">
        <v>869</v>
      </c>
    </row>
    <row r="90" spans="1:23" ht="12" x14ac:dyDescent="0.2">
      <c r="A90" s="39" t="s">
        <v>413</v>
      </c>
      <c r="B90" s="40" t="s">
        <v>774</v>
      </c>
      <c r="C90" s="40" t="s">
        <v>1316</v>
      </c>
      <c r="D90" s="41">
        <v>45434</v>
      </c>
      <c r="E90" s="41">
        <v>45464</v>
      </c>
      <c r="F90" s="41">
        <v>46091</v>
      </c>
      <c r="G90" s="42">
        <v>627</v>
      </c>
      <c r="H90" s="40" t="s">
        <v>493</v>
      </c>
      <c r="I90" s="39" t="s">
        <v>320</v>
      </c>
      <c r="J90" s="43">
        <v>15519.54</v>
      </c>
      <c r="K90" s="43">
        <v>0</v>
      </c>
      <c r="L90" s="43">
        <v>15519.54</v>
      </c>
      <c r="M90" s="44">
        <v>0</v>
      </c>
      <c r="N90" s="44">
        <f t="shared" si="1"/>
        <v>15519.54</v>
      </c>
      <c r="O90" s="44">
        <v>15519.54</v>
      </c>
      <c r="P90" s="40" t="s">
        <v>962</v>
      </c>
      <c r="Q90" s="40" t="s">
        <v>1044</v>
      </c>
      <c r="R90" s="40" t="s">
        <v>494</v>
      </c>
      <c r="S90" s="40" t="s">
        <v>502</v>
      </c>
      <c r="T90" s="40" t="s">
        <v>512</v>
      </c>
      <c r="U90" s="40" t="s">
        <v>1045</v>
      </c>
      <c r="V90" s="40" t="s">
        <v>3822</v>
      </c>
      <c r="W90" s="40" t="s">
        <v>1636</v>
      </c>
    </row>
    <row r="91" spans="1:23" ht="12" x14ac:dyDescent="0.2">
      <c r="A91" s="39" t="s">
        <v>357</v>
      </c>
      <c r="B91" s="40" t="s">
        <v>356</v>
      </c>
      <c r="C91" s="40" t="s">
        <v>1320</v>
      </c>
      <c r="D91" s="41">
        <v>45442</v>
      </c>
      <c r="E91" s="41">
        <v>45472</v>
      </c>
      <c r="F91" s="41">
        <v>46091</v>
      </c>
      <c r="G91" s="42">
        <v>619</v>
      </c>
      <c r="H91" s="40" t="s">
        <v>493</v>
      </c>
      <c r="I91" s="39" t="s">
        <v>341</v>
      </c>
      <c r="J91" s="43">
        <v>91013.88</v>
      </c>
      <c r="K91" s="43">
        <v>0</v>
      </c>
      <c r="L91" s="43">
        <v>5654.8</v>
      </c>
      <c r="M91" s="44">
        <v>0</v>
      </c>
      <c r="N91" s="44">
        <f t="shared" si="1"/>
        <v>4905.71</v>
      </c>
      <c r="O91" s="44">
        <v>4905.71</v>
      </c>
      <c r="P91" s="40" t="s">
        <v>1321</v>
      </c>
      <c r="Q91" s="40" t="s">
        <v>1322</v>
      </c>
      <c r="R91" s="40" t="s">
        <v>494</v>
      </c>
      <c r="S91" s="40" t="s">
        <v>495</v>
      </c>
      <c r="T91" s="40" t="s">
        <v>224</v>
      </c>
      <c r="U91" s="40" t="s">
        <v>833</v>
      </c>
      <c r="V91" s="40" t="s">
        <v>3791</v>
      </c>
      <c r="W91" s="40" t="s">
        <v>1323</v>
      </c>
    </row>
    <row r="92" spans="1:23" ht="12" x14ac:dyDescent="0.2">
      <c r="A92" s="39" t="s">
        <v>357</v>
      </c>
      <c r="B92" s="40" t="s">
        <v>356</v>
      </c>
      <c r="C92" s="40" t="s">
        <v>1640</v>
      </c>
      <c r="D92" s="41">
        <v>45447</v>
      </c>
      <c r="E92" s="41">
        <v>45477</v>
      </c>
      <c r="F92" s="41">
        <v>46091</v>
      </c>
      <c r="G92" s="42">
        <v>614</v>
      </c>
      <c r="H92" s="40" t="s">
        <v>493</v>
      </c>
      <c r="I92" s="39" t="s">
        <v>341</v>
      </c>
      <c r="J92" s="43">
        <v>391839.17</v>
      </c>
      <c r="K92" s="43">
        <v>0</v>
      </c>
      <c r="L92" s="43">
        <v>5403.01</v>
      </c>
      <c r="M92" s="44">
        <v>0</v>
      </c>
      <c r="N92" s="44">
        <f t="shared" si="1"/>
        <v>4646.21</v>
      </c>
      <c r="O92" s="44">
        <v>4646.21</v>
      </c>
      <c r="P92" s="40" t="s">
        <v>1641</v>
      </c>
      <c r="Q92" s="40" t="s">
        <v>1642</v>
      </c>
      <c r="R92" s="40" t="s">
        <v>494</v>
      </c>
      <c r="S92" s="40" t="s">
        <v>502</v>
      </c>
      <c r="T92" s="40" t="s">
        <v>184</v>
      </c>
      <c r="U92" s="40" t="s">
        <v>1643</v>
      </c>
      <c r="V92" s="40" t="s">
        <v>3791</v>
      </c>
      <c r="W92" s="40" t="s">
        <v>1644</v>
      </c>
    </row>
    <row r="93" spans="1:23" ht="12" x14ac:dyDescent="0.2">
      <c r="A93" s="39" t="s">
        <v>1329</v>
      </c>
      <c r="B93" s="40" t="s">
        <v>1330</v>
      </c>
      <c r="C93" s="40" t="s">
        <v>1331</v>
      </c>
      <c r="D93" s="41">
        <v>45453</v>
      </c>
      <c r="E93" s="41">
        <v>45483</v>
      </c>
      <c r="F93" s="41">
        <v>46091</v>
      </c>
      <c r="G93" s="42">
        <v>608</v>
      </c>
      <c r="H93" s="40" t="s">
        <v>493</v>
      </c>
      <c r="I93" s="39" t="s">
        <v>320</v>
      </c>
      <c r="J93" s="43">
        <v>400316.05</v>
      </c>
      <c r="K93" s="43">
        <v>0</v>
      </c>
      <c r="L93" s="43">
        <v>400316.05</v>
      </c>
      <c r="M93" s="44">
        <v>0</v>
      </c>
      <c r="N93" s="44">
        <f t="shared" si="1"/>
        <v>400316.05</v>
      </c>
      <c r="O93" s="44">
        <v>400316.05</v>
      </c>
      <c r="P93" s="40" t="s">
        <v>1332</v>
      </c>
      <c r="Q93" s="40" t="s">
        <v>1333</v>
      </c>
      <c r="R93" s="40" t="s">
        <v>494</v>
      </c>
      <c r="S93" s="40" t="s">
        <v>502</v>
      </c>
      <c r="T93" s="40" t="s">
        <v>507</v>
      </c>
      <c r="U93" s="40" t="s">
        <v>577</v>
      </c>
      <c r="V93" s="40" t="s">
        <v>3826</v>
      </c>
      <c r="W93" s="40"/>
    </row>
    <row r="94" spans="1:23" ht="12" x14ac:dyDescent="0.2">
      <c r="A94" s="39" t="s">
        <v>357</v>
      </c>
      <c r="B94" s="40" t="s">
        <v>356</v>
      </c>
      <c r="C94" s="40" t="s">
        <v>2120</v>
      </c>
      <c r="D94" s="41">
        <v>45455</v>
      </c>
      <c r="E94" s="41">
        <v>45485</v>
      </c>
      <c r="F94" s="41">
        <v>46091</v>
      </c>
      <c r="G94" s="42">
        <v>606</v>
      </c>
      <c r="H94" s="40" t="s">
        <v>493</v>
      </c>
      <c r="I94" s="39" t="s">
        <v>341</v>
      </c>
      <c r="J94" s="43">
        <v>361970.06</v>
      </c>
      <c r="K94" s="43">
        <v>0</v>
      </c>
      <c r="L94" s="43">
        <v>128421.32</v>
      </c>
      <c r="M94" s="44">
        <v>0</v>
      </c>
      <c r="N94" s="44">
        <f t="shared" si="1"/>
        <v>111310.46</v>
      </c>
      <c r="O94" s="44">
        <v>111310.46</v>
      </c>
      <c r="P94" s="40" t="s">
        <v>2121</v>
      </c>
      <c r="Q94" s="40" t="s">
        <v>2122</v>
      </c>
      <c r="R94" s="40" t="s">
        <v>494</v>
      </c>
      <c r="S94" s="40" t="s">
        <v>502</v>
      </c>
      <c r="T94" s="40" t="s">
        <v>185</v>
      </c>
      <c r="U94" s="40" t="s">
        <v>2123</v>
      </c>
      <c r="V94" s="40" t="s">
        <v>3791</v>
      </c>
      <c r="W94" s="40" t="s">
        <v>2124</v>
      </c>
    </row>
    <row r="95" spans="1:23" ht="12" x14ac:dyDescent="0.2">
      <c r="A95" s="39" t="s">
        <v>337</v>
      </c>
      <c r="B95" s="40" t="s">
        <v>336</v>
      </c>
      <c r="C95" s="40" t="s">
        <v>1336</v>
      </c>
      <c r="D95" s="41">
        <v>45456</v>
      </c>
      <c r="E95" s="41">
        <v>45486</v>
      </c>
      <c r="F95" s="41">
        <v>46091</v>
      </c>
      <c r="G95" s="42">
        <v>605</v>
      </c>
      <c r="H95" s="40" t="s">
        <v>493</v>
      </c>
      <c r="I95" s="39" t="s">
        <v>320</v>
      </c>
      <c r="J95" s="43">
        <v>27347.67</v>
      </c>
      <c r="K95" s="43">
        <v>0</v>
      </c>
      <c r="L95" s="43">
        <v>27347.67</v>
      </c>
      <c r="M95" s="44">
        <v>0</v>
      </c>
      <c r="N95" s="44">
        <f t="shared" si="1"/>
        <v>27347.67</v>
      </c>
      <c r="O95" s="44">
        <v>27347.67</v>
      </c>
      <c r="P95" s="40" t="s">
        <v>1337</v>
      </c>
      <c r="Q95" s="40" t="s">
        <v>1338</v>
      </c>
      <c r="R95" s="40" t="s">
        <v>494</v>
      </c>
      <c r="S95" s="40" t="s">
        <v>495</v>
      </c>
      <c r="T95" s="40" t="s">
        <v>189</v>
      </c>
      <c r="U95" s="40" t="s">
        <v>1339</v>
      </c>
      <c r="V95" s="40" t="s">
        <v>3827</v>
      </c>
      <c r="W95" s="40" t="s">
        <v>1340</v>
      </c>
    </row>
    <row r="96" spans="1:23" ht="12" x14ac:dyDescent="0.2">
      <c r="A96" s="39" t="s">
        <v>27</v>
      </c>
      <c r="B96" s="40" t="s">
        <v>476</v>
      </c>
      <c r="C96" s="40" t="s">
        <v>1375</v>
      </c>
      <c r="D96" s="41">
        <v>45474</v>
      </c>
      <c r="E96" s="41">
        <v>45504</v>
      </c>
      <c r="F96" s="41">
        <v>46091</v>
      </c>
      <c r="G96" s="42">
        <v>587</v>
      </c>
      <c r="H96" s="40" t="s">
        <v>493</v>
      </c>
      <c r="I96" s="39" t="s">
        <v>320</v>
      </c>
      <c r="J96" s="43">
        <v>52595.66</v>
      </c>
      <c r="K96" s="43">
        <v>0</v>
      </c>
      <c r="L96" s="43">
        <v>18931.77</v>
      </c>
      <c r="M96" s="44">
        <v>0</v>
      </c>
      <c r="N96" s="44">
        <f t="shared" si="1"/>
        <v>18931.77</v>
      </c>
      <c r="O96" s="44">
        <v>18931.77</v>
      </c>
      <c r="P96" s="40" t="s">
        <v>1376</v>
      </c>
      <c r="Q96" s="40" t="s">
        <v>1377</v>
      </c>
      <c r="R96" s="40" t="s">
        <v>494</v>
      </c>
      <c r="S96" s="40" t="s">
        <v>502</v>
      </c>
      <c r="T96" s="40" t="s">
        <v>178</v>
      </c>
      <c r="U96" s="40" t="s">
        <v>1378</v>
      </c>
      <c r="V96" s="40" t="s">
        <v>3828</v>
      </c>
      <c r="W96" s="40" t="s">
        <v>1379</v>
      </c>
    </row>
    <row r="97" spans="1:23" ht="12" x14ac:dyDescent="0.2">
      <c r="A97" s="39" t="s">
        <v>27</v>
      </c>
      <c r="B97" s="40" t="s">
        <v>476</v>
      </c>
      <c r="C97" s="40" t="s">
        <v>1387</v>
      </c>
      <c r="D97" s="41">
        <v>45474</v>
      </c>
      <c r="E97" s="41">
        <v>45504</v>
      </c>
      <c r="F97" s="41">
        <v>46091</v>
      </c>
      <c r="G97" s="42">
        <v>587</v>
      </c>
      <c r="H97" s="40" t="s">
        <v>493</v>
      </c>
      <c r="I97" s="39" t="s">
        <v>320</v>
      </c>
      <c r="J97" s="43">
        <v>98757.97</v>
      </c>
      <c r="K97" s="43">
        <v>0</v>
      </c>
      <c r="L97" s="43">
        <v>3371.21</v>
      </c>
      <c r="M97" s="44">
        <v>0</v>
      </c>
      <c r="N97" s="44">
        <f t="shared" si="1"/>
        <v>3371.21</v>
      </c>
      <c r="O97" s="44">
        <v>3371.21</v>
      </c>
      <c r="P97" s="40" t="s">
        <v>1388</v>
      </c>
      <c r="Q97" s="40" t="s">
        <v>1389</v>
      </c>
      <c r="R97" s="40" t="s">
        <v>494</v>
      </c>
      <c r="S97" s="40" t="s">
        <v>495</v>
      </c>
      <c r="T97" s="40" t="s">
        <v>327</v>
      </c>
      <c r="U97" s="40" t="s">
        <v>627</v>
      </c>
      <c r="V97" s="40" t="s">
        <v>3829</v>
      </c>
      <c r="W97" s="40" t="s">
        <v>1390</v>
      </c>
    </row>
    <row r="98" spans="1:23" ht="12" x14ac:dyDescent="0.2">
      <c r="A98" s="39" t="s">
        <v>800</v>
      </c>
      <c r="B98" s="40" t="s">
        <v>808</v>
      </c>
      <c r="C98" s="40" t="s">
        <v>1347</v>
      </c>
      <c r="D98" s="41">
        <v>45474</v>
      </c>
      <c r="E98" s="41">
        <v>45504</v>
      </c>
      <c r="F98" s="41">
        <v>46091</v>
      </c>
      <c r="G98" s="42">
        <v>587</v>
      </c>
      <c r="H98" s="40" t="s">
        <v>493</v>
      </c>
      <c r="I98" s="39" t="s">
        <v>320</v>
      </c>
      <c r="J98" s="43">
        <v>30074.26</v>
      </c>
      <c r="K98" s="43">
        <v>0</v>
      </c>
      <c r="L98" s="43">
        <v>30074.26</v>
      </c>
      <c r="M98" s="44">
        <v>0</v>
      </c>
      <c r="N98" s="44">
        <f t="shared" si="1"/>
        <v>30074.26</v>
      </c>
      <c r="O98" s="44">
        <v>30074.26</v>
      </c>
      <c r="P98" s="40" t="s">
        <v>799</v>
      </c>
      <c r="Q98" s="40" t="s">
        <v>809</v>
      </c>
      <c r="R98" s="40" t="s">
        <v>494</v>
      </c>
      <c r="S98" s="40" t="s">
        <v>502</v>
      </c>
      <c r="T98" s="40" t="s">
        <v>282</v>
      </c>
      <c r="U98" s="40" t="s">
        <v>664</v>
      </c>
      <c r="V98" s="40" t="s">
        <v>3803</v>
      </c>
      <c r="W98" s="40" t="s">
        <v>810</v>
      </c>
    </row>
    <row r="99" spans="1:23" ht="12" x14ac:dyDescent="0.2">
      <c r="A99" s="39" t="s">
        <v>27</v>
      </c>
      <c r="B99" s="40" t="s">
        <v>476</v>
      </c>
      <c r="C99" s="40" t="s">
        <v>1380</v>
      </c>
      <c r="D99" s="41">
        <v>45474</v>
      </c>
      <c r="E99" s="41">
        <v>45504</v>
      </c>
      <c r="F99" s="41">
        <v>46091</v>
      </c>
      <c r="G99" s="42">
        <v>587</v>
      </c>
      <c r="H99" s="40" t="s">
        <v>493</v>
      </c>
      <c r="I99" s="39" t="s">
        <v>320</v>
      </c>
      <c r="J99" s="43">
        <v>79146.63</v>
      </c>
      <c r="K99" s="43">
        <v>0</v>
      </c>
      <c r="L99" s="43">
        <v>6727.59</v>
      </c>
      <c r="M99" s="44">
        <v>0</v>
      </c>
      <c r="N99" s="44">
        <f t="shared" si="1"/>
        <v>6727.59</v>
      </c>
      <c r="O99" s="44">
        <v>6727.59</v>
      </c>
      <c r="P99" s="40" t="s">
        <v>1381</v>
      </c>
      <c r="Q99" s="40" t="s">
        <v>1382</v>
      </c>
      <c r="R99" s="40" t="s">
        <v>494</v>
      </c>
      <c r="S99" s="40" t="s">
        <v>502</v>
      </c>
      <c r="T99" s="40" t="s">
        <v>330</v>
      </c>
      <c r="U99" s="40" t="s">
        <v>1383</v>
      </c>
      <c r="V99" s="40" t="s">
        <v>3830</v>
      </c>
      <c r="W99" s="40" t="s">
        <v>1384</v>
      </c>
    </row>
    <row r="100" spans="1:23" ht="12" x14ac:dyDescent="0.2">
      <c r="A100" s="39" t="s">
        <v>10</v>
      </c>
      <c r="B100" s="40" t="s">
        <v>393</v>
      </c>
      <c r="C100" s="40" t="s">
        <v>1415</v>
      </c>
      <c r="D100" s="41">
        <v>45489</v>
      </c>
      <c r="E100" s="41">
        <v>45519</v>
      </c>
      <c r="F100" s="41">
        <v>46091</v>
      </c>
      <c r="G100" s="42">
        <v>572</v>
      </c>
      <c r="H100" s="40" t="s">
        <v>493</v>
      </c>
      <c r="I100" s="39" t="s">
        <v>320</v>
      </c>
      <c r="J100" s="43">
        <v>49929.7</v>
      </c>
      <c r="K100" s="43">
        <v>0</v>
      </c>
      <c r="L100" s="43">
        <v>39934.61</v>
      </c>
      <c r="M100" s="44">
        <v>0</v>
      </c>
      <c r="N100" s="44">
        <f t="shared" si="1"/>
        <v>39934.61</v>
      </c>
      <c r="O100" s="44">
        <v>39934.61</v>
      </c>
      <c r="P100" s="40" t="s">
        <v>1416</v>
      </c>
      <c r="Q100" s="40" t="s">
        <v>1417</v>
      </c>
      <c r="R100" s="40" t="s">
        <v>494</v>
      </c>
      <c r="S100" s="40" t="s">
        <v>495</v>
      </c>
      <c r="T100" s="40" t="s">
        <v>287</v>
      </c>
      <c r="U100" s="40" t="s">
        <v>1013</v>
      </c>
      <c r="V100" s="40" t="s">
        <v>3831</v>
      </c>
      <c r="W100" s="40" t="s">
        <v>2125</v>
      </c>
    </row>
    <row r="101" spans="1:23" ht="12" x14ac:dyDescent="0.2">
      <c r="A101" s="39" t="s">
        <v>1418</v>
      </c>
      <c r="B101" s="40" t="s">
        <v>1419</v>
      </c>
      <c r="C101" s="40" t="s">
        <v>1420</v>
      </c>
      <c r="D101" s="41">
        <v>45490</v>
      </c>
      <c r="E101" s="41">
        <v>45520</v>
      </c>
      <c r="F101" s="41">
        <v>46091</v>
      </c>
      <c r="G101" s="42">
        <v>571</v>
      </c>
      <c r="H101" s="40" t="s">
        <v>493</v>
      </c>
      <c r="I101" s="39" t="s">
        <v>323</v>
      </c>
      <c r="J101" s="43">
        <v>107612.89</v>
      </c>
      <c r="K101" s="43">
        <v>0</v>
      </c>
      <c r="L101" s="43">
        <v>107612.89</v>
      </c>
      <c r="M101" s="44">
        <v>0</v>
      </c>
      <c r="N101" s="44">
        <f t="shared" si="1"/>
        <v>76866.350000000006</v>
      </c>
      <c r="O101" s="44">
        <v>76866.350000000006</v>
      </c>
      <c r="P101" s="40" t="s">
        <v>1421</v>
      </c>
      <c r="Q101" s="40" t="s">
        <v>1422</v>
      </c>
      <c r="R101" s="40" t="s">
        <v>494</v>
      </c>
      <c r="S101" s="40" t="s">
        <v>495</v>
      </c>
      <c r="T101" s="40" t="s">
        <v>330</v>
      </c>
      <c r="U101" s="40" t="s">
        <v>1386</v>
      </c>
      <c r="V101" s="40" t="s">
        <v>3832</v>
      </c>
      <c r="W101" s="40" t="s">
        <v>2126</v>
      </c>
    </row>
    <row r="102" spans="1:23" ht="12" x14ac:dyDescent="0.2">
      <c r="A102" s="39" t="s">
        <v>337</v>
      </c>
      <c r="B102" s="40" t="s">
        <v>336</v>
      </c>
      <c r="C102" s="40" t="s">
        <v>1474</v>
      </c>
      <c r="D102" s="41">
        <v>45498</v>
      </c>
      <c r="E102" s="41">
        <v>45528</v>
      </c>
      <c r="F102" s="41">
        <v>46091</v>
      </c>
      <c r="G102" s="42">
        <v>563</v>
      </c>
      <c r="H102" s="40" t="s">
        <v>493</v>
      </c>
      <c r="I102" s="39" t="s">
        <v>320</v>
      </c>
      <c r="J102" s="43">
        <v>33077.339999999997</v>
      </c>
      <c r="K102" s="43">
        <v>0</v>
      </c>
      <c r="L102" s="43">
        <v>33077.339999999997</v>
      </c>
      <c r="M102" s="44">
        <v>0</v>
      </c>
      <c r="N102" s="44">
        <f t="shared" si="1"/>
        <v>33077.339999999997</v>
      </c>
      <c r="O102" s="44">
        <v>33077.339999999997</v>
      </c>
      <c r="P102" s="40" t="s">
        <v>1001</v>
      </c>
      <c r="Q102" s="40" t="s">
        <v>1002</v>
      </c>
      <c r="R102" s="40" t="s">
        <v>494</v>
      </c>
      <c r="S102" s="40" t="s">
        <v>502</v>
      </c>
      <c r="T102" s="40" t="s">
        <v>289</v>
      </c>
      <c r="U102" s="40" t="s">
        <v>1003</v>
      </c>
      <c r="V102" s="40" t="s">
        <v>3823</v>
      </c>
      <c r="W102" s="40" t="s">
        <v>1004</v>
      </c>
    </row>
    <row r="103" spans="1:23" ht="12" x14ac:dyDescent="0.2">
      <c r="A103" s="39" t="s">
        <v>71</v>
      </c>
      <c r="B103" s="40" t="s">
        <v>458</v>
      </c>
      <c r="C103" s="40" t="s">
        <v>1485</v>
      </c>
      <c r="D103" s="41">
        <v>45505</v>
      </c>
      <c r="E103" s="41">
        <v>45535</v>
      </c>
      <c r="F103" s="41">
        <v>46091</v>
      </c>
      <c r="G103" s="42">
        <v>556</v>
      </c>
      <c r="H103" s="40" t="s">
        <v>493</v>
      </c>
      <c r="I103" s="39" t="s">
        <v>320</v>
      </c>
      <c r="J103" s="43">
        <v>2535.73</v>
      </c>
      <c r="K103" s="43">
        <v>0</v>
      </c>
      <c r="L103" s="43">
        <v>2535.73</v>
      </c>
      <c r="M103" s="44">
        <v>0</v>
      </c>
      <c r="N103" s="44">
        <f t="shared" si="1"/>
        <v>2535.73</v>
      </c>
      <c r="O103" s="44">
        <v>2535.73</v>
      </c>
      <c r="P103" s="40" t="s">
        <v>1173</v>
      </c>
      <c r="Q103" s="40" t="s">
        <v>1174</v>
      </c>
      <c r="R103" s="40" t="s">
        <v>494</v>
      </c>
      <c r="S103" s="40" t="s">
        <v>502</v>
      </c>
      <c r="T103" s="40" t="s">
        <v>280</v>
      </c>
      <c r="U103" s="40" t="s">
        <v>559</v>
      </c>
      <c r="V103" s="40" t="s">
        <v>3833</v>
      </c>
      <c r="W103" s="40" t="s">
        <v>1175</v>
      </c>
    </row>
    <row r="104" spans="1:23" ht="12" x14ac:dyDescent="0.2">
      <c r="A104" s="39" t="s">
        <v>57</v>
      </c>
      <c r="B104" s="40" t="s">
        <v>397</v>
      </c>
      <c r="C104" s="40" t="s">
        <v>1480</v>
      </c>
      <c r="D104" s="41">
        <v>45505</v>
      </c>
      <c r="E104" s="41">
        <v>45535</v>
      </c>
      <c r="F104" s="41">
        <v>46091</v>
      </c>
      <c r="G104" s="42">
        <v>556</v>
      </c>
      <c r="H104" s="40" t="s">
        <v>493</v>
      </c>
      <c r="I104" s="39" t="s">
        <v>320</v>
      </c>
      <c r="J104" s="43">
        <v>25274.36</v>
      </c>
      <c r="K104" s="43">
        <v>0</v>
      </c>
      <c r="L104" s="43">
        <v>25274.36</v>
      </c>
      <c r="M104" s="44">
        <v>0</v>
      </c>
      <c r="N104" s="44">
        <f t="shared" si="1"/>
        <v>25274.36</v>
      </c>
      <c r="O104" s="44">
        <v>25274.36</v>
      </c>
      <c r="P104" s="40" t="s">
        <v>1481</v>
      </c>
      <c r="Q104" s="40" t="s">
        <v>1482</v>
      </c>
      <c r="R104" s="40" t="s">
        <v>494</v>
      </c>
      <c r="S104" s="40" t="s">
        <v>495</v>
      </c>
      <c r="T104" s="40" t="s">
        <v>280</v>
      </c>
      <c r="U104" s="40" t="s">
        <v>1483</v>
      </c>
      <c r="V104" s="40" t="s">
        <v>3834</v>
      </c>
      <c r="W104" s="40" t="s">
        <v>1484</v>
      </c>
    </row>
    <row r="105" spans="1:23" ht="12" x14ac:dyDescent="0.2">
      <c r="A105" s="39" t="s">
        <v>357</v>
      </c>
      <c r="B105" s="40" t="s">
        <v>356</v>
      </c>
      <c r="C105" s="40" t="s">
        <v>1490</v>
      </c>
      <c r="D105" s="41">
        <v>45506</v>
      </c>
      <c r="E105" s="41">
        <v>45536</v>
      </c>
      <c r="F105" s="41">
        <v>46091</v>
      </c>
      <c r="G105" s="42">
        <v>555</v>
      </c>
      <c r="H105" s="40" t="s">
        <v>493</v>
      </c>
      <c r="I105" s="39" t="s">
        <v>341</v>
      </c>
      <c r="J105" s="43">
        <v>111671.14</v>
      </c>
      <c r="K105" s="43">
        <v>0</v>
      </c>
      <c r="L105" s="43">
        <v>111671.14</v>
      </c>
      <c r="M105" s="44">
        <v>0</v>
      </c>
      <c r="N105" s="44">
        <f t="shared" si="1"/>
        <v>96029.36</v>
      </c>
      <c r="O105" s="44">
        <v>96029.36</v>
      </c>
      <c r="P105" s="40" t="s">
        <v>922</v>
      </c>
      <c r="Q105" s="40" t="s">
        <v>923</v>
      </c>
      <c r="R105" s="40" t="s">
        <v>494</v>
      </c>
      <c r="S105" s="40" t="s">
        <v>495</v>
      </c>
      <c r="T105" s="40" t="s">
        <v>330</v>
      </c>
      <c r="U105" s="40" t="s">
        <v>677</v>
      </c>
      <c r="V105" s="40" t="s">
        <v>3791</v>
      </c>
      <c r="W105" s="40" t="s">
        <v>924</v>
      </c>
    </row>
    <row r="106" spans="1:23" ht="12" x14ac:dyDescent="0.2">
      <c r="A106" s="39" t="s">
        <v>53</v>
      </c>
      <c r="B106" s="40" t="s">
        <v>331</v>
      </c>
      <c r="C106" s="40" t="s">
        <v>2127</v>
      </c>
      <c r="D106" s="41">
        <v>45512</v>
      </c>
      <c r="E106" s="41">
        <v>45542</v>
      </c>
      <c r="F106" s="41">
        <v>46091</v>
      </c>
      <c r="G106" s="42">
        <v>549</v>
      </c>
      <c r="H106" s="40" t="s">
        <v>493</v>
      </c>
      <c r="I106" s="39" t="s">
        <v>320</v>
      </c>
      <c r="J106" s="43">
        <v>37288.04</v>
      </c>
      <c r="K106" s="43">
        <v>0</v>
      </c>
      <c r="L106" s="43">
        <v>1733.52</v>
      </c>
      <c r="M106" s="44">
        <v>0</v>
      </c>
      <c r="N106" s="44">
        <f t="shared" si="1"/>
        <v>1733.52</v>
      </c>
      <c r="O106" s="44">
        <v>1733.52</v>
      </c>
      <c r="P106" s="40" t="s">
        <v>1502</v>
      </c>
      <c r="Q106" s="40" t="s">
        <v>1503</v>
      </c>
      <c r="R106" s="40" t="s">
        <v>494</v>
      </c>
      <c r="S106" s="40" t="s">
        <v>495</v>
      </c>
      <c r="T106" s="40" t="s">
        <v>165</v>
      </c>
      <c r="U106" s="40" t="s">
        <v>1424</v>
      </c>
      <c r="V106" s="40" t="s">
        <v>3835</v>
      </c>
      <c r="W106" s="40" t="s">
        <v>1504</v>
      </c>
    </row>
    <row r="107" spans="1:23" ht="12" x14ac:dyDescent="0.2">
      <c r="A107" s="39" t="s">
        <v>357</v>
      </c>
      <c r="B107" s="40" t="s">
        <v>356</v>
      </c>
      <c r="C107" s="40" t="s">
        <v>1648</v>
      </c>
      <c r="D107" s="41">
        <v>45519</v>
      </c>
      <c r="E107" s="41">
        <v>45549</v>
      </c>
      <c r="F107" s="41">
        <v>46091</v>
      </c>
      <c r="G107" s="42">
        <v>542</v>
      </c>
      <c r="H107" s="40" t="s">
        <v>493</v>
      </c>
      <c r="I107" s="39" t="s">
        <v>341</v>
      </c>
      <c r="J107" s="43">
        <v>47484.800000000003</v>
      </c>
      <c r="K107" s="43">
        <v>0</v>
      </c>
      <c r="L107" s="43">
        <v>29365.27</v>
      </c>
      <c r="M107" s="44">
        <v>0</v>
      </c>
      <c r="N107" s="44">
        <f t="shared" si="1"/>
        <v>25410.06</v>
      </c>
      <c r="O107" s="44">
        <v>25410.06</v>
      </c>
      <c r="P107" s="40" t="s">
        <v>1440</v>
      </c>
      <c r="Q107" s="40" t="s">
        <v>1441</v>
      </c>
      <c r="R107" s="40" t="s">
        <v>494</v>
      </c>
      <c r="S107" s="40" t="s">
        <v>495</v>
      </c>
      <c r="T107" s="40" t="s">
        <v>301</v>
      </c>
      <c r="U107" s="40" t="s">
        <v>1442</v>
      </c>
      <c r="V107" s="40" t="s">
        <v>3836</v>
      </c>
      <c r="W107" s="40" t="s">
        <v>1443</v>
      </c>
    </row>
    <row r="108" spans="1:23" ht="12" x14ac:dyDescent="0.2">
      <c r="A108" s="39" t="s">
        <v>1276</v>
      </c>
      <c r="B108" s="40" t="s">
        <v>1277</v>
      </c>
      <c r="C108" s="40" t="s">
        <v>1649</v>
      </c>
      <c r="D108" s="41">
        <v>45524</v>
      </c>
      <c r="E108" s="41">
        <v>45554</v>
      </c>
      <c r="F108" s="41">
        <v>46091</v>
      </c>
      <c r="G108" s="42">
        <v>537</v>
      </c>
      <c r="H108" s="40" t="s">
        <v>493</v>
      </c>
      <c r="I108" s="39" t="s">
        <v>320</v>
      </c>
      <c r="J108" s="43">
        <v>6000</v>
      </c>
      <c r="K108" s="43">
        <v>1000</v>
      </c>
      <c r="L108" s="43">
        <v>1000</v>
      </c>
      <c r="M108" s="44">
        <v>166.67</v>
      </c>
      <c r="N108" s="44">
        <f t="shared" si="1"/>
        <v>0</v>
      </c>
      <c r="O108" s="44">
        <v>1000</v>
      </c>
      <c r="P108" s="40" t="s">
        <v>1278</v>
      </c>
      <c r="Q108" s="40" t="s">
        <v>1279</v>
      </c>
      <c r="R108" s="40" t="s">
        <v>494</v>
      </c>
      <c r="S108" s="40" t="s">
        <v>495</v>
      </c>
      <c r="T108" s="40" t="s">
        <v>218</v>
      </c>
      <c r="U108" s="40" t="s">
        <v>1280</v>
      </c>
      <c r="V108" s="40" t="s">
        <v>3837</v>
      </c>
      <c r="W108" s="40" t="s">
        <v>1650</v>
      </c>
    </row>
    <row r="109" spans="1:23" ht="12" x14ac:dyDescent="0.2">
      <c r="A109" s="39" t="s">
        <v>1276</v>
      </c>
      <c r="B109" s="40" t="s">
        <v>1277</v>
      </c>
      <c r="C109" s="40" t="s">
        <v>1654</v>
      </c>
      <c r="D109" s="41">
        <v>45532</v>
      </c>
      <c r="E109" s="41">
        <v>45562</v>
      </c>
      <c r="F109" s="41">
        <v>46091</v>
      </c>
      <c r="G109" s="42">
        <v>529</v>
      </c>
      <c r="H109" s="40" t="s">
        <v>493</v>
      </c>
      <c r="I109" s="39" t="s">
        <v>320</v>
      </c>
      <c r="J109" s="43">
        <v>6000</v>
      </c>
      <c r="K109" s="43">
        <v>1000</v>
      </c>
      <c r="L109" s="43">
        <v>6000</v>
      </c>
      <c r="M109" s="44">
        <v>1000</v>
      </c>
      <c r="N109" s="44">
        <f t="shared" si="1"/>
        <v>5000</v>
      </c>
      <c r="O109" s="44">
        <v>6000</v>
      </c>
      <c r="P109" s="40" t="s">
        <v>1278</v>
      </c>
      <c r="Q109" s="40" t="s">
        <v>1279</v>
      </c>
      <c r="R109" s="40" t="s">
        <v>494</v>
      </c>
      <c r="S109" s="40" t="s">
        <v>495</v>
      </c>
      <c r="T109" s="40" t="s">
        <v>218</v>
      </c>
      <c r="U109" s="40" t="s">
        <v>1280</v>
      </c>
      <c r="V109" s="40" t="s">
        <v>3837</v>
      </c>
      <c r="W109" s="40" t="s">
        <v>1650</v>
      </c>
    </row>
    <row r="110" spans="1:23" ht="12" x14ac:dyDescent="0.2">
      <c r="A110" s="39" t="s">
        <v>357</v>
      </c>
      <c r="B110" s="40" t="s">
        <v>356</v>
      </c>
      <c r="C110" s="40" t="s">
        <v>3838</v>
      </c>
      <c r="D110" s="41">
        <v>45535</v>
      </c>
      <c r="E110" s="41">
        <v>45565</v>
      </c>
      <c r="F110" s="41">
        <v>46091</v>
      </c>
      <c r="G110" s="42">
        <v>526</v>
      </c>
      <c r="H110" s="40" t="s">
        <v>493</v>
      </c>
      <c r="I110" s="39" t="s">
        <v>341</v>
      </c>
      <c r="J110" s="43">
        <v>28031.91</v>
      </c>
      <c r="K110" s="43">
        <v>0</v>
      </c>
      <c r="L110" s="43">
        <v>28031.91</v>
      </c>
      <c r="M110" s="44">
        <v>0</v>
      </c>
      <c r="N110" s="44">
        <f t="shared" si="1"/>
        <v>24969.14</v>
      </c>
      <c r="O110" s="44">
        <v>24969.14</v>
      </c>
      <c r="P110" s="40" t="s">
        <v>3839</v>
      </c>
      <c r="Q110" s="40" t="s">
        <v>3840</v>
      </c>
      <c r="R110" s="40" t="s">
        <v>494</v>
      </c>
      <c r="S110" s="40" t="s">
        <v>502</v>
      </c>
      <c r="T110" s="40" t="s">
        <v>538</v>
      </c>
      <c r="U110" s="40" t="s">
        <v>3566</v>
      </c>
      <c r="V110" s="40"/>
      <c r="W110" s="40" t="s">
        <v>3841</v>
      </c>
    </row>
    <row r="111" spans="1:23" ht="12" x14ac:dyDescent="0.2">
      <c r="A111" s="39" t="s">
        <v>742</v>
      </c>
      <c r="B111" s="40" t="s">
        <v>743</v>
      </c>
      <c r="C111" s="40" t="s">
        <v>2128</v>
      </c>
      <c r="D111" s="41">
        <v>45535</v>
      </c>
      <c r="E111" s="41">
        <v>45565</v>
      </c>
      <c r="F111" s="41">
        <v>46091</v>
      </c>
      <c r="G111" s="42">
        <v>526</v>
      </c>
      <c r="H111" s="40" t="s">
        <v>493</v>
      </c>
      <c r="I111" s="39" t="s">
        <v>323</v>
      </c>
      <c r="J111" s="43">
        <v>131143.62</v>
      </c>
      <c r="K111" s="43">
        <v>0</v>
      </c>
      <c r="L111" s="43">
        <v>131143.62</v>
      </c>
      <c r="M111" s="44">
        <v>0</v>
      </c>
      <c r="N111" s="44">
        <f t="shared" si="1"/>
        <v>103037.15</v>
      </c>
      <c r="O111" s="44">
        <v>103037.15</v>
      </c>
      <c r="P111" s="40" t="s">
        <v>864</v>
      </c>
      <c r="Q111" s="40" t="s">
        <v>865</v>
      </c>
      <c r="R111" s="40" t="s">
        <v>494</v>
      </c>
      <c r="S111" s="40" t="s">
        <v>502</v>
      </c>
      <c r="T111" s="40" t="s">
        <v>497</v>
      </c>
      <c r="U111" s="40" t="s">
        <v>581</v>
      </c>
      <c r="V111" s="40" t="s">
        <v>3842</v>
      </c>
      <c r="W111" s="40" t="s">
        <v>322</v>
      </c>
    </row>
    <row r="112" spans="1:23" ht="12" x14ac:dyDescent="0.2">
      <c r="A112" s="39" t="s">
        <v>449</v>
      </c>
      <c r="B112" s="40" t="s">
        <v>448</v>
      </c>
      <c r="C112" s="40" t="s">
        <v>1661</v>
      </c>
      <c r="D112" s="41">
        <v>45545</v>
      </c>
      <c r="E112" s="41">
        <v>45575</v>
      </c>
      <c r="F112" s="41">
        <v>46091</v>
      </c>
      <c r="G112" s="42">
        <v>516</v>
      </c>
      <c r="H112" s="40" t="s">
        <v>493</v>
      </c>
      <c r="I112" s="39" t="s">
        <v>320</v>
      </c>
      <c r="J112" s="43">
        <v>16168.85</v>
      </c>
      <c r="K112" s="43">
        <v>0</v>
      </c>
      <c r="L112" s="43">
        <v>16168.85</v>
      </c>
      <c r="M112" s="44">
        <v>0</v>
      </c>
      <c r="N112" s="44">
        <f t="shared" si="1"/>
        <v>16168.85</v>
      </c>
      <c r="O112" s="44">
        <v>16168.85</v>
      </c>
      <c r="P112" s="40" t="s">
        <v>450</v>
      </c>
      <c r="Q112" s="40" t="s">
        <v>509</v>
      </c>
      <c r="R112" s="40" t="s">
        <v>494</v>
      </c>
      <c r="S112" s="40" t="s">
        <v>495</v>
      </c>
      <c r="T112" s="40" t="s">
        <v>169</v>
      </c>
      <c r="U112" s="40" t="s">
        <v>604</v>
      </c>
      <c r="V112" s="40" t="s">
        <v>3843</v>
      </c>
      <c r="W112" s="40" t="s">
        <v>322</v>
      </c>
    </row>
    <row r="113" spans="1:23" ht="12" x14ac:dyDescent="0.2">
      <c r="A113" s="39" t="s">
        <v>467</v>
      </c>
      <c r="B113" s="40" t="s">
        <v>466</v>
      </c>
      <c r="C113" s="40" t="s">
        <v>1662</v>
      </c>
      <c r="D113" s="41">
        <v>45546</v>
      </c>
      <c r="E113" s="41">
        <v>45576</v>
      </c>
      <c r="F113" s="41">
        <v>46091</v>
      </c>
      <c r="G113" s="42">
        <v>515</v>
      </c>
      <c r="H113" s="40" t="s">
        <v>493</v>
      </c>
      <c r="I113" s="39" t="s">
        <v>320</v>
      </c>
      <c r="J113" s="43">
        <v>133487.63</v>
      </c>
      <c r="K113" s="43">
        <v>0</v>
      </c>
      <c r="L113" s="43">
        <v>133487.63</v>
      </c>
      <c r="M113" s="44">
        <v>0</v>
      </c>
      <c r="N113" s="44">
        <f t="shared" si="1"/>
        <v>133487.63</v>
      </c>
      <c r="O113" s="44">
        <v>133487.63</v>
      </c>
      <c r="P113" s="40" t="s">
        <v>1663</v>
      </c>
      <c r="Q113" s="40" t="s">
        <v>1664</v>
      </c>
      <c r="R113" s="40" t="s">
        <v>494</v>
      </c>
      <c r="S113" s="40" t="s">
        <v>495</v>
      </c>
      <c r="T113" s="40" t="s">
        <v>534</v>
      </c>
      <c r="U113" s="40" t="s">
        <v>1665</v>
      </c>
      <c r="V113" s="40" t="s">
        <v>3844</v>
      </c>
      <c r="W113" s="40" t="s">
        <v>1666</v>
      </c>
    </row>
    <row r="114" spans="1:23" ht="12" x14ac:dyDescent="0.2">
      <c r="A114" s="39" t="s">
        <v>26</v>
      </c>
      <c r="B114" s="40" t="s">
        <v>457</v>
      </c>
      <c r="C114" s="40" t="s">
        <v>1671</v>
      </c>
      <c r="D114" s="41">
        <v>45553</v>
      </c>
      <c r="E114" s="41">
        <v>45583</v>
      </c>
      <c r="F114" s="41">
        <v>46091</v>
      </c>
      <c r="G114" s="42">
        <v>508</v>
      </c>
      <c r="H114" s="40" t="s">
        <v>493</v>
      </c>
      <c r="I114" s="39" t="s">
        <v>320</v>
      </c>
      <c r="J114" s="43">
        <v>20708.55</v>
      </c>
      <c r="K114" s="43">
        <v>0</v>
      </c>
      <c r="L114" s="43">
        <v>20708.55</v>
      </c>
      <c r="M114" s="44">
        <v>0</v>
      </c>
      <c r="N114" s="44">
        <f t="shared" si="1"/>
        <v>20708.55</v>
      </c>
      <c r="O114" s="44">
        <v>20708.55</v>
      </c>
      <c r="P114" s="40" t="s">
        <v>1161</v>
      </c>
      <c r="Q114" s="40" t="s">
        <v>1162</v>
      </c>
      <c r="R114" s="40" t="s">
        <v>494</v>
      </c>
      <c r="S114" s="40" t="s">
        <v>502</v>
      </c>
      <c r="T114" s="40" t="s">
        <v>362</v>
      </c>
      <c r="U114" s="40" t="s">
        <v>832</v>
      </c>
      <c r="V114" s="40" t="s">
        <v>3845</v>
      </c>
      <c r="W114" s="40" t="s">
        <v>1163</v>
      </c>
    </row>
    <row r="115" spans="1:23" ht="12" x14ac:dyDescent="0.2">
      <c r="A115" s="39" t="s">
        <v>1513</v>
      </c>
      <c r="B115" s="40" t="s">
        <v>1674</v>
      </c>
      <c r="C115" s="40" t="s">
        <v>1675</v>
      </c>
      <c r="D115" s="41">
        <v>45559</v>
      </c>
      <c r="E115" s="41">
        <v>45589</v>
      </c>
      <c r="F115" s="41">
        <v>46091</v>
      </c>
      <c r="G115" s="42">
        <v>502</v>
      </c>
      <c r="H115" s="40" t="s">
        <v>493</v>
      </c>
      <c r="I115" s="39" t="s">
        <v>323</v>
      </c>
      <c r="J115" s="43">
        <v>16000</v>
      </c>
      <c r="K115" s="43">
        <v>0</v>
      </c>
      <c r="L115" s="43">
        <v>16000</v>
      </c>
      <c r="M115" s="44">
        <v>0</v>
      </c>
      <c r="N115" s="44">
        <f t="shared" si="1"/>
        <v>11034.48</v>
      </c>
      <c r="O115" s="44">
        <v>11034.48</v>
      </c>
      <c r="P115" s="40" t="s">
        <v>1512</v>
      </c>
      <c r="Q115" s="40" t="s">
        <v>1676</v>
      </c>
      <c r="R115" s="40" t="s">
        <v>494</v>
      </c>
      <c r="S115" s="40" t="s">
        <v>495</v>
      </c>
      <c r="T115" s="40" t="s">
        <v>282</v>
      </c>
      <c r="U115" s="40" t="s">
        <v>1677</v>
      </c>
      <c r="V115" s="40" t="s">
        <v>3846</v>
      </c>
      <c r="W115" s="40"/>
    </row>
    <row r="116" spans="1:23" ht="12" x14ac:dyDescent="0.2">
      <c r="A116" s="39" t="s">
        <v>357</v>
      </c>
      <c r="B116" s="40" t="s">
        <v>356</v>
      </c>
      <c r="C116" s="40" t="s">
        <v>1684</v>
      </c>
      <c r="D116" s="41">
        <v>45565</v>
      </c>
      <c r="E116" s="41">
        <v>45595</v>
      </c>
      <c r="F116" s="41">
        <v>46091</v>
      </c>
      <c r="G116" s="42">
        <v>496</v>
      </c>
      <c r="H116" s="40" t="s">
        <v>493</v>
      </c>
      <c r="I116" s="39" t="s">
        <v>341</v>
      </c>
      <c r="J116" s="43">
        <v>144113.63</v>
      </c>
      <c r="K116" s="43">
        <v>0</v>
      </c>
      <c r="L116" s="43">
        <v>144113.63</v>
      </c>
      <c r="M116" s="44">
        <v>0</v>
      </c>
      <c r="N116" s="44">
        <f t="shared" si="1"/>
        <v>124996.96</v>
      </c>
      <c r="O116" s="44">
        <v>124996.96</v>
      </c>
      <c r="P116" s="40" t="s">
        <v>1430</v>
      </c>
      <c r="Q116" s="40" t="s">
        <v>1431</v>
      </c>
      <c r="R116" s="40" t="s">
        <v>494</v>
      </c>
      <c r="S116" s="40" t="s">
        <v>502</v>
      </c>
      <c r="T116" s="40" t="s">
        <v>169</v>
      </c>
      <c r="U116" s="40" t="s">
        <v>1325</v>
      </c>
      <c r="V116" s="40" t="s">
        <v>3791</v>
      </c>
      <c r="W116" s="40" t="s">
        <v>1432</v>
      </c>
    </row>
    <row r="117" spans="1:23" ht="12" x14ac:dyDescent="0.2">
      <c r="A117" s="39" t="s">
        <v>357</v>
      </c>
      <c r="B117" s="40" t="s">
        <v>356</v>
      </c>
      <c r="C117" s="40" t="s">
        <v>1689</v>
      </c>
      <c r="D117" s="41">
        <v>45565</v>
      </c>
      <c r="E117" s="41">
        <v>45595</v>
      </c>
      <c r="F117" s="41">
        <v>46091</v>
      </c>
      <c r="G117" s="42">
        <v>496</v>
      </c>
      <c r="H117" s="40" t="s">
        <v>493</v>
      </c>
      <c r="I117" s="39" t="s">
        <v>341</v>
      </c>
      <c r="J117" s="43">
        <v>871000.68</v>
      </c>
      <c r="K117" s="43">
        <v>0</v>
      </c>
      <c r="L117" s="43">
        <v>405049.91</v>
      </c>
      <c r="M117" s="44">
        <v>0</v>
      </c>
      <c r="N117" s="44">
        <f t="shared" si="1"/>
        <v>347638.14</v>
      </c>
      <c r="O117" s="44">
        <v>347638.14</v>
      </c>
      <c r="P117" s="40" t="s">
        <v>1690</v>
      </c>
      <c r="Q117" s="40" t="s">
        <v>1691</v>
      </c>
      <c r="R117" s="40" t="s">
        <v>494</v>
      </c>
      <c r="S117" s="40" t="s">
        <v>502</v>
      </c>
      <c r="T117" s="40" t="s">
        <v>220</v>
      </c>
      <c r="U117" s="40" t="s">
        <v>1692</v>
      </c>
      <c r="V117" s="40" t="s">
        <v>3791</v>
      </c>
      <c r="W117" s="40" t="s">
        <v>1693</v>
      </c>
    </row>
    <row r="118" spans="1:23" ht="12" x14ac:dyDescent="0.2">
      <c r="A118" s="39" t="s">
        <v>357</v>
      </c>
      <c r="B118" s="40" t="s">
        <v>356</v>
      </c>
      <c r="C118" s="40" t="s">
        <v>1694</v>
      </c>
      <c r="D118" s="41">
        <v>45566</v>
      </c>
      <c r="E118" s="41">
        <v>45596</v>
      </c>
      <c r="F118" s="41">
        <v>46091</v>
      </c>
      <c r="G118" s="42">
        <v>495</v>
      </c>
      <c r="H118" s="40" t="s">
        <v>493</v>
      </c>
      <c r="I118" s="39" t="s">
        <v>341</v>
      </c>
      <c r="J118" s="43">
        <v>206622.27</v>
      </c>
      <c r="K118" s="43">
        <v>0</v>
      </c>
      <c r="L118" s="43">
        <v>206622.27</v>
      </c>
      <c r="M118" s="44">
        <v>0</v>
      </c>
      <c r="N118" s="44">
        <f t="shared" si="1"/>
        <v>178298.49</v>
      </c>
      <c r="O118" s="44">
        <v>178298.49</v>
      </c>
      <c r="P118" s="40" t="s">
        <v>1430</v>
      </c>
      <c r="Q118" s="40" t="s">
        <v>1431</v>
      </c>
      <c r="R118" s="40" t="s">
        <v>494</v>
      </c>
      <c r="S118" s="40" t="s">
        <v>502</v>
      </c>
      <c r="T118" s="40" t="s">
        <v>169</v>
      </c>
      <c r="U118" s="40" t="s">
        <v>1325</v>
      </c>
      <c r="V118" s="40" t="s">
        <v>3791</v>
      </c>
      <c r="W118" s="40" t="s">
        <v>1432</v>
      </c>
    </row>
    <row r="119" spans="1:23" ht="12" x14ac:dyDescent="0.2">
      <c r="A119" s="39" t="s">
        <v>357</v>
      </c>
      <c r="B119" s="40" t="s">
        <v>356</v>
      </c>
      <c r="C119" s="40" t="s">
        <v>1695</v>
      </c>
      <c r="D119" s="41">
        <v>45568</v>
      </c>
      <c r="E119" s="41">
        <v>45598</v>
      </c>
      <c r="F119" s="41">
        <v>46091</v>
      </c>
      <c r="G119" s="42">
        <v>493</v>
      </c>
      <c r="H119" s="40" t="s">
        <v>493</v>
      </c>
      <c r="I119" s="39" t="s">
        <v>341</v>
      </c>
      <c r="J119" s="43">
        <v>94412.08</v>
      </c>
      <c r="K119" s="43">
        <v>0</v>
      </c>
      <c r="L119" s="43">
        <v>38435.31</v>
      </c>
      <c r="M119" s="44">
        <v>0</v>
      </c>
      <c r="N119" s="44">
        <f t="shared" si="1"/>
        <v>32560.86</v>
      </c>
      <c r="O119" s="44">
        <v>32560.86</v>
      </c>
      <c r="P119" s="40" t="s">
        <v>1696</v>
      </c>
      <c r="Q119" s="40" t="s">
        <v>1697</v>
      </c>
      <c r="R119" s="40" t="s">
        <v>494</v>
      </c>
      <c r="S119" s="40" t="s">
        <v>495</v>
      </c>
      <c r="T119" s="40" t="s">
        <v>284</v>
      </c>
      <c r="U119" s="40" t="s">
        <v>803</v>
      </c>
      <c r="V119" s="40" t="s">
        <v>3847</v>
      </c>
      <c r="W119" s="40" t="s">
        <v>1698</v>
      </c>
    </row>
    <row r="120" spans="1:23" ht="12" x14ac:dyDescent="0.2">
      <c r="A120" s="39" t="s">
        <v>357</v>
      </c>
      <c r="B120" s="40" t="s">
        <v>356</v>
      </c>
      <c r="C120" s="40" t="s">
        <v>1699</v>
      </c>
      <c r="D120" s="41">
        <v>45569</v>
      </c>
      <c r="E120" s="41">
        <v>45599</v>
      </c>
      <c r="F120" s="41">
        <v>46091</v>
      </c>
      <c r="G120" s="42">
        <v>492</v>
      </c>
      <c r="H120" s="40" t="s">
        <v>493</v>
      </c>
      <c r="I120" s="39" t="s">
        <v>341</v>
      </c>
      <c r="J120" s="43">
        <v>81584.66</v>
      </c>
      <c r="K120" s="43">
        <v>0</v>
      </c>
      <c r="L120" s="43">
        <v>69332.84</v>
      </c>
      <c r="M120" s="44">
        <v>0</v>
      </c>
      <c r="N120" s="44">
        <f t="shared" si="1"/>
        <v>59505.599999999999</v>
      </c>
      <c r="O120" s="44">
        <v>59505.599999999999</v>
      </c>
      <c r="P120" s="40" t="s">
        <v>844</v>
      </c>
      <c r="Q120" s="40" t="s">
        <v>845</v>
      </c>
      <c r="R120" s="40" t="s">
        <v>494</v>
      </c>
      <c r="S120" s="40" t="s">
        <v>495</v>
      </c>
      <c r="T120" s="40" t="s">
        <v>191</v>
      </c>
      <c r="U120" s="40" t="s">
        <v>828</v>
      </c>
      <c r="V120" s="40" t="s">
        <v>3791</v>
      </c>
      <c r="W120" s="40" t="s">
        <v>846</v>
      </c>
    </row>
    <row r="121" spans="1:23" ht="12" x14ac:dyDescent="0.2">
      <c r="A121" s="39" t="s">
        <v>1241</v>
      </c>
      <c r="B121" s="40" t="s">
        <v>1172</v>
      </c>
      <c r="C121" s="40" t="s">
        <v>1706</v>
      </c>
      <c r="D121" s="41">
        <v>45574</v>
      </c>
      <c r="E121" s="41">
        <v>45604</v>
      </c>
      <c r="F121" s="41">
        <v>46091</v>
      </c>
      <c r="G121" s="42">
        <v>487</v>
      </c>
      <c r="H121" s="40" t="s">
        <v>493</v>
      </c>
      <c r="I121" s="39" t="s">
        <v>320</v>
      </c>
      <c r="J121" s="43">
        <v>1563.14</v>
      </c>
      <c r="K121" s="43">
        <v>0</v>
      </c>
      <c r="L121" s="43">
        <v>1563.14</v>
      </c>
      <c r="M121" s="44">
        <v>0</v>
      </c>
      <c r="N121" s="44">
        <f t="shared" si="1"/>
        <v>1563.14</v>
      </c>
      <c r="O121" s="44">
        <v>1563.14</v>
      </c>
      <c r="P121" s="40" t="s">
        <v>1707</v>
      </c>
      <c r="Q121" s="40" t="s">
        <v>1708</v>
      </c>
      <c r="R121" s="40" t="s">
        <v>494</v>
      </c>
      <c r="S121" s="40" t="s">
        <v>495</v>
      </c>
      <c r="T121" s="40" t="s">
        <v>343</v>
      </c>
      <c r="U121" s="40" t="s">
        <v>1405</v>
      </c>
      <c r="V121" s="40" t="s">
        <v>3848</v>
      </c>
      <c r="W121" s="40" t="s">
        <v>1709</v>
      </c>
    </row>
    <row r="122" spans="1:23" ht="12" x14ac:dyDescent="0.2">
      <c r="A122" s="39" t="s">
        <v>1406</v>
      </c>
      <c r="B122" s="40" t="s">
        <v>1407</v>
      </c>
      <c r="C122" s="40" t="s">
        <v>1704</v>
      </c>
      <c r="D122" s="41">
        <v>45574</v>
      </c>
      <c r="E122" s="41">
        <v>45604</v>
      </c>
      <c r="F122" s="41">
        <v>46091</v>
      </c>
      <c r="G122" s="42">
        <v>487</v>
      </c>
      <c r="H122" s="40" t="s">
        <v>493</v>
      </c>
      <c r="I122" s="39" t="s">
        <v>320</v>
      </c>
      <c r="J122" s="43">
        <v>470.47</v>
      </c>
      <c r="K122" s="43">
        <v>0</v>
      </c>
      <c r="L122" s="43">
        <v>470.47</v>
      </c>
      <c r="M122" s="44">
        <v>0</v>
      </c>
      <c r="N122" s="44">
        <f t="shared" si="1"/>
        <v>470.47</v>
      </c>
      <c r="O122" s="44">
        <v>470.47</v>
      </c>
      <c r="P122" s="40" t="s">
        <v>1408</v>
      </c>
      <c r="Q122" s="40" t="s">
        <v>1409</v>
      </c>
      <c r="R122" s="40" t="s">
        <v>494</v>
      </c>
      <c r="S122" s="40" t="s">
        <v>502</v>
      </c>
      <c r="T122" s="40" t="s">
        <v>280</v>
      </c>
      <c r="U122" s="40" t="s">
        <v>1410</v>
      </c>
      <c r="V122" s="40" t="s">
        <v>3849</v>
      </c>
      <c r="W122" s="40" t="s">
        <v>1705</v>
      </c>
    </row>
    <row r="123" spans="1:23" ht="12" x14ac:dyDescent="0.2">
      <c r="A123" s="39" t="s">
        <v>1475</v>
      </c>
      <c r="B123" s="40" t="s">
        <v>1476</v>
      </c>
      <c r="C123" s="40" t="s">
        <v>1714</v>
      </c>
      <c r="D123" s="41">
        <v>45575</v>
      </c>
      <c r="E123" s="41">
        <v>45605</v>
      </c>
      <c r="F123" s="41">
        <v>46091</v>
      </c>
      <c r="G123" s="42">
        <v>486</v>
      </c>
      <c r="H123" s="40" t="s">
        <v>493</v>
      </c>
      <c r="I123" s="39" t="s">
        <v>320</v>
      </c>
      <c r="J123" s="43">
        <v>33322.230000000003</v>
      </c>
      <c r="K123" s="43">
        <v>0</v>
      </c>
      <c r="L123" s="43">
        <v>33322.230000000003</v>
      </c>
      <c r="M123" s="44">
        <v>0</v>
      </c>
      <c r="N123" s="44">
        <f t="shared" si="1"/>
        <v>33322.230000000003</v>
      </c>
      <c r="O123" s="44">
        <v>33322.230000000003</v>
      </c>
      <c r="P123" s="40" t="s">
        <v>1715</v>
      </c>
      <c r="Q123" s="40" t="s">
        <v>1716</v>
      </c>
      <c r="R123" s="40" t="s">
        <v>494</v>
      </c>
      <c r="S123" s="40" t="s">
        <v>495</v>
      </c>
      <c r="T123" s="40" t="s">
        <v>190</v>
      </c>
      <c r="U123" s="40" t="s">
        <v>1273</v>
      </c>
      <c r="V123" s="40" t="s">
        <v>3850</v>
      </c>
      <c r="W123" s="40" t="s">
        <v>1717</v>
      </c>
    </row>
    <row r="124" spans="1:23" ht="12" x14ac:dyDescent="0.2">
      <c r="A124" s="39" t="s">
        <v>69</v>
      </c>
      <c r="B124" s="40" t="s">
        <v>453</v>
      </c>
      <c r="C124" s="40" t="s">
        <v>1712</v>
      </c>
      <c r="D124" s="41">
        <v>45575</v>
      </c>
      <c r="E124" s="41">
        <v>45605</v>
      </c>
      <c r="F124" s="41">
        <v>46091</v>
      </c>
      <c r="G124" s="42">
        <v>486</v>
      </c>
      <c r="H124" s="40" t="s">
        <v>493</v>
      </c>
      <c r="I124" s="39" t="s">
        <v>320</v>
      </c>
      <c r="J124" s="43">
        <v>2351.3200000000002</v>
      </c>
      <c r="K124" s="43">
        <v>0</v>
      </c>
      <c r="L124" s="43">
        <v>2351.3200000000002</v>
      </c>
      <c r="M124" s="44">
        <v>0</v>
      </c>
      <c r="N124" s="44">
        <f t="shared" si="1"/>
        <v>2351.3200000000002</v>
      </c>
      <c r="O124" s="44">
        <v>2351.3200000000002</v>
      </c>
      <c r="P124" s="40" t="s">
        <v>62</v>
      </c>
      <c r="Q124" s="40" t="s">
        <v>644</v>
      </c>
      <c r="R124" s="40" t="s">
        <v>494</v>
      </c>
      <c r="S124" s="40" t="s">
        <v>495</v>
      </c>
      <c r="T124" s="40" t="s">
        <v>512</v>
      </c>
      <c r="U124" s="40" t="s">
        <v>645</v>
      </c>
      <c r="V124" s="40" t="s">
        <v>3851</v>
      </c>
      <c r="W124" s="40" t="s">
        <v>1249</v>
      </c>
    </row>
    <row r="125" spans="1:23" ht="12" x14ac:dyDescent="0.2">
      <c r="A125" s="39" t="s">
        <v>10</v>
      </c>
      <c r="B125" s="40" t="s">
        <v>393</v>
      </c>
      <c r="C125" s="40" t="s">
        <v>1724</v>
      </c>
      <c r="D125" s="41">
        <v>45576</v>
      </c>
      <c r="E125" s="41">
        <v>45606</v>
      </c>
      <c r="F125" s="41">
        <v>46091</v>
      </c>
      <c r="G125" s="42">
        <v>485</v>
      </c>
      <c r="H125" s="40" t="s">
        <v>493</v>
      </c>
      <c r="I125" s="39" t="s">
        <v>320</v>
      </c>
      <c r="J125" s="43">
        <v>29356.99</v>
      </c>
      <c r="K125" s="43">
        <v>0</v>
      </c>
      <c r="L125" s="43">
        <v>2281.9899999999998</v>
      </c>
      <c r="M125" s="44">
        <v>0</v>
      </c>
      <c r="N125" s="44">
        <f t="shared" si="1"/>
        <v>2281.9899999999998</v>
      </c>
      <c r="O125" s="44">
        <v>2281.9899999999998</v>
      </c>
      <c r="P125" s="40" t="s">
        <v>1725</v>
      </c>
      <c r="Q125" s="40" t="s">
        <v>1726</v>
      </c>
      <c r="R125" s="40" t="s">
        <v>494</v>
      </c>
      <c r="S125" s="40" t="s">
        <v>495</v>
      </c>
      <c r="T125" s="40" t="s">
        <v>191</v>
      </c>
      <c r="U125" s="40" t="s">
        <v>1727</v>
      </c>
      <c r="V125" s="40" t="s">
        <v>3852</v>
      </c>
      <c r="W125" s="40" t="s">
        <v>1728</v>
      </c>
    </row>
    <row r="126" spans="1:23" ht="12" x14ac:dyDescent="0.2">
      <c r="A126" s="39" t="s">
        <v>800</v>
      </c>
      <c r="B126" s="40" t="s">
        <v>808</v>
      </c>
      <c r="C126" s="40" t="s">
        <v>1737</v>
      </c>
      <c r="D126" s="41">
        <v>45582</v>
      </c>
      <c r="E126" s="41">
        <v>45612</v>
      </c>
      <c r="F126" s="41">
        <v>46091</v>
      </c>
      <c r="G126" s="42">
        <v>479</v>
      </c>
      <c r="H126" s="40" t="s">
        <v>493</v>
      </c>
      <c r="I126" s="39" t="s">
        <v>320</v>
      </c>
      <c r="J126" s="43">
        <v>31214.09</v>
      </c>
      <c r="K126" s="43">
        <v>0</v>
      </c>
      <c r="L126" s="43">
        <v>31214.09</v>
      </c>
      <c r="M126" s="44">
        <v>0</v>
      </c>
      <c r="N126" s="44">
        <f t="shared" si="1"/>
        <v>31214.09</v>
      </c>
      <c r="O126" s="44">
        <v>31214.09</v>
      </c>
      <c r="P126" s="40" t="s">
        <v>799</v>
      </c>
      <c r="Q126" s="40" t="s">
        <v>809</v>
      </c>
      <c r="R126" s="40" t="s">
        <v>494</v>
      </c>
      <c r="S126" s="40" t="s">
        <v>502</v>
      </c>
      <c r="T126" s="40" t="s">
        <v>282</v>
      </c>
      <c r="U126" s="40" t="s">
        <v>664</v>
      </c>
      <c r="V126" s="40" t="s">
        <v>3803</v>
      </c>
      <c r="W126" s="40" t="s">
        <v>810</v>
      </c>
    </row>
    <row r="127" spans="1:23" ht="12" x14ac:dyDescent="0.2">
      <c r="A127" s="39" t="s">
        <v>1551</v>
      </c>
      <c r="B127" s="40" t="s">
        <v>1731</v>
      </c>
      <c r="C127" s="40" t="s">
        <v>1732</v>
      </c>
      <c r="D127" s="41">
        <v>45582</v>
      </c>
      <c r="E127" s="41">
        <v>45612</v>
      </c>
      <c r="F127" s="41">
        <v>46091</v>
      </c>
      <c r="G127" s="42">
        <v>479</v>
      </c>
      <c r="H127" s="40" t="s">
        <v>493</v>
      </c>
      <c r="I127" s="39" t="s">
        <v>341</v>
      </c>
      <c r="J127" s="43">
        <v>28499.51</v>
      </c>
      <c r="K127" s="43">
        <v>0</v>
      </c>
      <c r="L127" s="43">
        <v>28499.51</v>
      </c>
      <c r="M127" s="44">
        <v>0</v>
      </c>
      <c r="N127" s="44">
        <f t="shared" si="1"/>
        <v>22799.61</v>
      </c>
      <c r="O127" s="44">
        <v>22799.61</v>
      </c>
      <c r="P127" s="40" t="s">
        <v>1550</v>
      </c>
      <c r="Q127" s="40" t="s">
        <v>1733</v>
      </c>
      <c r="R127" s="40" t="s">
        <v>494</v>
      </c>
      <c r="S127" s="40" t="s">
        <v>495</v>
      </c>
      <c r="T127" s="40" t="s">
        <v>178</v>
      </c>
      <c r="U127" s="40" t="s">
        <v>625</v>
      </c>
      <c r="V127" s="40" t="s">
        <v>3853</v>
      </c>
      <c r="W127" s="40" t="s">
        <v>1734</v>
      </c>
    </row>
    <row r="128" spans="1:23" ht="12" x14ac:dyDescent="0.2">
      <c r="A128" s="39" t="s">
        <v>1738</v>
      </c>
      <c r="B128" s="40" t="s">
        <v>1739</v>
      </c>
      <c r="C128" s="40" t="s">
        <v>1740</v>
      </c>
      <c r="D128" s="41">
        <v>45583</v>
      </c>
      <c r="E128" s="41">
        <v>45613</v>
      </c>
      <c r="F128" s="41">
        <v>46091</v>
      </c>
      <c r="G128" s="42">
        <v>478</v>
      </c>
      <c r="H128" s="40" t="s">
        <v>493</v>
      </c>
      <c r="I128" s="39" t="s">
        <v>323</v>
      </c>
      <c r="J128" s="43">
        <v>49872.37</v>
      </c>
      <c r="K128" s="43">
        <v>0</v>
      </c>
      <c r="L128" s="43">
        <v>49872.37</v>
      </c>
      <c r="M128" s="44">
        <v>0</v>
      </c>
      <c r="N128" s="44">
        <f t="shared" si="1"/>
        <v>35623.120000000003</v>
      </c>
      <c r="O128" s="44">
        <v>35623.120000000003</v>
      </c>
      <c r="P128" s="40" t="s">
        <v>1741</v>
      </c>
      <c r="Q128" s="40" t="s">
        <v>1742</v>
      </c>
      <c r="R128" s="40" t="s">
        <v>494</v>
      </c>
      <c r="S128" s="40" t="s">
        <v>495</v>
      </c>
      <c r="T128" s="40" t="s">
        <v>273</v>
      </c>
      <c r="U128" s="40" t="s">
        <v>1090</v>
      </c>
      <c r="V128" s="40" t="s">
        <v>3854</v>
      </c>
      <c r="W128" s="40" t="s">
        <v>1743</v>
      </c>
    </row>
    <row r="129" spans="1:23" ht="12" x14ac:dyDescent="0.2">
      <c r="A129" s="39" t="s">
        <v>742</v>
      </c>
      <c r="B129" s="40" t="s">
        <v>743</v>
      </c>
      <c r="C129" s="40" t="s">
        <v>1745</v>
      </c>
      <c r="D129" s="41">
        <v>45587</v>
      </c>
      <c r="E129" s="41">
        <v>45617</v>
      </c>
      <c r="F129" s="41">
        <v>46091</v>
      </c>
      <c r="G129" s="42">
        <v>474</v>
      </c>
      <c r="H129" s="40" t="s">
        <v>493</v>
      </c>
      <c r="I129" s="39" t="s">
        <v>323</v>
      </c>
      <c r="J129" s="43">
        <v>160632.65</v>
      </c>
      <c r="K129" s="43">
        <v>0</v>
      </c>
      <c r="L129" s="43">
        <v>160632.65</v>
      </c>
      <c r="M129" s="44">
        <v>0</v>
      </c>
      <c r="N129" s="44">
        <f t="shared" si="1"/>
        <v>128506.12</v>
      </c>
      <c r="O129" s="44">
        <v>128506.12</v>
      </c>
      <c r="P129" s="40" t="s">
        <v>864</v>
      </c>
      <c r="Q129" s="40" t="s">
        <v>865</v>
      </c>
      <c r="R129" s="40" t="s">
        <v>494</v>
      </c>
      <c r="S129" s="40" t="s">
        <v>502</v>
      </c>
      <c r="T129" s="40" t="s">
        <v>497</v>
      </c>
      <c r="U129" s="40" t="s">
        <v>581</v>
      </c>
      <c r="V129" s="40" t="s">
        <v>3855</v>
      </c>
      <c r="W129" s="40" t="s">
        <v>322</v>
      </c>
    </row>
    <row r="130" spans="1:23" ht="12" x14ac:dyDescent="0.2">
      <c r="A130" s="39" t="s">
        <v>357</v>
      </c>
      <c r="B130" s="40" t="s">
        <v>356</v>
      </c>
      <c r="C130" s="40" t="s">
        <v>1752</v>
      </c>
      <c r="D130" s="41">
        <v>45594</v>
      </c>
      <c r="E130" s="41">
        <v>45624</v>
      </c>
      <c r="F130" s="41">
        <v>46091</v>
      </c>
      <c r="G130" s="42">
        <v>467</v>
      </c>
      <c r="H130" s="40" t="s">
        <v>493</v>
      </c>
      <c r="I130" s="39" t="s">
        <v>341</v>
      </c>
      <c r="J130" s="43">
        <v>38658.39</v>
      </c>
      <c r="K130" s="43">
        <v>0</v>
      </c>
      <c r="L130" s="43">
        <v>38658.39</v>
      </c>
      <c r="M130" s="44">
        <v>0</v>
      </c>
      <c r="N130" s="44">
        <f t="shared" si="1"/>
        <v>33418.629999999997</v>
      </c>
      <c r="O130" s="44">
        <v>33418.629999999997</v>
      </c>
      <c r="P130" s="40" t="s">
        <v>855</v>
      </c>
      <c r="Q130" s="40" t="s">
        <v>856</v>
      </c>
      <c r="R130" s="40" t="s">
        <v>494</v>
      </c>
      <c r="S130" s="40" t="s">
        <v>495</v>
      </c>
      <c r="T130" s="40" t="s">
        <v>512</v>
      </c>
      <c r="U130" s="40" t="s">
        <v>857</v>
      </c>
      <c r="V130" s="40" t="s">
        <v>3791</v>
      </c>
      <c r="W130" s="40" t="s">
        <v>858</v>
      </c>
    </row>
    <row r="131" spans="1:23" ht="12" x14ac:dyDescent="0.2">
      <c r="A131" s="39" t="s">
        <v>413</v>
      </c>
      <c r="B131" s="40" t="s">
        <v>774</v>
      </c>
      <c r="C131" s="40" t="s">
        <v>1753</v>
      </c>
      <c r="D131" s="41">
        <v>45594</v>
      </c>
      <c r="E131" s="41">
        <v>45624</v>
      </c>
      <c r="F131" s="41">
        <v>46091</v>
      </c>
      <c r="G131" s="42">
        <v>467</v>
      </c>
      <c r="H131" s="40" t="s">
        <v>493</v>
      </c>
      <c r="I131" s="39" t="s">
        <v>320</v>
      </c>
      <c r="J131" s="43">
        <v>1539.55</v>
      </c>
      <c r="K131" s="43">
        <v>0</v>
      </c>
      <c r="L131" s="43">
        <v>1539.55</v>
      </c>
      <c r="M131" s="44">
        <v>0</v>
      </c>
      <c r="N131" s="44">
        <f t="shared" ref="N131:N194" si="2">IF(I131="GBP",L131-K131,O131-K131)</f>
        <v>1539.55</v>
      </c>
      <c r="O131" s="44">
        <v>1539.55</v>
      </c>
      <c r="P131" s="40" t="s">
        <v>1754</v>
      </c>
      <c r="Q131" s="40" t="s">
        <v>1755</v>
      </c>
      <c r="R131" s="40" t="s">
        <v>494</v>
      </c>
      <c r="S131" s="40" t="s">
        <v>495</v>
      </c>
      <c r="T131" s="40" t="s">
        <v>282</v>
      </c>
      <c r="U131" s="40" t="s">
        <v>1756</v>
      </c>
      <c r="V131" s="40" t="s">
        <v>3856</v>
      </c>
      <c r="W131" s="40" t="s">
        <v>1757</v>
      </c>
    </row>
    <row r="132" spans="1:23" ht="12" x14ac:dyDescent="0.2">
      <c r="A132" s="39" t="s">
        <v>339</v>
      </c>
      <c r="B132" s="40" t="s">
        <v>338</v>
      </c>
      <c r="C132" s="40" t="s">
        <v>1758</v>
      </c>
      <c r="D132" s="41">
        <v>45595</v>
      </c>
      <c r="E132" s="41">
        <v>45625</v>
      </c>
      <c r="F132" s="41">
        <v>46091</v>
      </c>
      <c r="G132" s="42">
        <v>466</v>
      </c>
      <c r="H132" s="40" t="s">
        <v>493</v>
      </c>
      <c r="I132" s="39" t="s">
        <v>320</v>
      </c>
      <c r="J132" s="43">
        <v>62270.239999999998</v>
      </c>
      <c r="K132" s="43">
        <v>0</v>
      </c>
      <c r="L132" s="43">
        <v>551587.5</v>
      </c>
      <c r="M132" s="44">
        <v>0</v>
      </c>
      <c r="N132" s="44">
        <f t="shared" si="2"/>
        <v>551587.5</v>
      </c>
      <c r="O132" s="44">
        <v>551587.5</v>
      </c>
      <c r="P132" s="40" t="s">
        <v>1759</v>
      </c>
      <c r="Q132" s="40" t="s">
        <v>1760</v>
      </c>
      <c r="R132" s="40" t="s">
        <v>494</v>
      </c>
      <c r="S132" s="40" t="s">
        <v>495</v>
      </c>
      <c r="T132" s="40" t="s">
        <v>508</v>
      </c>
      <c r="U132" s="40" t="s">
        <v>1282</v>
      </c>
      <c r="V132" s="40" t="s">
        <v>3857</v>
      </c>
      <c r="W132" s="40" t="s">
        <v>1761</v>
      </c>
    </row>
    <row r="133" spans="1:23" ht="12" x14ac:dyDescent="0.2">
      <c r="A133" s="39" t="s">
        <v>357</v>
      </c>
      <c r="B133" s="40" t="s">
        <v>356</v>
      </c>
      <c r="C133" s="40" t="s">
        <v>1769</v>
      </c>
      <c r="D133" s="41">
        <v>45600</v>
      </c>
      <c r="E133" s="41">
        <v>45630</v>
      </c>
      <c r="F133" s="41">
        <v>46091</v>
      </c>
      <c r="G133" s="42">
        <v>461</v>
      </c>
      <c r="H133" s="40" t="s">
        <v>493</v>
      </c>
      <c r="I133" s="39" t="s">
        <v>341</v>
      </c>
      <c r="J133" s="43">
        <v>393737.92</v>
      </c>
      <c r="K133" s="43">
        <v>0</v>
      </c>
      <c r="L133" s="43">
        <v>1035.77</v>
      </c>
      <c r="M133" s="44">
        <v>0</v>
      </c>
      <c r="N133" s="44">
        <f t="shared" si="2"/>
        <v>890.45</v>
      </c>
      <c r="O133" s="44">
        <v>890.45</v>
      </c>
      <c r="P133" s="40" t="s">
        <v>1770</v>
      </c>
      <c r="Q133" s="40" t="s">
        <v>1771</v>
      </c>
      <c r="R133" s="40" t="s">
        <v>494</v>
      </c>
      <c r="S133" s="40" t="s">
        <v>495</v>
      </c>
      <c r="T133" s="40" t="s">
        <v>225</v>
      </c>
      <c r="U133" s="40" t="s">
        <v>914</v>
      </c>
      <c r="V133" s="40" t="s">
        <v>3791</v>
      </c>
      <c r="W133" s="40" t="s">
        <v>1772</v>
      </c>
    </row>
    <row r="134" spans="1:23" ht="12" x14ac:dyDescent="0.2">
      <c r="A134" s="39" t="s">
        <v>357</v>
      </c>
      <c r="B134" s="40" t="s">
        <v>356</v>
      </c>
      <c r="C134" s="40" t="s">
        <v>1773</v>
      </c>
      <c r="D134" s="41">
        <v>45600</v>
      </c>
      <c r="E134" s="41">
        <v>45630</v>
      </c>
      <c r="F134" s="41">
        <v>46091</v>
      </c>
      <c r="G134" s="42">
        <v>461</v>
      </c>
      <c r="H134" s="40" t="s">
        <v>493</v>
      </c>
      <c r="I134" s="39" t="s">
        <v>341</v>
      </c>
      <c r="J134" s="43">
        <v>26086.62</v>
      </c>
      <c r="K134" s="43">
        <v>0</v>
      </c>
      <c r="L134" s="43">
        <v>16915.72</v>
      </c>
      <c r="M134" s="44">
        <v>0</v>
      </c>
      <c r="N134" s="44">
        <f t="shared" si="2"/>
        <v>14709.06</v>
      </c>
      <c r="O134" s="44">
        <v>14709.06</v>
      </c>
      <c r="P134" s="40" t="s">
        <v>358</v>
      </c>
      <c r="Q134" s="40" t="s">
        <v>544</v>
      </c>
      <c r="R134" s="40" t="s">
        <v>494</v>
      </c>
      <c r="S134" s="40" t="s">
        <v>495</v>
      </c>
      <c r="T134" s="40" t="s">
        <v>188</v>
      </c>
      <c r="U134" s="40" t="s">
        <v>802</v>
      </c>
      <c r="V134" s="40" t="s">
        <v>3791</v>
      </c>
      <c r="W134" s="40" t="s">
        <v>545</v>
      </c>
    </row>
    <row r="135" spans="1:23" ht="12" x14ac:dyDescent="0.2">
      <c r="A135" s="39" t="s">
        <v>1457</v>
      </c>
      <c r="B135" s="40" t="s">
        <v>1458</v>
      </c>
      <c r="C135" s="40" t="s">
        <v>2129</v>
      </c>
      <c r="D135" s="41">
        <v>45608</v>
      </c>
      <c r="E135" s="41">
        <v>45638</v>
      </c>
      <c r="F135" s="41">
        <v>46091</v>
      </c>
      <c r="G135" s="42">
        <v>453</v>
      </c>
      <c r="H135" s="40" t="s">
        <v>493</v>
      </c>
      <c r="I135" s="39" t="s">
        <v>323</v>
      </c>
      <c r="J135" s="43">
        <v>-13292.56</v>
      </c>
      <c r="K135" s="43">
        <v>0</v>
      </c>
      <c r="L135" s="43">
        <v>13292.56</v>
      </c>
      <c r="M135" s="44">
        <v>0</v>
      </c>
      <c r="N135" s="44">
        <f t="shared" si="2"/>
        <v>10512.52</v>
      </c>
      <c r="O135" s="44">
        <v>10512.52</v>
      </c>
      <c r="P135" s="40" t="s">
        <v>2130</v>
      </c>
      <c r="Q135" s="40" t="s">
        <v>2131</v>
      </c>
      <c r="R135" s="40" t="s">
        <v>494</v>
      </c>
      <c r="S135" s="40" t="s">
        <v>495</v>
      </c>
      <c r="T135" s="40" t="s">
        <v>165</v>
      </c>
      <c r="U135" s="40" t="s">
        <v>1880</v>
      </c>
      <c r="V135" s="40" t="s">
        <v>3858</v>
      </c>
      <c r="W135" s="40" t="s">
        <v>1462</v>
      </c>
    </row>
    <row r="136" spans="1:23" ht="12" x14ac:dyDescent="0.2">
      <c r="A136" s="39" t="s">
        <v>357</v>
      </c>
      <c r="B136" s="40" t="s">
        <v>356</v>
      </c>
      <c r="C136" s="40" t="s">
        <v>1784</v>
      </c>
      <c r="D136" s="41">
        <v>45611</v>
      </c>
      <c r="E136" s="41">
        <v>45641</v>
      </c>
      <c r="F136" s="41">
        <v>46091</v>
      </c>
      <c r="G136" s="42">
        <v>450</v>
      </c>
      <c r="H136" s="40" t="s">
        <v>493</v>
      </c>
      <c r="I136" s="39" t="s">
        <v>341</v>
      </c>
      <c r="J136" s="43">
        <v>777075.33</v>
      </c>
      <c r="K136" s="43">
        <v>0</v>
      </c>
      <c r="L136" s="43">
        <v>21097.82</v>
      </c>
      <c r="M136" s="44">
        <v>0</v>
      </c>
      <c r="N136" s="44">
        <f t="shared" si="2"/>
        <v>18158.259999999998</v>
      </c>
      <c r="O136" s="44">
        <v>18158.259999999998</v>
      </c>
      <c r="P136" s="40" t="s">
        <v>1785</v>
      </c>
      <c r="Q136" s="40" t="s">
        <v>1786</v>
      </c>
      <c r="R136" s="40" t="s">
        <v>494</v>
      </c>
      <c r="S136" s="40" t="s">
        <v>502</v>
      </c>
      <c r="T136" s="40" t="s">
        <v>507</v>
      </c>
      <c r="U136" s="40" t="s">
        <v>1232</v>
      </c>
      <c r="V136" s="40" t="s">
        <v>3791</v>
      </c>
      <c r="W136" s="40" t="s">
        <v>1787</v>
      </c>
    </row>
    <row r="137" spans="1:23" ht="12" x14ac:dyDescent="0.2">
      <c r="A137" s="39" t="s">
        <v>1799</v>
      </c>
      <c r="B137" s="40" t="s">
        <v>1800</v>
      </c>
      <c r="C137" s="40" t="s">
        <v>1801</v>
      </c>
      <c r="D137" s="41">
        <v>45615</v>
      </c>
      <c r="E137" s="41">
        <v>45645</v>
      </c>
      <c r="F137" s="41">
        <v>46091</v>
      </c>
      <c r="G137" s="42">
        <v>446</v>
      </c>
      <c r="H137" s="40" t="s">
        <v>493</v>
      </c>
      <c r="I137" s="39" t="s">
        <v>320</v>
      </c>
      <c r="J137" s="43">
        <v>60152</v>
      </c>
      <c r="K137" s="43">
        <v>0</v>
      </c>
      <c r="L137" s="43">
        <v>60152</v>
      </c>
      <c r="M137" s="44">
        <v>0</v>
      </c>
      <c r="N137" s="44">
        <f t="shared" si="2"/>
        <v>60152</v>
      </c>
      <c r="O137" s="44">
        <v>60152</v>
      </c>
      <c r="P137" s="40" t="s">
        <v>1802</v>
      </c>
      <c r="Q137" s="40" t="s">
        <v>1803</v>
      </c>
      <c r="R137" s="40" t="s">
        <v>494</v>
      </c>
      <c r="S137" s="40" t="s">
        <v>495</v>
      </c>
      <c r="T137" s="40" t="s">
        <v>287</v>
      </c>
      <c r="U137" s="40" t="s">
        <v>1804</v>
      </c>
      <c r="V137" s="40" t="s">
        <v>3859</v>
      </c>
      <c r="W137" s="40" t="s">
        <v>321</v>
      </c>
    </row>
    <row r="138" spans="1:23" ht="12" x14ac:dyDescent="0.2">
      <c r="A138" s="39" t="s">
        <v>337</v>
      </c>
      <c r="B138" s="40" t="s">
        <v>336</v>
      </c>
      <c r="C138" s="40" t="s">
        <v>1813</v>
      </c>
      <c r="D138" s="41">
        <v>45618</v>
      </c>
      <c r="E138" s="41">
        <v>45648</v>
      </c>
      <c r="F138" s="41">
        <v>46091</v>
      </c>
      <c r="G138" s="42">
        <v>443</v>
      </c>
      <c r="H138" s="40" t="s">
        <v>493</v>
      </c>
      <c r="I138" s="39" t="s">
        <v>320</v>
      </c>
      <c r="J138" s="43">
        <v>42349.35</v>
      </c>
      <c r="K138" s="43">
        <v>0</v>
      </c>
      <c r="L138" s="43">
        <v>42349.35</v>
      </c>
      <c r="M138" s="44">
        <v>0</v>
      </c>
      <c r="N138" s="44">
        <f t="shared" si="2"/>
        <v>42349.35</v>
      </c>
      <c r="O138" s="44">
        <v>42349.35</v>
      </c>
      <c r="P138" s="40" t="s">
        <v>1814</v>
      </c>
      <c r="Q138" s="40" t="s">
        <v>1815</v>
      </c>
      <c r="R138" s="40" t="s">
        <v>494</v>
      </c>
      <c r="S138" s="40" t="s">
        <v>502</v>
      </c>
      <c r="T138" s="40" t="s">
        <v>284</v>
      </c>
      <c r="U138" s="40" t="s">
        <v>1816</v>
      </c>
      <c r="V138" s="40" t="s">
        <v>3860</v>
      </c>
      <c r="W138" s="40" t="s">
        <v>1817</v>
      </c>
    </row>
    <row r="139" spans="1:23" ht="12" x14ac:dyDescent="0.2">
      <c r="A139" s="39" t="s">
        <v>357</v>
      </c>
      <c r="B139" s="40" t="s">
        <v>356</v>
      </c>
      <c r="C139" s="40" t="s">
        <v>1820</v>
      </c>
      <c r="D139" s="41">
        <v>45621</v>
      </c>
      <c r="E139" s="41">
        <v>45651</v>
      </c>
      <c r="F139" s="41">
        <v>46091</v>
      </c>
      <c r="G139" s="42">
        <v>440</v>
      </c>
      <c r="H139" s="40" t="s">
        <v>493</v>
      </c>
      <c r="I139" s="39" t="s">
        <v>341</v>
      </c>
      <c r="J139" s="43">
        <v>7029.53</v>
      </c>
      <c r="K139" s="43">
        <v>0</v>
      </c>
      <c r="L139" s="43">
        <v>201.18</v>
      </c>
      <c r="M139" s="44">
        <v>0</v>
      </c>
      <c r="N139" s="44">
        <f t="shared" si="2"/>
        <v>173.19</v>
      </c>
      <c r="O139" s="44">
        <v>173.19</v>
      </c>
      <c r="P139" s="40" t="s">
        <v>665</v>
      </c>
      <c r="Q139" s="40" t="s">
        <v>666</v>
      </c>
      <c r="R139" s="40" t="s">
        <v>494</v>
      </c>
      <c r="S139" s="40" t="s">
        <v>495</v>
      </c>
      <c r="T139" s="40" t="s">
        <v>309</v>
      </c>
      <c r="U139" s="40" t="s">
        <v>667</v>
      </c>
      <c r="V139" s="40" t="s">
        <v>3791</v>
      </c>
      <c r="W139" s="40" t="s">
        <v>668</v>
      </c>
    </row>
    <row r="140" spans="1:23" ht="12" x14ac:dyDescent="0.2">
      <c r="A140" s="39" t="s">
        <v>467</v>
      </c>
      <c r="B140" s="40" t="s">
        <v>466</v>
      </c>
      <c r="C140" s="40" t="s">
        <v>1826</v>
      </c>
      <c r="D140" s="41">
        <v>45621</v>
      </c>
      <c r="E140" s="41">
        <v>45651</v>
      </c>
      <c r="F140" s="41">
        <v>46091</v>
      </c>
      <c r="G140" s="42">
        <v>440</v>
      </c>
      <c r="H140" s="40" t="s">
        <v>493</v>
      </c>
      <c r="I140" s="39" t="s">
        <v>320</v>
      </c>
      <c r="J140" s="43">
        <v>12205.85</v>
      </c>
      <c r="K140" s="43">
        <v>0</v>
      </c>
      <c r="L140" s="43">
        <v>12205.85</v>
      </c>
      <c r="M140" s="44">
        <v>0</v>
      </c>
      <c r="N140" s="44">
        <f t="shared" si="2"/>
        <v>12205.85</v>
      </c>
      <c r="O140" s="44">
        <v>12205.85</v>
      </c>
      <c r="P140" s="40" t="s">
        <v>1827</v>
      </c>
      <c r="Q140" s="40" t="s">
        <v>1828</v>
      </c>
      <c r="R140" s="40" t="s">
        <v>494</v>
      </c>
      <c r="S140" s="40" t="s">
        <v>495</v>
      </c>
      <c r="T140" s="40" t="s">
        <v>191</v>
      </c>
      <c r="U140" s="40" t="s">
        <v>583</v>
      </c>
      <c r="V140" s="40" t="s">
        <v>3861</v>
      </c>
      <c r="W140" s="40" t="s">
        <v>1829</v>
      </c>
    </row>
    <row r="141" spans="1:23" ht="12" x14ac:dyDescent="0.2">
      <c r="A141" s="39" t="s">
        <v>357</v>
      </c>
      <c r="B141" s="40" t="s">
        <v>356</v>
      </c>
      <c r="C141" s="40" t="s">
        <v>1830</v>
      </c>
      <c r="D141" s="41">
        <v>45622</v>
      </c>
      <c r="E141" s="41">
        <v>45652</v>
      </c>
      <c r="F141" s="41">
        <v>46091</v>
      </c>
      <c r="G141" s="42">
        <v>439</v>
      </c>
      <c r="H141" s="40" t="s">
        <v>493</v>
      </c>
      <c r="I141" s="39" t="s">
        <v>341</v>
      </c>
      <c r="J141" s="43">
        <v>8495.9699999999993</v>
      </c>
      <c r="K141" s="43">
        <v>0</v>
      </c>
      <c r="L141" s="43">
        <v>8495.9699999999993</v>
      </c>
      <c r="M141" s="44">
        <v>0</v>
      </c>
      <c r="N141" s="44">
        <f t="shared" si="2"/>
        <v>7387.67</v>
      </c>
      <c r="O141" s="44">
        <v>7387.67</v>
      </c>
      <c r="P141" s="40" t="s">
        <v>1831</v>
      </c>
      <c r="Q141" s="40" t="s">
        <v>1832</v>
      </c>
      <c r="R141" s="40" t="s">
        <v>494</v>
      </c>
      <c r="S141" s="40" t="s">
        <v>495</v>
      </c>
      <c r="T141" s="40" t="s">
        <v>542</v>
      </c>
      <c r="U141" s="40" t="s">
        <v>641</v>
      </c>
      <c r="V141" s="40" t="s">
        <v>3791</v>
      </c>
      <c r="W141" s="40" t="s">
        <v>1833</v>
      </c>
    </row>
    <row r="142" spans="1:23" ht="12" x14ac:dyDescent="0.2">
      <c r="A142" s="39" t="s">
        <v>1843</v>
      </c>
      <c r="B142" s="40" t="s">
        <v>1844</v>
      </c>
      <c r="C142" s="40" t="s">
        <v>1845</v>
      </c>
      <c r="D142" s="41">
        <v>45623</v>
      </c>
      <c r="E142" s="41">
        <v>45653</v>
      </c>
      <c r="F142" s="41">
        <v>46091</v>
      </c>
      <c r="G142" s="42">
        <v>438</v>
      </c>
      <c r="H142" s="40" t="s">
        <v>493</v>
      </c>
      <c r="I142" s="39" t="s">
        <v>320</v>
      </c>
      <c r="J142" s="43">
        <v>200000</v>
      </c>
      <c r="K142" s="43">
        <v>0</v>
      </c>
      <c r="L142" s="43">
        <v>162719.95000000001</v>
      </c>
      <c r="M142" s="44">
        <v>0</v>
      </c>
      <c r="N142" s="44">
        <f t="shared" si="2"/>
        <v>162719.95000000001</v>
      </c>
      <c r="O142" s="44">
        <v>162719.95000000001</v>
      </c>
      <c r="P142" s="40" t="s">
        <v>1846</v>
      </c>
      <c r="Q142" s="40" t="s">
        <v>1847</v>
      </c>
      <c r="R142" s="40" t="s">
        <v>494</v>
      </c>
      <c r="S142" s="40" t="s">
        <v>502</v>
      </c>
      <c r="T142" s="40" t="s">
        <v>203</v>
      </c>
      <c r="U142" s="40" t="s">
        <v>638</v>
      </c>
      <c r="V142" s="40" t="s">
        <v>3862</v>
      </c>
      <c r="W142" s="40" t="s">
        <v>1848</v>
      </c>
    </row>
    <row r="143" spans="1:23" ht="12" x14ac:dyDescent="0.2">
      <c r="A143" s="39" t="s">
        <v>1406</v>
      </c>
      <c r="B143" s="40" t="s">
        <v>1407</v>
      </c>
      <c r="C143" s="40" t="s">
        <v>1849</v>
      </c>
      <c r="D143" s="41">
        <v>45624</v>
      </c>
      <c r="E143" s="41">
        <v>45654</v>
      </c>
      <c r="F143" s="41">
        <v>46091</v>
      </c>
      <c r="G143" s="42">
        <v>437</v>
      </c>
      <c r="H143" s="40" t="s">
        <v>493</v>
      </c>
      <c r="I143" s="39" t="s">
        <v>320</v>
      </c>
      <c r="J143" s="43">
        <v>4431.07</v>
      </c>
      <c r="K143" s="43">
        <v>0</v>
      </c>
      <c r="L143" s="43">
        <v>4431.07</v>
      </c>
      <c r="M143" s="44">
        <v>0</v>
      </c>
      <c r="N143" s="44">
        <f t="shared" si="2"/>
        <v>4431.07</v>
      </c>
      <c r="O143" s="44">
        <v>4431.07</v>
      </c>
      <c r="P143" s="40" t="s">
        <v>1850</v>
      </c>
      <c r="Q143" s="40" t="s">
        <v>1851</v>
      </c>
      <c r="R143" s="40" t="s">
        <v>494</v>
      </c>
      <c r="S143" s="40" t="s">
        <v>502</v>
      </c>
      <c r="T143" s="40" t="s">
        <v>280</v>
      </c>
      <c r="U143" s="40" t="s">
        <v>1852</v>
      </c>
      <c r="V143" s="40" t="s">
        <v>3849</v>
      </c>
      <c r="W143" s="40" t="s">
        <v>1853</v>
      </c>
    </row>
    <row r="144" spans="1:23" ht="12" x14ac:dyDescent="0.2">
      <c r="A144" s="39" t="s">
        <v>34</v>
      </c>
      <c r="B144" s="40" t="s">
        <v>465</v>
      </c>
      <c r="C144" s="40" t="s">
        <v>1855</v>
      </c>
      <c r="D144" s="41">
        <v>45625</v>
      </c>
      <c r="E144" s="41">
        <v>45655</v>
      </c>
      <c r="F144" s="41">
        <v>46091</v>
      </c>
      <c r="G144" s="42">
        <v>436</v>
      </c>
      <c r="H144" s="40" t="s">
        <v>493</v>
      </c>
      <c r="I144" s="39" t="s">
        <v>320</v>
      </c>
      <c r="J144" s="43">
        <v>78006.179999999993</v>
      </c>
      <c r="K144" s="43">
        <v>0</v>
      </c>
      <c r="L144" s="43">
        <v>201.46</v>
      </c>
      <c r="M144" s="44">
        <v>0</v>
      </c>
      <c r="N144" s="44">
        <f t="shared" si="2"/>
        <v>201.46</v>
      </c>
      <c r="O144" s="44">
        <v>201.46</v>
      </c>
      <c r="P144" s="40" t="s">
        <v>1856</v>
      </c>
      <c r="Q144" s="40" t="s">
        <v>1857</v>
      </c>
      <c r="R144" s="40" t="s">
        <v>494</v>
      </c>
      <c r="S144" s="40" t="s">
        <v>502</v>
      </c>
      <c r="T144" s="40" t="s">
        <v>287</v>
      </c>
      <c r="U144" s="40" t="s">
        <v>871</v>
      </c>
      <c r="V144" s="40" t="s">
        <v>2132</v>
      </c>
      <c r="W144" s="40" t="s">
        <v>321</v>
      </c>
    </row>
    <row r="145" spans="1:23" ht="12" x14ac:dyDescent="0.2">
      <c r="A145" s="39" t="s">
        <v>1261</v>
      </c>
      <c r="B145" s="40" t="s">
        <v>1262</v>
      </c>
      <c r="C145" s="40" t="s">
        <v>1866</v>
      </c>
      <c r="D145" s="41">
        <v>45628</v>
      </c>
      <c r="E145" s="41">
        <v>45658</v>
      </c>
      <c r="F145" s="41">
        <v>46091</v>
      </c>
      <c r="G145" s="42">
        <v>433</v>
      </c>
      <c r="H145" s="40" t="s">
        <v>493</v>
      </c>
      <c r="I145" s="39" t="s">
        <v>323</v>
      </c>
      <c r="J145" s="43">
        <v>48639.83</v>
      </c>
      <c r="K145" s="43">
        <v>0</v>
      </c>
      <c r="L145" s="43">
        <v>48639.83</v>
      </c>
      <c r="M145" s="44">
        <v>0</v>
      </c>
      <c r="N145" s="44">
        <f t="shared" si="2"/>
        <v>36029.5</v>
      </c>
      <c r="O145" s="44">
        <v>36029.5</v>
      </c>
      <c r="P145" s="40" t="s">
        <v>1263</v>
      </c>
      <c r="Q145" s="40" t="s">
        <v>1264</v>
      </c>
      <c r="R145" s="40" t="s">
        <v>494</v>
      </c>
      <c r="S145" s="40" t="s">
        <v>502</v>
      </c>
      <c r="T145" s="40" t="s">
        <v>733</v>
      </c>
      <c r="U145" s="40" t="s">
        <v>1265</v>
      </c>
      <c r="V145" s="40" t="s">
        <v>3863</v>
      </c>
      <c r="W145" s="40" t="s">
        <v>1266</v>
      </c>
    </row>
    <row r="146" spans="1:23" ht="12" x14ac:dyDescent="0.2">
      <c r="A146" s="39" t="s">
        <v>357</v>
      </c>
      <c r="B146" s="40" t="s">
        <v>356</v>
      </c>
      <c r="C146" s="40" t="s">
        <v>1861</v>
      </c>
      <c r="D146" s="41">
        <v>45628</v>
      </c>
      <c r="E146" s="41">
        <v>45658</v>
      </c>
      <c r="F146" s="41">
        <v>46091</v>
      </c>
      <c r="G146" s="42">
        <v>433</v>
      </c>
      <c r="H146" s="40" t="s">
        <v>493</v>
      </c>
      <c r="I146" s="39" t="s">
        <v>341</v>
      </c>
      <c r="J146" s="43">
        <v>499992.27</v>
      </c>
      <c r="K146" s="43">
        <v>0</v>
      </c>
      <c r="L146" s="43">
        <v>308870.78999999998</v>
      </c>
      <c r="M146" s="44">
        <v>0</v>
      </c>
      <c r="N146" s="44">
        <f t="shared" si="2"/>
        <v>263247.49</v>
      </c>
      <c r="O146" s="44">
        <v>263247.49</v>
      </c>
      <c r="P146" s="40" t="s">
        <v>1862</v>
      </c>
      <c r="Q146" s="40" t="s">
        <v>1863</v>
      </c>
      <c r="R146" s="40" t="s">
        <v>494</v>
      </c>
      <c r="S146" s="40" t="s">
        <v>502</v>
      </c>
      <c r="T146" s="40" t="s">
        <v>280</v>
      </c>
      <c r="U146" s="40" t="s">
        <v>560</v>
      </c>
      <c r="V146" s="40" t="s">
        <v>3791</v>
      </c>
      <c r="W146" s="40" t="s">
        <v>1864</v>
      </c>
    </row>
    <row r="147" spans="1:23" ht="12" x14ac:dyDescent="0.2">
      <c r="A147" s="39" t="s">
        <v>16</v>
      </c>
      <c r="B147" s="40" t="s">
        <v>414</v>
      </c>
      <c r="C147" s="40" t="s">
        <v>1867</v>
      </c>
      <c r="D147" s="41">
        <v>45629</v>
      </c>
      <c r="E147" s="41">
        <v>45659</v>
      </c>
      <c r="F147" s="41">
        <v>46091</v>
      </c>
      <c r="G147" s="42">
        <v>432</v>
      </c>
      <c r="H147" s="40" t="s">
        <v>493</v>
      </c>
      <c r="I147" s="39" t="s">
        <v>320</v>
      </c>
      <c r="J147" s="43">
        <v>60000</v>
      </c>
      <c r="K147" s="43">
        <v>0</v>
      </c>
      <c r="L147" s="43">
        <v>60000</v>
      </c>
      <c r="M147" s="44">
        <v>0</v>
      </c>
      <c r="N147" s="44">
        <f t="shared" si="2"/>
        <v>60000</v>
      </c>
      <c r="O147" s="44">
        <v>60000</v>
      </c>
      <c r="P147" s="40" t="s">
        <v>1617</v>
      </c>
      <c r="Q147" s="40" t="s">
        <v>1868</v>
      </c>
      <c r="R147" s="40" t="s">
        <v>494</v>
      </c>
      <c r="S147" s="40" t="s">
        <v>495</v>
      </c>
      <c r="T147" s="40" t="s">
        <v>512</v>
      </c>
      <c r="U147" s="40" t="s">
        <v>1869</v>
      </c>
      <c r="V147" s="40" t="s">
        <v>3864</v>
      </c>
      <c r="W147" s="40" t="s">
        <v>1870</v>
      </c>
    </row>
    <row r="148" spans="1:23" ht="12" x14ac:dyDescent="0.2">
      <c r="A148" s="39" t="s">
        <v>357</v>
      </c>
      <c r="B148" s="40" t="s">
        <v>356</v>
      </c>
      <c r="C148" s="40" t="s">
        <v>1873</v>
      </c>
      <c r="D148" s="41">
        <v>45630</v>
      </c>
      <c r="E148" s="41">
        <v>45660</v>
      </c>
      <c r="F148" s="41">
        <v>46091</v>
      </c>
      <c r="G148" s="42">
        <v>431</v>
      </c>
      <c r="H148" s="40" t="s">
        <v>493</v>
      </c>
      <c r="I148" s="39" t="s">
        <v>341</v>
      </c>
      <c r="J148" s="43">
        <v>307929.40000000002</v>
      </c>
      <c r="K148" s="43">
        <v>0</v>
      </c>
      <c r="L148" s="43">
        <v>95185.35</v>
      </c>
      <c r="M148" s="44">
        <v>0</v>
      </c>
      <c r="N148" s="44">
        <f t="shared" si="2"/>
        <v>81693.78</v>
      </c>
      <c r="O148" s="44">
        <v>81693.78</v>
      </c>
      <c r="P148" s="40" t="s">
        <v>1874</v>
      </c>
      <c r="Q148" s="40" t="s">
        <v>1875</v>
      </c>
      <c r="R148" s="40" t="s">
        <v>494</v>
      </c>
      <c r="S148" s="40" t="s">
        <v>502</v>
      </c>
      <c r="T148" s="40" t="s">
        <v>769</v>
      </c>
      <c r="U148" s="40" t="s">
        <v>1876</v>
      </c>
      <c r="V148" s="40" t="s">
        <v>3791</v>
      </c>
      <c r="W148" s="40" t="s">
        <v>1877</v>
      </c>
    </row>
    <row r="149" spans="1:23" ht="12" x14ac:dyDescent="0.2">
      <c r="A149" s="39" t="s">
        <v>337</v>
      </c>
      <c r="B149" s="40" t="s">
        <v>336</v>
      </c>
      <c r="C149" s="40" t="s">
        <v>1883</v>
      </c>
      <c r="D149" s="41">
        <v>45635</v>
      </c>
      <c r="E149" s="41">
        <v>45665</v>
      </c>
      <c r="F149" s="41">
        <v>46091</v>
      </c>
      <c r="G149" s="42">
        <v>426</v>
      </c>
      <c r="H149" s="40" t="s">
        <v>493</v>
      </c>
      <c r="I149" s="39" t="s">
        <v>320</v>
      </c>
      <c r="J149" s="43">
        <v>175949.42</v>
      </c>
      <c r="K149" s="43">
        <v>0</v>
      </c>
      <c r="L149" s="43">
        <v>175949.42</v>
      </c>
      <c r="M149" s="44">
        <v>0</v>
      </c>
      <c r="N149" s="44">
        <f t="shared" si="2"/>
        <v>175949.42</v>
      </c>
      <c r="O149" s="44">
        <v>175949.42</v>
      </c>
      <c r="P149" s="40" t="s">
        <v>1884</v>
      </c>
      <c r="Q149" s="40" t="s">
        <v>1885</v>
      </c>
      <c r="R149" s="40" t="s">
        <v>494</v>
      </c>
      <c r="S149" s="40" t="s">
        <v>495</v>
      </c>
      <c r="T149" s="40" t="s">
        <v>289</v>
      </c>
      <c r="U149" s="40" t="s">
        <v>554</v>
      </c>
      <c r="V149" s="40" t="s">
        <v>3865</v>
      </c>
      <c r="W149" s="40" t="s">
        <v>1886</v>
      </c>
    </row>
    <row r="150" spans="1:23" ht="12" x14ac:dyDescent="0.2">
      <c r="A150" s="39" t="s">
        <v>1406</v>
      </c>
      <c r="B150" s="40" t="s">
        <v>1407</v>
      </c>
      <c r="C150" s="40" t="s">
        <v>1894</v>
      </c>
      <c r="D150" s="41">
        <v>45636</v>
      </c>
      <c r="E150" s="41">
        <v>45666</v>
      </c>
      <c r="F150" s="41">
        <v>46091</v>
      </c>
      <c r="G150" s="42">
        <v>425</v>
      </c>
      <c r="H150" s="40" t="s">
        <v>493</v>
      </c>
      <c r="I150" s="39" t="s">
        <v>320</v>
      </c>
      <c r="J150" s="43">
        <v>1899.01</v>
      </c>
      <c r="K150" s="43">
        <v>0</v>
      </c>
      <c r="L150" s="43">
        <v>1899.01</v>
      </c>
      <c r="M150" s="44">
        <v>0</v>
      </c>
      <c r="N150" s="44">
        <f t="shared" si="2"/>
        <v>1899.01</v>
      </c>
      <c r="O150" s="44">
        <v>1899.01</v>
      </c>
      <c r="P150" s="40" t="s">
        <v>1850</v>
      </c>
      <c r="Q150" s="40" t="s">
        <v>1851</v>
      </c>
      <c r="R150" s="40" t="s">
        <v>494</v>
      </c>
      <c r="S150" s="40" t="s">
        <v>502</v>
      </c>
      <c r="T150" s="40" t="s">
        <v>280</v>
      </c>
      <c r="U150" s="40" t="s">
        <v>1852</v>
      </c>
      <c r="V150" s="40" t="s">
        <v>3849</v>
      </c>
      <c r="W150" s="40" t="s">
        <v>1853</v>
      </c>
    </row>
    <row r="151" spans="1:23" ht="12" x14ac:dyDescent="0.2">
      <c r="A151" s="39" t="s">
        <v>15</v>
      </c>
      <c r="B151" s="40" t="s">
        <v>361</v>
      </c>
      <c r="C151" s="40" t="s">
        <v>1893</v>
      </c>
      <c r="D151" s="41">
        <v>45636</v>
      </c>
      <c r="E151" s="41">
        <v>45666</v>
      </c>
      <c r="F151" s="41">
        <v>46091</v>
      </c>
      <c r="G151" s="42">
        <v>425</v>
      </c>
      <c r="H151" s="40" t="s">
        <v>493</v>
      </c>
      <c r="I151" s="39" t="s">
        <v>341</v>
      </c>
      <c r="J151" s="43">
        <v>57949</v>
      </c>
      <c r="K151" s="43">
        <v>0</v>
      </c>
      <c r="L151" s="43">
        <v>57949</v>
      </c>
      <c r="M151" s="44">
        <v>0</v>
      </c>
      <c r="N151" s="44">
        <f t="shared" si="2"/>
        <v>46359.199999999997</v>
      </c>
      <c r="O151" s="44">
        <v>46359.199999999997</v>
      </c>
      <c r="P151" s="40" t="s">
        <v>887</v>
      </c>
      <c r="Q151" s="40" t="s">
        <v>898</v>
      </c>
      <c r="R151" s="40" t="s">
        <v>494</v>
      </c>
      <c r="S151" s="40" t="s">
        <v>495</v>
      </c>
      <c r="T151" s="40" t="s">
        <v>218</v>
      </c>
      <c r="U151" s="40" t="s">
        <v>563</v>
      </c>
      <c r="V151" s="40" t="s">
        <v>3866</v>
      </c>
      <c r="W151" s="40" t="s">
        <v>899</v>
      </c>
    </row>
    <row r="152" spans="1:23" ht="12" x14ac:dyDescent="0.2">
      <c r="A152" s="39" t="s">
        <v>357</v>
      </c>
      <c r="B152" s="40" t="s">
        <v>356</v>
      </c>
      <c r="C152" s="40" t="s">
        <v>1898</v>
      </c>
      <c r="D152" s="41">
        <v>45638</v>
      </c>
      <c r="E152" s="41">
        <v>45668</v>
      </c>
      <c r="F152" s="41">
        <v>46091</v>
      </c>
      <c r="G152" s="42">
        <v>423</v>
      </c>
      <c r="H152" s="40" t="s">
        <v>493</v>
      </c>
      <c r="I152" s="39" t="s">
        <v>341</v>
      </c>
      <c r="J152" s="43">
        <v>9377.3799999999992</v>
      </c>
      <c r="K152" s="43">
        <v>0</v>
      </c>
      <c r="L152" s="43">
        <v>9377.3799999999992</v>
      </c>
      <c r="M152" s="44">
        <v>0</v>
      </c>
      <c r="N152" s="44">
        <f t="shared" si="2"/>
        <v>7992.25</v>
      </c>
      <c r="O152" s="44">
        <v>7992.25</v>
      </c>
      <c r="P152" s="40" t="s">
        <v>1072</v>
      </c>
      <c r="Q152" s="40" t="s">
        <v>1073</v>
      </c>
      <c r="R152" s="40" t="s">
        <v>494</v>
      </c>
      <c r="S152" s="40" t="s">
        <v>495</v>
      </c>
      <c r="T152" s="40" t="s">
        <v>538</v>
      </c>
      <c r="U152" s="40" t="s">
        <v>1074</v>
      </c>
      <c r="V152" s="40" t="s">
        <v>3791</v>
      </c>
      <c r="W152" s="40" t="s">
        <v>1075</v>
      </c>
    </row>
    <row r="153" spans="1:23" ht="12" x14ac:dyDescent="0.2">
      <c r="A153" s="39" t="s">
        <v>357</v>
      </c>
      <c r="B153" s="40" t="s">
        <v>356</v>
      </c>
      <c r="C153" s="40" t="s">
        <v>1903</v>
      </c>
      <c r="D153" s="41">
        <v>45638</v>
      </c>
      <c r="E153" s="41">
        <v>45668</v>
      </c>
      <c r="F153" s="41">
        <v>46091</v>
      </c>
      <c r="G153" s="42">
        <v>423</v>
      </c>
      <c r="H153" s="40" t="s">
        <v>493</v>
      </c>
      <c r="I153" s="39" t="s">
        <v>341</v>
      </c>
      <c r="J153" s="43">
        <v>248621.63</v>
      </c>
      <c r="K153" s="43">
        <v>0</v>
      </c>
      <c r="L153" s="43">
        <v>219989.63</v>
      </c>
      <c r="M153" s="44">
        <v>0</v>
      </c>
      <c r="N153" s="44">
        <f t="shared" si="2"/>
        <v>187690.75</v>
      </c>
      <c r="O153" s="44">
        <v>187690.75</v>
      </c>
      <c r="P153" s="40" t="s">
        <v>1904</v>
      </c>
      <c r="Q153" s="40" t="s">
        <v>1905</v>
      </c>
      <c r="R153" s="40" t="s">
        <v>494</v>
      </c>
      <c r="S153" s="40" t="s">
        <v>495</v>
      </c>
      <c r="T153" s="40" t="s">
        <v>529</v>
      </c>
      <c r="U153" s="40" t="s">
        <v>1510</v>
      </c>
      <c r="V153" s="40" t="s">
        <v>3791</v>
      </c>
      <c r="W153" s="40" t="s">
        <v>1906</v>
      </c>
    </row>
    <row r="154" spans="1:23" ht="12" x14ac:dyDescent="0.2">
      <c r="A154" s="39" t="s">
        <v>357</v>
      </c>
      <c r="B154" s="40" t="s">
        <v>356</v>
      </c>
      <c r="C154" s="40" t="s">
        <v>1899</v>
      </c>
      <c r="D154" s="41">
        <v>45638</v>
      </c>
      <c r="E154" s="41">
        <v>45668</v>
      </c>
      <c r="F154" s="41">
        <v>46091</v>
      </c>
      <c r="G154" s="42">
        <v>423</v>
      </c>
      <c r="H154" s="40" t="s">
        <v>493</v>
      </c>
      <c r="I154" s="39" t="s">
        <v>341</v>
      </c>
      <c r="J154" s="43">
        <v>350855.69</v>
      </c>
      <c r="K154" s="43">
        <v>0</v>
      </c>
      <c r="L154" s="43">
        <v>295212.3</v>
      </c>
      <c r="M154" s="44">
        <v>0</v>
      </c>
      <c r="N154" s="44">
        <f t="shared" si="2"/>
        <v>250694.29</v>
      </c>
      <c r="O154" s="44">
        <v>250694.29</v>
      </c>
      <c r="P154" s="40" t="s">
        <v>1900</v>
      </c>
      <c r="Q154" s="40" t="s">
        <v>1901</v>
      </c>
      <c r="R154" s="40" t="s">
        <v>494</v>
      </c>
      <c r="S154" s="40" t="s">
        <v>495</v>
      </c>
      <c r="T154" s="40" t="s">
        <v>501</v>
      </c>
      <c r="U154" s="40" t="s">
        <v>1821</v>
      </c>
      <c r="V154" s="40" t="s">
        <v>3791</v>
      </c>
      <c r="W154" s="40" t="s">
        <v>1902</v>
      </c>
    </row>
    <row r="155" spans="1:23" ht="12" x14ac:dyDescent="0.2">
      <c r="A155" s="39" t="s">
        <v>1139</v>
      </c>
      <c r="B155" s="40" t="s">
        <v>1140</v>
      </c>
      <c r="C155" s="40" t="s">
        <v>1915</v>
      </c>
      <c r="D155" s="41">
        <v>45643</v>
      </c>
      <c r="E155" s="41">
        <v>45673</v>
      </c>
      <c r="F155" s="41">
        <v>46091</v>
      </c>
      <c r="G155" s="42">
        <v>418</v>
      </c>
      <c r="H155" s="40" t="s">
        <v>493</v>
      </c>
      <c r="I155" s="39" t="s">
        <v>323</v>
      </c>
      <c r="J155" s="43">
        <v>5137.21</v>
      </c>
      <c r="K155" s="43">
        <v>0</v>
      </c>
      <c r="L155" s="43">
        <v>5137.21</v>
      </c>
      <c r="M155" s="44">
        <v>0</v>
      </c>
      <c r="N155" s="44">
        <f t="shared" si="2"/>
        <v>3805.34</v>
      </c>
      <c r="O155" s="44">
        <v>3805.34</v>
      </c>
      <c r="P155" s="40" t="s">
        <v>1142</v>
      </c>
      <c r="Q155" s="40" t="s">
        <v>1143</v>
      </c>
      <c r="R155" s="40" t="s">
        <v>494</v>
      </c>
      <c r="S155" s="40" t="s">
        <v>495</v>
      </c>
      <c r="T155" s="40" t="s">
        <v>284</v>
      </c>
      <c r="U155" s="40" t="s">
        <v>678</v>
      </c>
      <c r="V155" s="40" t="s">
        <v>3812</v>
      </c>
      <c r="W155" s="40" t="s">
        <v>1144</v>
      </c>
    </row>
    <row r="156" spans="1:23" ht="12" x14ac:dyDescent="0.2">
      <c r="A156" s="39" t="s">
        <v>337</v>
      </c>
      <c r="B156" s="40" t="s">
        <v>336</v>
      </c>
      <c r="C156" s="40" t="s">
        <v>1916</v>
      </c>
      <c r="D156" s="41">
        <v>45643</v>
      </c>
      <c r="E156" s="41">
        <v>45673</v>
      </c>
      <c r="F156" s="41">
        <v>46091</v>
      </c>
      <c r="G156" s="42">
        <v>418</v>
      </c>
      <c r="H156" s="40" t="s">
        <v>493</v>
      </c>
      <c r="I156" s="39" t="s">
        <v>320</v>
      </c>
      <c r="J156" s="43">
        <v>29943.35</v>
      </c>
      <c r="K156" s="43">
        <v>0</v>
      </c>
      <c r="L156" s="43">
        <v>29943.35</v>
      </c>
      <c r="M156" s="44">
        <v>0</v>
      </c>
      <c r="N156" s="44">
        <f t="shared" si="2"/>
        <v>29943.35</v>
      </c>
      <c r="O156" s="44">
        <v>29943.35</v>
      </c>
      <c r="P156" s="40" t="s">
        <v>1001</v>
      </c>
      <c r="Q156" s="40" t="s">
        <v>1002</v>
      </c>
      <c r="R156" s="40" t="s">
        <v>494</v>
      </c>
      <c r="S156" s="40" t="s">
        <v>502</v>
      </c>
      <c r="T156" s="40" t="s">
        <v>289</v>
      </c>
      <c r="U156" s="40" t="s">
        <v>1003</v>
      </c>
      <c r="V156" s="40" t="s">
        <v>3823</v>
      </c>
      <c r="W156" s="40" t="s">
        <v>1004</v>
      </c>
    </row>
    <row r="157" spans="1:23" ht="12" x14ac:dyDescent="0.2">
      <c r="A157" s="39" t="s">
        <v>357</v>
      </c>
      <c r="B157" s="40" t="s">
        <v>356</v>
      </c>
      <c r="C157" s="40" t="s">
        <v>1917</v>
      </c>
      <c r="D157" s="41">
        <v>45643</v>
      </c>
      <c r="E157" s="41">
        <v>45673</v>
      </c>
      <c r="F157" s="41">
        <v>46091</v>
      </c>
      <c r="G157" s="42">
        <v>418</v>
      </c>
      <c r="H157" s="40" t="s">
        <v>493</v>
      </c>
      <c r="I157" s="39" t="s">
        <v>341</v>
      </c>
      <c r="J157" s="43">
        <v>92260.47</v>
      </c>
      <c r="K157" s="43">
        <v>0</v>
      </c>
      <c r="L157" s="43">
        <v>92260.47</v>
      </c>
      <c r="M157" s="44">
        <v>0</v>
      </c>
      <c r="N157" s="44">
        <f t="shared" si="2"/>
        <v>79183.47</v>
      </c>
      <c r="O157" s="44">
        <v>79183.47</v>
      </c>
      <c r="P157" s="40" t="s">
        <v>1918</v>
      </c>
      <c r="Q157" s="40" t="s">
        <v>1919</v>
      </c>
      <c r="R157" s="40" t="s">
        <v>494</v>
      </c>
      <c r="S157" s="40" t="s">
        <v>502</v>
      </c>
      <c r="T157" s="40" t="s">
        <v>178</v>
      </c>
      <c r="U157" s="40" t="s">
        <v>1393</v>
      </c>
      <c r="V157" s="40" t="s">
        <v>3791</v>
      </c>
      <c r="W157" s="40" t="s">
        <v>1920</v>
      </c>
    </row>
    <row r="158" spans="1:23" ht="12" x14ac:dyDescent="0.2">
      <c r="A158" s="39" t="s">
        <v>71</v>
      </c>
      <c r="B158" s="40" t="s">
        <v>458</v>
      </c>
      <c r="C158" s="40" t="s">
        <v>1929</v>
      </c>
      <c r="D158" s="41">
        <v>45645</v>
      </c>
      <c r="E158" s="41">
        <v>45675</v>
      </c>
      <c r="F158" s="41">
        <v>46091</v>
      </c>
      <c r="G158" s="42">
        <v>416</v>
      </c>
      <c r="H158" s="40" t="s">
        <v>493</v>
      </c>
      <c r="I158" s="39" t="s">
        <v>320</v>
      </c>
      <c r="J158" s="43">
        <v>3624.73</v>
      </c>
      <c r="K158" s="43">
        <v>0</v>
      </c>
      <c r="L158" s="43">
        <v>3624.73</v>
      </c>
      <c r="M158" s="44">
        <v>0</v>
      </c>
      <c r="N158" s="44">
        <f t="shared" si="2"/>
        <v>3624.73</v>
      </c>
      <c r="O158" s="44">
        <v>3624.73</v>
      </c>
      <c r="P158" s="40" t="s">
        <v>1173</v>
      </c>
      <c r="Q158" s="40" t="s">
        <v>1174</v>
      </c>
      <c r="R158" s="40" t="s">
        <v>494</v>
      </c>
      <c r="S158" s="40" t="s">
        <v>502</v>
      </c>
      <c r="T158" s="40" t="s">
        <v>280</v>
      </c>
      <c r="U158" s="40" t="s">
        <v>559</v>
      </c>
      <c r="V158" s="40" t="s">
        <v>3833</v>
      </c>
      <c r="W158" s="40" t="s">
        <v>1175</v>
      </c>
    </row>
    <row r="159" spans="1:23" ht="12" x14ac:dyDescent="0.2">
      <c r="A159" s="39" t="s">
        <v>49</v>
      </c>
      <c r="B159" s="40" t="s">
        <v>396</v>
      </c>
      <c r="C159" s="40" t="s">
        <v>1935</v>
      </c>
      <c r="D159" s="41">
        <v>45646</v>
      </c>
      <c r="E159" s="41">
        <v>45676</v>
      </c>
      <c r="F159" s="41">
        <v>46091</v>
      </c>
      <c r="G159" s="42">
        <v>415</v>
      </c>
      <c r="H159" s="40" t="s">
        <v>493</v>
      </c>
      <c r="I159" s="39" t="s">
        <v>320</v>
      </c>
      <c r="J159" s="43">
        <v>915491</v>
      </c>
      <c r="K159" s="43">
        <v>0</v>
      </c>
      <c r="L159" s="43">
        <v>915491</v>
      </c>
      <c r="M159" s="44">
        <v>0</v>
      </c>
      <c r="N159" s="44">
        <f t="shared" si="2"/>
        <v>915491</v>
      </c>
      <c r="O159" s="44">
        <v>915491</v>
      </c>
      <c r="P159" s="40" t="s">
        <v>1936</v>
      </c>
      <c r="Q159" s="40" t="s">
        <v>1937</v>
      </c>
      <c r="R159" s="40" t="s">
        <v>494</v>
      </c>
      <c r="S159" s="40" t="s">
        <v>502</v>
      </c>
      <c r="T159" s="40" t="s">
        <v>287</v>
      </c>
      <c r="U159" s="40" t="s">
        <v>1804</v>
      </c>
      <c r="V159" s="40" t="s">
        <v>3867</v>
      </c>
      <c r="W159" s="40" t="s">
        <v>1938</v>
      </c>
    </row>
    <row r="160" spans="1:23" ht="12" x14ac:dyDescent="0.2">
      <c r="A160" s="39" t="s">
        <v>1329</v>
      </c>
      <c r="B160" s="40" t="s">
        <v>1330</v>
      </c>
      <c r="C160" s="40" t="s">
        <v>2133</v>
      </c>
      <c r="D160" s="41">
        <v>45658</v>
      </c>
      <c r="E160" s="41">
        <v>45688</v>
      </c>
      <c r="F160" s="41">
        <v>46091</v>
      </c>
      <c r="G160" s="42">
        <v>403</v>
      </c>
      <c r="H160" s="40" t="s">
        <v>493</v>
      </c>
      <c r="I160" s="39" t="s">
        <v>320</v>
      </c>
      <c r="J160" s="43">
        <v>400316.05</v>
      </c>
      <c r="K160" s="43">
        <v>0</v>
      </c>
      <c r="L160" s="43">
        <v>400316.05</v>
      </c>
      <c r="M160" s="44">
        <v>0</v>
      </c>
      <c r="N160" s="44">
        <f t="shared" si="2"/>
        <v>400316.05</v>
      </c>
      <c r="O160" s="44">
        <v>400316.05</v>
      </c>
      <c r="P160" s="40" t="s">
        <v>1332</v>
      </c>
      <c r="Q160" s="40" t="s">
        <v>1333</v>
      </c>
      <c r="R160" s="40" t="s">
        <v>494</v>
      </c>
      <c r="S160" s="40" t="s">
        <v>502</v>
      </c>
      <c r="T160" s="40" t="s">
        <v>507</v>
      </c>
      <c r="U160" s="40" t="s">
        <v>577</v>
      </c>
      <c r="V160" s="40" t="s">
        <v>3826</v>
      </c>
      <c r="W160" s="40"/>
    </row>
    <row r="161" spans="1:23" ht="12" x14ac:dyDescent="0.2">
      <c r="A161" s="39" t="s">
        <v>27</v>
      </c>
      <c r="B161" s="40" t="s">
        <v>476</v>
      </c>
      <c r="C161" s="40" t="s">
        <v>1952</v>
      </c>
      <c r="D161" s="41">
        <v>45659</v>
      </c>
      <c r="E161" s="41">
        <v>45689</v>
      </c>
      <c r="F161" s="41">
        <v>46091</v>
      </c>
      <c r="G161" s="42">
        <v>402</v>
      </c>
      <c r="H161" s="40" t="s">
        <v>493</v>
      </c>
      <c r="I161" s="39" t="s">
        <v>320</v>
      </c>
      <c r="J161" s="43">
        <v>9043.44</v>
      </c>
      <c r="K161" s="43">
        <v>0</v>
      </c>
      <c r="L161" s="43">
        <v>6663.8</v>
      </c>
      <c r="M161" s="44">
        <v>0</v>
      </c>
      <c r="N161" s="44">
        <f t="shared" si="2"/>
        <v>6663.8</v>
      </c>
      <c r="O161" s="44">
        <v>6663.8</v>
      </c>
      <c r="P161" s="40" t="s">
        <v>1953</v>
      </c>
      <c r="Q161" s="40" t="s">
        <v>1954</v>
      </c>
      <c r="R161" s="40" t="s">
        <v>494</v>
      </c>
      <c r="S161" s="40" t="s">
        <v>502</v>
      </c>
      <c r="T161" s="40" t="s">
        <v>542</v>
      </c>
      <c r="U161" s="40" t="s">
        <v>626</v>
      </c>
      <c r="V161" s="40" t="s">
        <v>598</v>
      </c>
      <c r="W161" s="40" t="s">
        <v>1955</v>
      </c>
    </row>
    <row r="162" spans="1:23" ht="12" x14ac:dyDescent="0.2">
      <c r="A162" s="39" t="s">
        <v>27</v>
      </c>
      <c r="B162" s="40" t="s">
        <v>476</v>
      </c>
      <c r="C162" s="40" t="s">
        <v>1981</v>
      </c>
      <c r="D162" s="41">
        <v>45659</v>
      </c>
      <c r="E162" s="41">
        <v>45689</v>
      </c>
      <c r="F162" s="41">
        <v>46091</v>
      </c>
      <c r="G162" s="42">
        <v>402</v>
      </c>
      <c r="H162" s="40" t="s">
        <v>493</v>
      </c>
      <c r="I162" s="39" t="s">
        <v>320</v>
      </c>
      <c r="J162" s="43">
        <v>19978.45</v>
      </c>
      <c r="K162" s="43">
        <v>0</v>
      </c>
      <c r="L162" s="43">
        <v>17904.740000000002</v>
      </c>
      <c r="M162" s="44">
        <v>0</v>
      </c>
      <c r="N162" s="44">
        <f t="shared" si="2"/>
        <v>17904.740000000002</v>
      </c>
      <c r="O162" s="44">
        <v>17904.740000000002</v>
      </c>
      <c r="P162" s="40" t="s">
        <v>1982</v>
      </c>
      <c r="Q162" s="40" t="s">
        <v>1983</v>
      </c>
      <c r="R162" s="40" t="s">
        <v>494</v>
      </c>
      <c r="S162" s="40" t="s">
        <v>502</v>
      </c>
      <c r="T162" s="40" t="s">
        <v>284</v>
      </c>
      <c r="U162" s="40" t="s">
        <v>1984</v>
      </c>
      <c r="V162" s="40" t="s">
        <v>598</v>
      </c>
      <c r="W162" s="40" t="s">
        <v>1985</v>
      </c>
    </row>
    <row r="163" spans="1:23" ht="12" x14ac:dyDescent="0.2">
      <c r="A163" s="39" t="s">
        <v>27</v>
      </c>
      <c r="B163" s="40" t="s">
        <v>476</v>
      </c>
      <c r="C163" s="40" t="s">
        <v>1964</v>
      </c>
      <c r="D163" s="41">
        <v>45659</v>
      </c>
      <c r="E163" s="41">
        <v>45689</v>
      </c>
      <c r="F163" s="41">
        <v>46091</v>
      </c>
      <c r="G163" s="42">
        <v>402</v>
      </c>
      <c r="H163" s="40" t="s">
        <v>493</v>
      </c>
      <c r="I163" s="39" t="s">
        <v>320</v>
      </c>
      <c r="J163" s="43">
        <v>114872.25</v>
      </c>
      <c r="K163" s="43">
        <v>0</v>
      </c>
      <c r="L163" s="43">
        <v>21420.67</v>
      </c>
      <c r="M163" s="44">
        <v>0</v>
      </c>
      <c r="N163" s="44">
        <f t="shared" si="2"/>
        <v>21420.67</v>
      </c>
      <c r="O163" s="44">
        <v>21420.67</v>
      </c>
      <c r="P163" s="40" t="s">
        <v>1965</v>
      </c>
      <c r="Q163" s="40" t="s">
        <v>1966</v>
      </c>
      <c r="R163" s="40" t="s">
        <v>494</v>
      </c>
      <c r="S163" s="40" t="s">
        <v>502</v>
      </c>
      <c r="T163" s="40" t="s">
        <v>169</v>
      </c>
      <c r="U163" s="40" t="s">
        <v>1967</v>
      </c>
      <c r="V163" s="40" t="s">
        <v>3868</v>
      </c>
      <c r="W163" s="40" t="s">
        <v>1968</v>
      </c>
    </row>
    <row r="164" spans="1:23" ht="12" x14ac:dyDescent="0.2">
      <c r="A164" s="39" t="s">
        <v>10</v>
      </c>
      <c r="B164" s="40" t="s">
        <v>393</v>
      </c>
      <c r="C164" s="40" t="s">
        <v>1989</v>
      </c>
      <c r="D164" s="41">
        <v>45660</v>
      </c>
      <c r="E164" s="41">
        <v>45690</v>
      </c>
      <c r="F164" s="41">
        <v>46091</v>
      </c>
      <c r="G164" s="42">
        <v>401</v>
      </c>
      <c r="H164" s="40" t="s">
        <v>493</v>
      </c>
      <c r="I164" s="39" t="s">
        <v>320</v>
      </c>
      <c r="J164" s="43">
        <v>27810.080000000002</v>
      </c>
      <c r="K164" s="43">
        <v>0</v>
      </c>
      <c r="L164" s="43">
        <v>27810.080000000002</v>
      </c>
      <c r="M164" s="44">
        <v>0</v>
      </c>
      <c r="N164" s="44">
        <f t="shared" si="2"/>
        <v>27810.080000000002</v>
      </c>
      <c r="O164" s="44">
        <v>27810.080000000002</v>
      </c>
      <c r="P164" s="40" t="s">
        <v>1151</v>
      </c>
      <c r="Q164" s="40" t="s">
        <v>1152</v>
      </c>
      <c r="R164" s="40" t="s">
        <v>494</v>
      </c>
      <c r="S164" s="40" t="s">
        <v>495</v>
      </c>
      <c r="T164" s="40" t="s">
        <v>287</v>
      </c>
      <c r="U164" s="40" t="s">
        <v>1153</v>
      </c>
      <c r="V164" s="40" t="s">
        <v>3869</v>
      </c>
      <c r="W164" s="40" t="s">
        <v>1154</v>
      </c>
    </row>
    <row r="165" spans="1:23" ht="12" x14ac:dyDescent="0.2">
      <c r="A165" s="39" t="s">
        <v>1314</v>
      </c>
      <c r="B165" s="40" t="s">
        <v>1315</v>
      </c>
      <c r="C165" s="40" t="s">
        <v>2007</v>
      </c>
      <c r="D165" s="41">
        <v>45664</v>
      </c>
      <c r="E165" s="41">
        <v>45694</v>
      </c>
      <c r="F165" s="41">
        <v>46091</v>
      </c>
      <c r="G165" s="42">
        <v>397</v>
      </c>
      <c r="H165" s="40" t="s">
        <v>493</v>
      </c>
      <c r="I165" s="39" t="s">
        <v>320</v>
      </c>
      <c r="J165" s="43">
        <v>22673.48</v>
      </c>
      <c r="K165" s="43">
        <v>0</v>
      </c>
      <c r="L165" s="43">
        <v>22673.48</v>
      </c>
      <c r="M165" s="44">
        <v>0</v>
      </c>
      <c r="N165" s="44">
        <f t="shared" si="2"/>
        <v>22673.48</v>
      </c>
      <c r="O165" s="44">
        <v>22673.48</v>
      </c>
      <c r="P165" s="40" t="s">
        <v>1446</v>
      </c>
      <c r="Q165" s="40" t="s">
        <v>1447</v>
      </c>
      <c r="R165" s="40" t="s">
        <v>494</v>
      </c>
      <c r="S165" s="40" t="s">
        <v>495</v>
      </c>
      <c r="T165" s="40" t="s">
        <v>282</v>
      </c>
      <c r="U165" s="40" t="s">
        <v>1233</v>
      </c>
      <c r="V165" s="40" t="s">
        <v>3870</v>
      </c>
      <c r="W165" s="40" t="s">
        <v>1448</v>
      </c>
    </row>
    <row r="166" spans="1:23" ht="12" x14ac:dyDescent="0.2">
      <c r="A166" s="39" t="s">
        <v>339</v>
      </c>
      <c r="B166" s="40" t="s">
        <v>338</v>
      </c>
      <c r="C166" s="40" t="s">
        <v>2008</v>
      </c>
      <c r="D166" s="41">
        <v>45664</v>
      </c>
      <c r="E166" s="41">
        <v>45694</v>
      </c>
      <c r="F166" s="41">
        <v>46091</v>
      </c>
      <c r="G166" s="42">
        <v>397</v>
      </c>
      <c r="H166" s="40" t="s">
        <v>493</v>
      </c>
      <c r="I166" s="39" t="s">
        <v>320</v>
      </c>
      <c r="J166" s="43">
        <v>-1435.19</v>
      </c>
      <c r="K166" s="43">
        <v>0</v>
      </c>
      <c r="L166" s="43">
        <v>-20.6</v>
      </c>
      <c r="M166" s="44">
        <v>0</v>
      </c>
      <c r="N166" s="44">
        <f t="shared" si="2"/>
        <v>-20.6</v>
      </c>
      <c r="O166" s="44">
        <v>-20.6</v>
      </c>
      <c r="P166" s="40" t="s">
        <v>860</v>
      </c>
      <c r="Q166" s="40" t="s">
        <v>861</v>
      </c>
      <c r="R166" s="40" t="s">
        <v>494</v>
      </c>
      <c r="S166" s="40" t="s">
        <v>495</v>
      </c>
      <c r="T166" s="40" t="s">
        <v>164</v>
      </c>
      <c r="U166" s="40" t="s">
        <v>765</v>
      </c>
      <c r="V166" s="40" t="s">
        <v>3871</v>
      </c>
      <c r="W166" s="40" t="s">
        <v>862</v>
      </c>
    </row>
    <row r="167" spans="1:23" ht="12" x14ac:dyDescent="0.2">
      <c r="A167" s="39" t="s">
        <v>357</v>
      </c>
      <c r="B167" s="40" t="s">
        <v>356</v>
      </c>
      <c r="C167" s="40" t="s">
        <v>2009</v>
      </c>
      <c r="D167" s="41">
        <v>45665</v>
      </c>
      <c r="E167" s="41">
        <v>45695</v>
      </c>
      <c r="F167" s="41">
        <v>46091</v>
      </c>
      <c r="G167" s="42">
        <v>396</v>
      </c>
      <c r="H167" s="40" t="s">
        <v>493</v>
      </c>
      <c r="I167" s="39" t="s">
        <v>341</v>
      </c>
      <c r="J167" s="43">
        <v>609223.18000000005</v>
      </c>
      <c r="K167" s="43">
        <v>0</v>
      </c>
      <c r="L167" s="43">
        <v>73380.289999999994</v>
      </c>
      <c r="M167" s="44">
        <v>0</v>
      </c>
      <c r="N167" s="44">
        <f t="shared" si="2"/>
        <v>63198.04</v>
      </c>
      <c r="O167" s="44">
        <v>63198.04</v>
      </c>
      <c r="P167" s="40" t="s">
        <v>2010</v>
      </c>
      <c r="Q167" s="40" t="s">
        <v>2011</v>
      </c>
      <c r="R167" s="40" t="s">
        <v>494</v>
      </c>
      <c r="S167" s="40" t="s">
        <v>502</v>
      </c>
      <c r="T167" s="40" t="s">
        <v>204</v>
      </c>
      <c r="U167" s="40" t="s">
        <v>781</v>
      </c>
      <c r="V167" s="40" t="s">
        <v>3791</v>
      </c>
      <c r="W167" s="40" t="s">
        <v>2012</v>
      </c>
    </row>
    <row r="168" spans="1:23" ht="12" x14ac:dyDescent="0.2">
      <c r="A168" s="39" t="s">
        <v>43</v>
      </c>
      <c r="B168" s="40" t="s">
        <v>636</v>
      </c>
      <c r="C168" s="40" t="s">
        <v>2014</v>
      </c>
      <c r="D168" s="41">
        <v>45666</v>
      </c>
      <c r="E168" s="41">
        <v>45696</v>
      </c>
      <c r="F168" s="41">
        <v>46091</v>
      </c>
      <c r="G168" s="42">
        <v>395</v>
      </c>
      <c r="H168" s="40" t="s">
        <v>493</v>
      </c>
      <c r="I168" s="39" t="s">
        <v>323</v>
      </c>
      <c r="J168" s="43">
        <v>15769.14</v>
      </c>
      <c r="K168" s="43">
        <v>0</v>
      </c>
      <c r="L168" s="43">
        <v>15769.14</v>
      </c>
      <c r="M168" s="44">
        <v>0</v>
      </c>
      <c r="N168" s="44">
        <f t="shared" si="2"/>
        <v>10173.64</v>
      </c>
      <c r="O168" s="44">
        <v>10173.64</v>
      </c>
      <c r="P168" s="40" t="s">
        <v>2015</v>
      </c>
      <c r="Q168" s="40" t="s">
        <v>2016</v>
      </c>
      <c r="R168" s="40" t="s">
        <v>494</v>
      </c>
      <c r="S168" s="40" t="s">
        <v>495</v>
      </c>
      <c r="T168" s="40" t="s">
        <v>330</v>
      </c>
      <c r="U168" s="40" t="s">
        <v>2017</v>
      </c>
      <c r="V168" s="40" t="s">
        <v>3872</v>
      </c>
      <c r="W168" s="40" t="s">
        <v>321</v>
      </c>
    </row>
    <row r="169" spans="1:23" ht="12" x14ac:dyDescent="0.2">
      <c r="A169" s="39" t="s">
        <v>337</v>
      </c>
      <c r="B169" s="40" t="s">
        <v>336</v>
      </c>
      <c r="C169" s="40" t="s">
        <v>2013</v>
      </c>
      <c r="D169" s="41">
        <v>45666</v>
      </c>
      <c r="E169" s="41">
        <v>45696</v>
      </c>
      <c r="F169" s="41">
        <v>46091</v>
      </c>
      <c r="G169" s="42">
        <v>395</v>
      </c>
      <c r="H169" s="40" t="s">
        <v>493</v>
      </c>
      <c r="I169" s="39" t="s">
        <v>320</v>
      </c>
      <c r="J169" s="43">
        <v>32918.71</v>
      </c>
      <c r="K169" s="43">
        <v>0</v>
      </c>
      <c r="L169" s="43">
        <v>32918.71</v>
      </c>
      <c r="M169" s="44">
        <v>0</v>
      </c>
      <c r="N169" s="44">
        <f t="shared" si="2"/>
        <v>32918.71</v>
      </c>
      <c r="O169" s="44">
        <v>32918.71</v>
      </c>
      <c r="P169" s="40" t="s">
        <v>1001</v>
      </c>
      <c r="Q169" s="40" t="s">
        <v>1002</v>
      </c>
      <c r="R169" s="40" t="s">
        <v>494</v>
      </c>
      <c r="S169" s="40" t="s">
        <v>502</v>
      </c>
      <c r="T169" s="40" t="s">
        <v>289</v>
      </c>
      <c r="U169" s="40" t="s">
        <v>1003</v>
      </c>
      <c r="V169" s="40" t="s">
        <v>3823</v>
      </c>
      <c r="W169" s="40" t="s">
        <v>1004</v>
      </c>
    </row>
    <row r="170" spans="1:23" ht="12" x14ac:dyDescent="0.2">
      <c r="A170" s="39" t="s">
        <v>2023</v>
      </c>
      <c r="B170" s="40" t="s">
        <v>2024</v>
      </c>
      <c r="C170" s="40" t="s">
        <v>2030</v>
      </c>
      <c r="D170" s="41">
        <v>45667</v>
      </c>
      <c r="E170" s="41">
        <v>45697</v>
      </c>
      <c r="F170" s="41">
        <v>46091</v>
      </c>
      <c r="G170" s="42">
        <v>394</v>
      </c>
      <c r="H170" s="40" t="s">
        <v>493</v>
      </c>
      <c r="I170" s="39" t="s">
        <v>320</v>
      </c>
      <c r="J170" s="43">
        <v>18963.84</v>
      </c>
      <c r="K170" s="43">
        <v>0</v>
      </c>
      <c r="L170" s="43">
        <v>18963.84</v>
      </c>
      <c r="M170" s="44">
        <v>0</v>
      </c>
      <c r="N170" s="44">
        <f t="shared" si="2"/>
        <v>18963.84</v>
      </c>
      <c r="O170" s="44">
        <v>18963.84</v>
      </c>
      <c r="P170" s="40" t="s">
        <v>2026</v>
      </c>
      <c r="Q170" s="40" t="s">
        <v>2027</v>
      </c>
      <c r="R170" s="40" t="s">
        <v>494</v>
      </c>
      <c r="S170" s="40" t="s">
        <v>495</v>
      </c>
      <c r="T170" s="40" t="s">
        <v>733</v>
      </c>
      <c r="U170" s="40" t="s">
        <v>2028</v>
      </c>
      <c r="V170" s="40" t="s">
        <v>3873</v>
      </c>
      <c r="W170" s="40" t="s">
        <v>2029</v>
      </c>
    </row>
    <row r="171" spans="1:23" ht="12" x14ac:dyDescent="0.2">
      <c r="A171" s="39" t="s">
        <v>2023</v>
      </c>
      <c r="B171" s="40" t="s">
        <v>2024</v>
      </c>
      <c r="C171" s="40" t="s">
        <v>2025</v>
      </c>
      <c r="D171" s="41">
        <v>45667</v>
      </c>
      <c r="E171" s="41">
        <v>45697</v>
      </c>
      <c r="F171" s="41">
        <v>46091</v>
      </c>
      <c r="G171" s="42">
        <v>394</v>
      </c>
      <c r="H171" s="40" t="s">
        <v>493</v>
      </c>
      <c r="I171" s="39" t="s">
        <v>320</v>
      </c>
      <c r="J171" s="43">
        <v>16763.84</v>
      </c>
      <c r="K171" s="43">
        <v>0</v>
      </c>
      <c r="L171" s="43">
        <v>16763.84</v>
      </c>
      <c r="M171" s="44">
        <v>0</v>
      </c>
      <c r="N171" s="44">
        <f t="shared" si="2"/>
        <v>16763.84</v>
      </c>
      <c r="O171" s="44">
        <v>16763.84</v>
      </c>
      <c r="P171" s="40" t="s">
        <v>2026</v>
      </c>
      <c r="Q171" s="40" t="s">
        <v>2027</v>
      </c>
      <c r="R171" s="40" t="s">
        <v>494</v>
      </c>
      <c r="S171" s="40" t="s">
        <v>495</v>
      </c>
      <c r="T171" s="40" t="s">
        <v>733</v>
      </c>
      <c r="U171" s="40" t="s">
        <v>2028</v>
      </c>
      <c r="V171" s="40" t="s">
        <v>3873</v>
      </c>
      <c r="W171" s="40" t="s">
        <v>2029</v>
      </c>
    </row>
    <row r="172" spans="1:23" ht="12" x14ac:dyDescent="0.2">
      <c r="A172" s="39" t="s">
        <v>357</v>
      </c>
      <c r="B172" s="40" t="s">
        <v>356</v>
      </c>
      <c r="C172" s="40" t="s">
        <v>2022</v>
      </c>
      <c r="D172" s="41">
        <v>45667</v>
      </c>
      <c r="E172" s="41">
        <v>45697</v>
      </c>
      <c r="F172" s="41">
        <v>46091</v>
      </c>
      <c r="G172" s="42">
        <v>394</v>
      </c>
      <c r="H172" s="40" t="s">
        <v>493</v>
      </c>
      <c r="I172" s="39" t="s">
        <v>341</v>
      </c>
      <c r="J172" s="43">
        <v>112395.75</v>
      </c>
      <c r="K172" s="43">
        <v>0</v>
      </c>
      <c r="L172" s="43">
        <v>112395.75</v>
      </c>
      <c r="M172" s="44">
        <v>0</v>
      </c>
      <c r="N172" s="44">
        <f t="shared" si="2"/>
        <v>95793.77</v>
      </c>
      <c r="O172" s="44">
        <v>95793.77</v>
      </c>
      <c r="P172" s="40" t="s">
        <v>1862</v>
      </c>
      <c r="Q172" s="40" t="s">
        <v>1863</v>
      </c>
      <c r="R172" s="40" t="s">
        <v>494</v>
      </c>
      <c r="S172" s="40" t="s">
        <v>502</v>
      </c>
      <c r="T172" s="40" t="s">
        <v>280</v>
      </c>
      <c r="U172" s="40" t="s">
        <v>560</v>
      </c>
      <c r="V172" s="40" t="s">
        <v>3791</v>
      </c>
      <c r="W172" s="40" t="s">
        <v>1864</v>
      </c>
    </row>
    <row r="173" spans="1:23" ht="12" x14ac:dyDescent="0.2">
      <c r="A173" s="39" t="s">
        <v>357</v>
      </c>
      <c r="B173" s="40" t="s">
        <v>356</v>
      </c>
      <c r="C173" s="40" t="s">
        <v>2145</v>
      </c>
      <c r="D173" s="41">
        <v>45671</v>
      </c>
      <c r="E173" s="41">
        <v>45701</v>
      </c>
      <c r="F173" s="41">
        <v>46091</v>
      </c>
      <c r="G173" s="42">
        <v>390</v>
      </c>
      <c r="H173" s="40" t="s">
        <v>493</v>
      </c>
      <c r="I173" s="39" t="s">
        <v>341</v>
      </c>
      <c r="J173" s="43">
        <v>737386.79</v>
      </c>
      <c r="K173" s="43">
        <v>0</v>
      </c>
      <c r="L173" s="43">
        <v>123109.46</v>
      </c>
      <c r="M173" s="44">
        <v>0</v>
      </c>
      <c r="N173" s="44">
        <f t="shared" si="2"/>
        <v>104226.93</v>
      </c>
      <c r="O173" s="44">
        <v>104226.93</v>
      </c>
      <c r="P173" s="40" t="s">
        <v>2146</v>
      </c>
      <c r="Q173" s="40" t="s">
        <v>2147</v>
      </c>
      <c r="R173" s="40" t="s">
        <v>494</v>
      </c>
      <c r="S173" s="40" t="s">
        <v>502</v>
      </c>
      <c r="T173" s="40" t="s">
        <v>225</v>
      </c>
      <c r="U173" s="40" t="s">
        <v>1496</v>
      </c>
      <c r="V173" s="40" t="s">
        <v>3791</v>
      </c>
      <c r="W173" s="40" t="s">
        <v>2148</v>
      </c>
    </row>
    <row r="174" spans="1:23" ht="12" x14ac:dyDescent="0.2">
      <c r="A174" s="39" t="s">
        <v>357</v>
      </c>
      <c r="B174" s="40" t="s">
        <v>356</v>
      </c>
      <c r="C174" s="40" t="s">
        <v>2140</v>
      </c>
      <c r="D174" s="41">
        <v>45671</v>
      </c>
      <c r="E174" s="41">
        <v>45701</v>
      </c>
      <c r="F174" s="41">
        <v>46091</v>
      </c>
      <c r="G174" s="42">
        <v>390</v>
      </c>
      <c r="H174" s="40" t="s">
        <v>493</v>
      </c>
      <c r="I174" s="39" t="s">
        <v>341</v>
      </c>
      <c r="J174" s="43">
        <v>379377.96</v>
      </c>
      <c r="K174" s="43">
        <v>0</v>
      </c>
      <c r="L174" s="43">
        <v>158420.29</v>
      </c>
      <c r="M174" s="44">
        <v>0</v>
      </c>
      <c r="N174" s="44">
        <f t="shared" si="2"/>
        <v>134757.04999999999</v>
      </c>
      <c r="O174" s="44">
        <v>134757.04999999999</v>
      </c>
      <c r="P174" s="40" t="s">
        <v>2141</v>
      </c>
      <c r="Q174" s="40" t="s">
        <v>2142</v>
      </c>
      <c r="R174" s="40" t="s">
        <v>494</v>
      </c>
      <c r="S174" s="40" t="s">
        <v>502</v>
      </c>
      <c r="T174" s="40" t="s">
        <v>221</v>
      </c>
      <c r="U174" s="40" t="s">
        <v>1750</v>
      </c>
      <c r="V174" s="40" t="s">
        <v>3791</v>
      </c>
      <c r="W174" s="40" t="s">
        <v>2143</v>
      </c>
    </row>
    <row r="175" spans="1:23" ht="12" x14ac:dyDescent="0.2">
      <c r="A175" s="39" t="s">
        <v>357</v>
      </c>
      <c r="B175" s="40" t="s">
        <v>356</v>
      </c>
      <c r="C175" s="40" t="s">
        <v>2135</v>
      </c>
      <c r="D175" s="41">
        <v>45671</v>
      </c>
      <c r="E175" s="41">
        <v>45701</v>
      </c>
      <c r="F175" s="41">
        <v>46091</v>
      </c>
      <c r="G175" s="42">
        <v>390</v>
      </c>
      <c r="H175" s="40" t="s">
        <v>493</v>
      </c>
      <c r="I175" s="39" t="s">
        <v>341</v>
      </c>
      <c r="J175" s="43">
        <v>757188.8</v>
      </c>
      <c r="K175" s="43">
        <v>0</v>
      </c>
      <c r="L175" s="43">
        <v>327492.58</v>
      </c>
      <c r="M175" s="44">
        <v>0</v>
      </c>
      <c r="N175" s="44">
        <f t="shared" si="2"/>
        <v>279858.78000000003</v>
      </c>
      <c r="O175" s="44">
        <v>279858.78000000003</v>
      </c>
      <c r="P175" s="40" t="s">
        <v>2136</v>
      </c>
      <c r="Q175" s="40" t="s">
        <v>2137</v>
      </c>
      <c r="R175" s="40" t="s">
        <v>494</v>
      </c>
      <c r="S175" s="40" t="s">
        <v>495</v>
      </c>
      <c r="T175" s="40" t="s">
        <v>222</v>
      </c>
      <c r="U175" s="40" t="s">
        <v>2138</v>
      </c>
      <c r="V175" s="40" t="s">
        <v>3791</v>
      </c>
      <c r="W175" s="40" t="s">
        <v>2139</v>
      </c>
    </row>
    <row r="176" spans="1:23" ht="12" x14ac:dyDescent="0.2">
      <c r="A176" s="39" t="s">
        <v>337</v>
      </c>
      <c r="B176" s="40" t="s">
        <v>336</v>
      </c>
      <c r="C176" s="40" t="s">
        <v>2150</v>
      </c>
      <c r="D176" s="41">
        <v>45672</v>
      </c>
      <c r="E176" s="41">
        <v>45702</v>
      </c>
      <c r="F176" s="41">
        <v>46091</v>
      </c>
      <c r="G176" s="42">
        <v>389</v>
      </c>
      <c r="H176" s="40" t="s">
        <v>493</v>
      </c>
      <c r="I176" s="39" t="s">
        <v>320</v>
      </c>
      <c r="J176" s="43">
        <v>59598.95</v>
      </c>
      <c r="K176" s="43">
        <v>0</v>
      </c>
      <c r="L176" s="43">
        <v>59598.95</v>
      </c>
      <c r="M176" s="44">
        <v>0</v>
      </c>
      <c r="N176" s="44">
        <f t="shared" si="2"/>
        <v>59598.95</v>
      </c>
      <c r="O176" s="44">
        <v>59598.95</v>
      </c>
      <c r="P176" s="40" t="s">
        <v>930</v>
      </c>
      <c r="Q176" s="40" t="s">
        <v>931</v>
      </c>
      <c r="R176" s="40" t="s">
        <v>494</v>
      </c>
      <c r="S176" s="40" t="s">
        <v>502</v>
      </c>
      <c r="T176" s="40" t="s">
        <v>507</v>
      </c>
      <c r="U176" s="40" t="s">
        <v>609</v>
      </c>
      <c r="V176" s="40" t="s">
        <v>3874</v>
      </c>
      <c r="W176" s="40" t="s">
        <v>932</v>
      </c>
    </row>
    <row r="177" spans="1:23" ht="12" x14ac:dyDescent="0.2">
      <c r="A177" s="39" t="s">
        <v>454</v>
      </c>
      <c r="B177" s="40" t="s">
        <v>1202</v>
      </c>
      <c r="C177" s="40" t="s">
        <v>2151</v>
      </c>
      <c r="D177" s="41">
        <v>45672</v>
      </c>
      <c r="E177" s="41">
        <v>45702</v>
      </c>
      <c r="F177" s="41">
        <v>46091</v>
      </c>
      <c r="G177" s="42">
        <v>389</v>
      </c>
      <c r="H177" s="40" t="s">
        <v>493</v>
      </c>
      <c r="I177" s="39" t="s">
        <v>320</v>
      </c>
      <c r="J177" s="43">
        <v>22024.57</v>
      </c>
      <c r="K177" s="43">
        <v>0</v>
      </c>
      <c r="L177" s="43">
        <v>22024.57</v>
      </c>
      <c r="M177" s="44">
        <v>0</v>
      </c>
      <c r="N177" s="44">
        <f t="shared" si="2"/>
        <v>22024.57</v>
      </c>
      <c r="O177" s="44">
        <v>22024.57</v>
      </c>
      <c r="P177" s="40" t="s">
        <v>2152</v>
      </c>
      <c r="Q177" s="40" t="s">
        <v>2153</v>
      </c>
      <c r="R177" s="40" t="s">
        <v>494</v>
      </c>
      <c r="S177" s="40" t="s">
        <v>495</v>
      </c>
      <c r="T177" s="40" t="s">
        <v>280</v>
      </c>
      <c r="U177" s="40" t="s">
        <v>759</v>
      </c>
      <c r="V177" s="40" t="s">
        <v>3875</v>
      </c>
      <c r="W177" s="40" t="s">
        <v>2154</v>
      </c>
    </row>
    <row r="178" spans="1:23" ht="12" x14ac:dyDescent="0.2">
      <c r="A178" s="39" t="s">
        <v>2023</v>
      </c>
      <c r="B178" s="40" t="s">
        <v>2024</v>
      </c>
      <c r="C178" s="40" t="s">
        <v>2149</v>
      </c>
      <c r="D178" s="41">
        <v>45672</v>
      </c>
      <c r="E178" s="41">
        <v>45702</v>
      </c>
      <c r="F178" s="41">
        <v>46091</v>
      </c>
      <c r="G178" s="42">
        <v>389</v>
      </c>
      <c r="H178" s="40" t="s">
        <v>493</v>
      </c>
      <c r="I178" s="39" t="s">
        <v>320</v>
      </c>
      <c r="J178" s="43">
        <v>19663.84</v>
      </c>
      <c r="K178" s="43">
        <v>0</v>
      </c>
      <c r="L178" s="43">
        <v>19663.84</v>
      </c>
      <c r="M178" s="44">
        <v>0</v>
      </c>
      <c r="N178" s="44">
        <f t="shared" si="2"/>
        <v>19663.84</v>
      </c>
      <c r="O178" s="44">
        <v>19663.84</v>
      </c>
      <c r="P178" s="40" t="s">
        <v>2026</v>
      </c>
      <c r="Q178" s="40" t="s">
        <v>2027</v>
      </c>
      <c r="R178" s="40" t="s">
        <v>494</v>
      </c>
      <c r="S178" s="40" t="s">
        <v>495</v>
      </c>
      <c r="T178" s="40" t="s">
        <v>733</v>
      </c>
      <c r="U178" s="40" t="s">
        <v>2028</v>
      </c>
      <c r="V178" s="40" t="s">
        <v>3873</v>
      </c>
      <c r="W178" s="40" t="s">
        <v>2029</v>
      </c>
    </row>
    <row r="179" spans="1:23" ht="12" x14ac:dyDescent="0.2">
      <c r="A179" s="39" t="s">
        <v>26</v>
      </c>
      <c r="B179" s="40" t="s">
        <v>457</v>
      </c>
      <c r="C179" s="40" t="s">
        <v>2161</v>
      </c>
      <c r="D179" s="41">
        <v>45677</v>
      </c>
      <c r="E179" s="41">
        <v>45707</v>
      </c>
      <c r="F179" s="41">
        <v>46091</v>
      </c>
      <c r="G179" s="42">
        <v>384</v>
      </c>
      <c r="H179" s="40" t="s">
        <v>493</v>
      </c>
      <c r="I179" s="39" t="s">
        <v>320</v>
      </c>
      <c r="J179" s="43">
        <v>21728.76</v>
      </c>
      <c r="K179" s="43">
        <v>0</v>
      </c>
      <c r="L179" s="43">
        <v>21728.76</v>
      </c>
      <c r="M179" s="44">
        <v>0</v>
      </c>
      <c r="N179" s="44">
        <f t="shared" si="2"/>
        <v>21728.76</v>
      </c>
      <c r="O179" s="44">
        <v>21728.76</v>
      </c>
      <c r="P179" s="40" t="s">
        <v>1161</v>
      </c>
      <c r="Q179" s="40" t="s">
        <v>1162</v>
      </c>
      <c r="R179" s="40" t="s">
        <v>494</v>
      </c>
      <c r="S179" s="40" t="s">
        <v>502</v>
      </c>
      <c r="T179" s="40" t="s">
        <v>362</v>
      </c>
      <c r="U179" s="40" t="s">
        <v>832</v>
      </c>
      <c r="V179" s="40" t="s">
        <v>3845</v>
      </c>
      <c r="W179" s="40" t="s">
        <v>1163</v>
      </c>
    </row>
    <row r="180" spans="1:23" ht="12" x14ac:dyDescent="0.2">
      <c r="A180" s="39" t="s">
        <v>299</v>
      </c>
      <c r="B180" s="40" t="s">
        <v>3876</v>
      </c>
      <c r="C180" s="40" t="s">
        <v>3877</v>
      </c>
      <c r="D180" s="41">
        <v>45677</v>
      </c>
      <c r="E180" s="41">
        <v>45707</v>
      </c>
      <c r="F180" s="41">
        <v>46091</v>
      </c>
      <c r="G180" s="42">
        <v>384</v>
      </c>
      <c r="H180" s="40" t="s">
        <v>493</v>
      </c>
      <c r="I180" s="39" t="s">
        <v>320</v>
      </c>
      <c r="J180" s="43">
        <v>113808.73</v>
      </c>
      <c r="K180" s="43">
        <v>0</v>
      </c>
      <c r="L180" s="43">
        <v>113808.73</v>
      </c>
      <c r="M180" s="44">
        <v>0</v>
      </c>
      <c r="N180" s="44">
        <f t="shared" si="2"/>
        <v>113808.73</v>
      </c>
      <c r="O180" s="44">
        <v>113808.73</v>
      </c>
      <c r="P180" s="40" t="s">
        <v>3878</v>
      </c>
      <c r="Q180" s="40" t="s">
        <v>3879</v>
      </c>
      <c r="R180" s="40" t="s">
        <v>494</v>
      </c>
      <c r="S180" s="40" t="s">
        <v>502</v>
      </c>
      <c r="T180" s="40" t="s">
        <v>185</v>
      </c>
      <c r="U180" s="40" t="s">
        <v>1043</v>
      </c>
      <c r="V180" s="40"/>
      <c r="W180" s="40"/>
    </row>
    <row r="181" spans="1:23" ht="12" x14ac:dyDescent="0.2">
      <c r="A181" s="39" t="s">
        <v>337</v>
      </c>
      <c r="B181" s="40" t="s">
        <v>336</v>
      </c>
      <c r="C181" s="40" t="s">
        <v>2160</v>
      </c>
      <c r="D181" s="41">
        <v>45677</v>
      </c>
      <c r="E181" s="41">
        <v>45707</v>
      </c>
      <c r="F181" s="41">
        <v>46091</v>
      </c>
      <c r="G181" s="42">
        <v>384</v>
      </c>
      <c r="H181" s="40" t="s">
        <v>493</v>
      </c>
      <c r="I181" s="39" t="s">
        <v>320</v>
      </c>
      <c r="J181" s="43">
        <v>30339.64</v>
      </c>
      <c r="K181" s="43">
        <v>0</v>
      </c>
      <c r="L181" s="43">
        <v>30339.64</v>
      </c>
      <c r="M181" s="44">
        <v>0</v>
      </c>
      <c r="N181" s="44">
        <f t="shared" si="2"/>
        <v>30339.64</v>
      </c>
      <c r="O181" s="44">
        <v>30339.64</v>
      </c>
      <c r="P181" s="40" t="s">
        <v>1746</v>
      </c>
      <c r="Q181" s="40" t="s">
        <v>1747</v>
      </c>
      <c r="R181" s="40" t="s">
        <v>494</v>
      </c>
      <c r="S181" s="40" t="s">
        <v>502</v>
      </c>
      <c r="T181" s="40" t="s">
        <v>289</v>
      </c>
      <c r="U181" s="40" t="s">
        <v>1748</v>
      </c>
      <c r="V181" s="40" t="s">
        <v>3880</v>
      </c>
      <c r="W181" s="40" t="s">
        <v>1749</v>
      </c>
    </row>
    <row r="182" spans="1:23" ht="12" x14ac:dyDescent="0.2">
      <c r="A182" s="39" t="s">
        <v>357</v>
      </c>
      <c r="B182" s="40" t="s">
        <v>356</v>
      </c>
      <c r="C182" s="40" t="s">
        <v>2162</v>
      </c>
      <c r="D182" s="41">
        <v>45679</v>
      </c>
      <c r="E182" s="41">
        <v>45709</v>
      </c>
      <c r="F182" s="41">
        <v>46091</v>
      </c>
      <c r="G182" s="42">
        <v>382</v>
      </c>
      <c r="H182" s="40" t="s">
        <v>493</v>
      </c>
      <c r="I182" s="39" t="s">
        <v>341</v>
      </c>
      <c r="J182" s="43">
        <v>13061.95</v>
      </c>
      <c r="K182" s="43">
        <v>0</v>
      </c>
      <c r="L182" s="43">
        <v>13061.95</v>
      </c>
      <c r="M182" s="44">
        <v>0</v>
      </c>
      <c r="N182" s="44">
        <f t="shared" si="2"/>
        <v>11250</v>
      </c>
      <c r="O182" s="44">
        <v>11250</v>
      </c>
      <c r="P182" s="40" t="s">
        <v>2018</v>
      </c>
      <c r="Q182" s="40" t="s">
        <v>2019</v>
      </c>
      <c r="R182" s="40" t="s">
        <v>494</v>
      </c>
      <c r="S182" s="40" t="s">
        <v>502</v>
      </c>
      <c r="T182" s="40" t="s">
        <v>506</v>
      </c>
      <c r="U182" s="40" t="s">
        <v>2020</v>
      </c>
      <c r="V182" s="40" t="s">
        <v>3791</v>
      </c>
      <c r="W182" s="40" t="s">
        <v>2021</v>
      </c>
    </row>
    <row r="183" spans="1:23" ht="12" x14ac:dyDescent="0.2">
      <c r="A183" s="39" t="s">
        <v>357</v>
      </c>
      <c r="B183" s="40" t="s">
        <v>356</v>
      </c>
      <c r="C183" s="40" t="s">
        <v>2163</v>
      </c>
      <c r="D183" s="41">
        <v>45679</v>
      </c>
      <c r="E183" s="41">
        <v>45709</v>
      </c>
      <c r="F183" s="41">
        <v>46091</v>
      </c>
      <c r="G183" s="42">
        <v>382</v>
      </c>
      <c r="H183" s="40" t="s">
        <v>493</v>
      </c>
      <c r="I183" s="39" t="s">
        <v>341</v>
      </c>
      <c r="J183" s="43">
        <v>136832.01</v>
      </c>
      <c r="K183" s="43">
        <v>0</v>
      </c>
      <c r="L183" s="43">
        <v>12000.74</v>
      </c>
      <c r="M183" s="44">
        <v>0</v>
      </c>
      <c r="N183" s="44">
        <f t="shared" si="2"/>
        <v>10336</v>
      </c>
      <c r="O183" s="44">
        <v>10336</v>
      </c>
      <c r="P183" s="40" t="s">
        <v>2018</v>
      </c>
      <c r="Q183" s="40" t="s">
        <v>2019</v>
      </c>
      <c r="R183" s="40" t="s">
        <v>494</v>
      </c>
      <c r="S183" s="40" t="s">
        <v>502</v>
      </c>
      <c r="T183" s="40" t="s">
        <v>506</v>
      </c>
      <c r="U183" s="40" t="s">
        <v>2020</v>
      </c>
      <c r="V183" s="40" t="s">
        <v>3791</v>
      </c>
      <c r="W183" s="40" t="s">
        <v>2021</v>
      </c>
    </row>
    <row r="184" spans="1:23" ht="12" x14ac:dyDescent="0.2">
      <c r="A184" s="39" t="s">
        <v>357</v>
      </c>
      <c r="B184" s="40" t="s">
        <v>356</v>
      </c>
      <c r="C184" s="40" t="s">
        <v>2164</v>
      </c>
      <c r="D184" s="41">
        <v>45679</v>
      </c>
      <c r="E184" s="41">
        <v>45709</v>
      </c>
      <c r="F184" s="41">
        <v>46091</v>
      </c>
      <c r="G184" s="42">
        <v>382</v>
      </c>
      <c r="H184" s="40" t="s">
        <v>493</v>
      </c>
      <c r="I184" s="39" t="s">
        <v>341</v>
      </c>
      <c r="J184" s="43">
        <v>376908.81</v>
      </c>
      <c r="K184" s="43">
        <v>0</v>
      </c>
      <c r="L184" s="43">
        <v>63116.07</v>
      </c>
      <c r="M184" s="44">
        <v>0</v>
      </c>
      <c r="N184" s="44">
        <f t="shared" si="2"/>
        <v>53887.24</v>
      </c>
      <c r="O184" s="44">
        <v>53887.24</v>
      </c>
      <c r="P184" s="40" t="s">
        <v>2165</v>
      </c>
      <c r="Q184" s="40" t="s">
        <v>2166</v>
      </c>
      <c r="R184" s="40" t="s">
        <v>494</v>
      </c>
      <c r="S184" s="40" t="s">
        <v>502</v>
      </c>
      <c r="T184" s="40" t="s">
        <v>191</v>
      </c>
      <c r="U184" s="40" t="s">
        <v>828</v>
      </c>
      <c r="V184" s="40" t="s">
        <v>3791</v>
      </c>
      <c r="W184" s="40" t="s">
        <v>2167</v>
      </c>
    </row>
    <row r="185" spans="1:23" ht="12" x14ac:dyDescent="0.2">
      <c r="A185" s="39" t="s">
        <v>395</v>
      </c>
      <c r="B185" s="40" t="s">
        <v>701</v>
      </c>
      <c r="C185" s="40" t="s">
        <v>2171</v>
      </c>
      <c r="D185" s="41">
        <v>45680</v>
      </c>
      <c r="E185" s="41">
        <v>45710</v>
      </c>
      <c r="F185" s="41">
        <v>46091</v>
      </c>
      <c r="G185" s="42">
        <v>381</v>
      </c>
      <c r="H185" s="40" t="s">
        <v>493</v>
      </c>
      <c r="I185" s="39" t="s">
        <v>320</v>
      </c>
      <c r="J185" s="43">
        <v>23437.38</v>
      </c>
      <c r="K185" s="43">
        <v>0</v>
      </c>
      <c r="L185" s="43">
        <v>23437.38</v>
      </c>
      <c r="M185" s="44">
        <v>0</v>
      </c>
      <c r="N185" s="44">
        <f t="shared" si="2"/>
        <v>23437.38</v>
      </c>
      <c r="O185" s="44">
        <v>23437.38</v>
      </c>
      <c r="P185" s="40" t="s">
        <v>2172</v>
      </c>
      <c r="Q185" s="40" t="s">
        <v>2173</v>
      </c>
      <c r="R185" s="40" t="s">
        <v>494</v>
      </c>
      <c r="S185" s="40" t="s">
        <v>502</v>
      </c>
      <c r="T185" s="40" t="s">
        <v>280</v>
      </c>
      <c r="U185" s="40" t="s">
        <v>559</v>
      </c>
      <c r="V185" s="40" t="s">
        <v>3881</v>
      </c>
      <c r="W185" s="40" t="s">
        <v>2174</v>
      </c>
    </row>
    <row r="186" spans="1:23" ht="12" x14ac:dyDescent="0.2">
      <c r="A186" s="39" t="s">
        <v>31</v>
      </c>
      <c r="B186" s="40" t="s">
        <v>353</v>
      </c>
      <c r="C186" s="40" t="s">
        <v>2181</v>
      </c>
      <c r="D186" s="41">
        <v>45681</v>
      </c>
      <c r="E186" s="41">
        <v>45711</v>
      </c>
      <c r="F186" s="41">
        <v>46091</v>
      </c>
      <c r="G186" s="42">
        <v>380</v>
      </c>
      <c r="H186" s="40" t="s">
        <v>493</v>
      </c>
      <c r="I186" s="39" t="s">
        <v>320</v>
      </c>
      <c r="J186" s="43">
        <v>102709.64</v>
      </c>
      <c r="K186" s="43">
        <v>0</v>
      </c>
      <c r="L186" s="43">
        <v>-99.69</v>
      </c>
      <c r="M186" s="44">
        <v>0</v>
      </c>
      <c r="N186" s="44">
        <f t="shared" si="2"/>
        <v>-99.69</v>
      </c>
      <c r="O186" s="44">
        <v>-99.69</v>
      </c>
      <c r="P186" s="40" t="s">
        <v>2182</v>
      </c>
      <c r="Q186" s="40" t="s">
        <v>2183</v>
      </c>
      <c r="R186" s="40" t="s">
        <v>494</v>
      </c>
      <c r="S186" s="40" t="s">
        <v>502</v>
      </c>
      <c r="T186" s="40" t="s">
        <v>222</v>
      </c>
      <c r="U186" s="40" t="s">
        <v>553</v>
      </c>
      <c r="V186" s="40" t="s">
        <v>3882</v>
      </c>
      <c r="W186" s="40" t="s">
        <v>2184</v>
      </c>
    </row>
    <row r="187" spans="1:23" ht="12" x14ac:dyDescent="0.2">
      <c r="A187" s="39" t="s">
        <v>1922</v>
      </c>
      <c r="B187" s="40" t="s">
        <v>1923</v>
      </c>
      <c r="C187" s="40" t="s">
        <v>2187</v>
      </c>
      <c r="D187" s="41">
        <v>45686</v>
      </c>
      <c r="E187" s="41">
        <v>45716</v>
      </c>
      <c r="F187" s="41">
        <v>46091</v>
      </c>
      <c r="G187" s="42">
        <v>375</v>
      </c>
      <c r="H187" s="40" t="s">
        <v>493</v>
      </c>
      <c r="I187" s="39" t="s">
        <v>323</v>
      </c>
      <c r="J187" s="43">
        <v>185183.1</v>
      </c>
      <c r="K187" s="43">
        <v>0</v>
      </c>
      <c r="L187" s="43">
        <v>185183.1</v>
      </c>
      <c r="M187" s="44">
        <v>0</v>
      </c>
      <c r="N187" s="44">
        <f t="shared" si="2"/>
        <v>137172.67000000001</v>
      </c>
      <c r="O187" s="44">
        <v>137172.67000000001</v>
      </c>
      <c r="P187" s="40" t="s">
        <v>1924</v>
      </c>
      <c r="Q187" s="40" t="s">
        <v>1925</v>
      </c>
      <c r="R187" s="40" t="s">
        <v>494</v>
      </c>
      <c r="S187" s="40" t="s">
        <v>502</v>
      </c>
      <c r="T187" s="40" t="s">
        <v>165</v>
      </c>
      <c r="U187" s="40" t="s">
        <v>1461</v>
      </c>
      <c r="V187" s="40" t="s">
        <v>3858</v>
      </c>
      <c r="W187" s="40" t="s">
        <v>1926</v>
      </c>
    </row>
    <row r="188" spans="1:23" ht="12" x14ac:dyDescent="0.2">
      <c r="A188" s="39" t="s">
        <v>2190</v>
      </c>
      <c r="B188" s="40" t="s">
        <v>2191</v>
      </c>
      <c r="C188" s="40" t="s">
        <v>2192</v>
      </c>
      <c r="D188" s="41">
        <v>45691</v>
      </c>
      <c r="E188" s="41">
        <v>45721</v>
      </c>
      <c r="F188" s="41">
        <v>46091</v>
      </c>
      <c r="G188" s="42">
        <v>370</v>
      </c>
      <c r="H188" s="40" t="s">
        <v>493</v>
      </c>
      <c r="I188" s="39" t="s">
        <v>320</v>
      </c>
      <c r="J188" s="43">
        <v>620208</v>
      </c>
      <c r="K188" s="43">
        <v>103368</v>
      </c>
      <c r="L188" s="43">
        <v>620208</v>
      </c>
      <c r="M188" s="44">
        <v>103368</v>
      </c>
      <c r="N188" s="44">
        <f t="shared" si="2"/>
        <v>516840</v>
      </c>
      <c r="O188" s="44">
        <v>620208</v>
      </c>
      <c r="P188" s="40" t="s">
        <v>2193</v>
      </c>
      <c r="Q188" s="40" t="s">
        <v>2194</v>
      </c>
      <c r="R188" s="40" t="s">
        <v>494</v>
      </c>
      <c r="S188" s="40" t="s">
        <v>502</v>
      </c>
      <c r="T188" s="40" t="s">
        <v>278</v>
      </c>
      <c r="U188" s="40" t="s">
        <v>1291</v>
      </c>
      <c r="V188" s="40" t="s">
        <v>3883</v>
      </c>
      <c r="W188" s="40" t="s">
        <v>2195</v>
      </c>
    </row>
    <row r="189" spans="1:23" ht="12" x14ac:dyDescent="0.2">
      <c r="A189" s="39" t="s">
        <v>800</v>
      </c>
      <c r="B189" s="40" t="s">
        <v>808</v>
      </c>
      <c r="C189" s="40" t="s">
        <v>2197</v>
      </c>
      <c r="D189" s="41">
        <v>45691</v>
      </c>
      <c r="E189" s="41">
        <v>45721</v>
      </c>
      <c r="F189" s="41">
        <v>46091</v>
      </c>
      <c r="G189" s="42">
        <v>370</v>
      </c>
      <c r="H189" s="40" t="s">
        <v>493</v>
      </c>
      <c r="I189" s="39" t="s">
        <v>320</v>
      </c>
      <c r="J189" s="43">
        <v>31214.09</v>
      </c>
      <c r="K189" s="43">
        <v>0</v>
      </c>
      <c r="L189" s="43">
        <v>31214.09</v>
      </c>
      <c r="M189" s="44">
        <v>0</v>
      </c>
      <c r="N189" s="44">
        <f t="shared" si="2"/>
        <v>31214.09</v>
      </c>
      <c r="O189" s="44">
        <v>31214.09</v>
      </c>
      <c r="P189" s="40" t="s">
        <v>799</v>
      </c>
      <c r="Q189" s="40" t="s">
        <v>809</v>
      </c>
      <c r="R189" s="40" t="s">
        <v>494</v>
      </c>
      <c r="S189" s="40" t="s">
        <v>502</v>
      </c>
      <c r="T189" s="40" t="s">
        <v>282</v>
      </c>
      <c r="U189" s="40" t="s">
        <v>664</v>
      </c>
      <c r="V189" s="40" t="s">
        <v>3803</v>
      </c>
      <c r="W189" s="40" t="s">
        <v>810</v>
      </c>
    </row>
    <row r="190" spans="1:23" ht="12" x14ac:dyDescent="0.2">
      <c r="A190" s="39" t="s">
        <v>357</v>
      </c>
      <c r="B190" s="40" t="s">
        <v>356</v>
      </c>
      <c r="C190" s="40" t="s">
        <v>2198</v>
      </c>
      <c r="D190" s="41">
        <v>45692</v>
      </c>
      <c r="E190" s="41">
        <v>45722</v>
      </c>
      <c r="F190" s="41">
        <v>46091</v>
      </c>
      <c r="G190" s="42">
        <v>369</v>
      </c>
      <c r="H190" s="40" t="s">
        <v>493</v>
      </c>
      <c r="I190" s="39" t="s">
        <v>341</v>
      </c>
      <c r="J190" s="43">
        <v>208080.88</v>
      </c>
      <c r="K190" s="43">
        <v>0</v>
      </c>
      <c r="L190" s="43">
        <v>21205.84</v>
      </c>
      <c r="M190" s="44">
        <v>0</v>
      </c>
      <c r="N190" s="44">
        <f t="shared" si="2"/>
        <v>18186.759999999998</v>
      </c>
      <c r="O190" s="44">
        <v>18186.759999999998</v>
      </c>
      <c r="P190" s="40" t="s">
        <v>2199</v>
      </c>
      <c r="Q190" s="40" t="s">
        <v>2200</v>
      </c>
      <c r="R190" s="40" t="s">
        <v>494</v>
      </c>
      <c r="S190" s="40" t="s">
        <v>495</v>
      </c>
      <c r="T190" s="40" t="s">
        <v>287</v>
      </c>
      <c r="U190" s="40" t="s">
        <v>2201</v>
      </c>
      <c r="V190" s="40" t="s">
        <v>3791</v>
      </c>
      <c r="W190" s="40" t="s">
        <v>2202</v>
      </c>
    </row>
    <row r="191" spans="1:23" ht="12" x14ac:dyDescent="0.2">
      <c r="A191" s="39" t="s">
        <v>971</v>
      </c>
      <c r="B191" s="40" t="s">
        <v>972</v>
      </c>
      <c r="C191" s="40" t="s">
        <v>2203</v>
      </c>
      <c r="D191" s="41">
        <v>45695</v>
      </c>
      <c r="E191" s="41">
        <v>45725</v>
      </c>
      <c r="F191" s="41">
        <v>46091</v>
      </c>
      <c r="G191" s="42">
        <v>366</v>
      </c>
      <c r="H191" s="40" t="s">
        <v>493</v>
      </c>
      <c r="I191" s="39" t="s">
        <v>320</v>
      </c>
      <c r="J191" s="43">
        <v>26250</v>
      </c>
      <c r="K191" s="43">
        <v>0</v>
      </c>
      <c r="L191" s="43">
        <v>26000</v>
      </c>
      <c r="M191" s="44">
        <v>0</v>
      </c>
      <c r="N191" s="44">
        <f t="shared" si="2"/>
        <v>26000</v>
      </c>
      <c r="O191" s="44">
        <v>26000</v>
      </c>
      <c r="P191" s="40" t="s">
        <v>973</v>
      </c>
      <c r="Q191" s="40" t="s">
        <v>974</v>
      </c>
      <c r="R191" s="40" t="s">
        <v>494</v>
      </c>
      <c r="S191" s="40" t="s">
        <v>502</v>
      </c>
      <c r="T191" s="40" t="s">
        <v>287</v>
      </c>
      <c r="U191" s="40" t="s">
        <v>975</v>
      </c>
      <c r="V191" s="40" t="s">
        <v>3884</v>
      </c>
      <c r="W191" s="40" t="s">
        <v>976</v>
      </c>
    </row>
    <row r="192" spans="1:23" ht="12" x14ac:dyDescent="0.2">
      <c r="A192" s="39" t="s">
        <v>2204</v>
      </c>
      <c r="B192" s="40" t="s">
        <v>2205</v>
      </c>
      <c r="C192" s="40" t="s">
        <v>2206</v>
      </c>
      <c r="D192" s="41">
        <v>45698</v>
      </c>
      <c r="E192" s="41">
        <v>45728</v>
      </c>
      <c r="F192" s="41">
        <v>46091</v>
      </c>
      <c r="G192" s="42">
        <v>363</v>
      </c>
      <c r="H192" s="40" t="s">
        <v>493</v>
      </c>
      <c r="I192" s="39" t="s">
        <v>323</v>
      </c>
      <c r="J192" s="43">
        <v>59939.03</v>
      </c>
      <c r="K192" s="43">
        <v>0</v>
      </c>
      <c r="L192" s="43">
        <v>59939.03</v>
      </c>
      <c r="M192" s="44">
        <v>0</v>
      </c>
      <c r="N192" s="44">
        <f t="shared" si="2"/>
        <v>47951.22</v>
      </c>
      <c r="O192" s="44">
        <v>47951.22</v>
      </c>
      <c r="P192" s="40" t="s">
        <v>2207</v>
      </c>
      <c r="Q192" s="40" t="s">
        <v>2208</v>
      </c>
      <c r="R192" s="40" t="s">
        <v>494</v>
      </c>
      <c r="S192" s="40" t="s">
        <v>502</v>
      </c>
      <c r="T192" s="40" t="s">
        <v>284</v>
      </c>
      <c r="U192" s="40" t="s">
        <v>803</v>
      </c>
      <c r="V192" s="40" t="s">
        <v>3885</v>
      </c>
      <c r="W192" s="40" t="s">
        <v>2209</v>
      </c>
    </row>
    <row r="193" spans="1:23" ht="12" x14ac:dyDescent="0.2">
      <c r="A193" s="39" t="s">
        <v>357</v>
      </c>
      <c r="B193" s="40" t="s">
        <v>356</v>
      </c>
      <c r="C193" s="40" t="s">
        <v>3886</v>
      </c>
      <c r="D193" s="41">
        <v>45701</v>
      </c>
      <c r="E193" s="41">
        <v>45731</v>
      </c>
      <c r="F193" s="41">
        <v>46091</v>
      </c>
      <c r="G193" s="42">
        <v>360</v>
      </c>
      <c r="H193" s="40" t="s">
        <v>530</v>
      </c>
      <c r="I193" s="39" t="s">
        <v>341</v>
      </c>
      <c r="J193" s="43">
        <v>21028.95</v>
      </c>
      <c r="K193" s="43">
        <v>0</v>
      </c>
      <c r="L193" s="43">
        <v>5716.56</v>
      </c>
      <c r="M193" s="44">
        <v>0</v>
      </c>
      <c r="N193" s="44">
        <f t="shared" si="2"/>
        <v>4855.25</v>
      </c>
      <c r="O193" s="44">
        <v>4855.25</v>
      </c>
      <c r="P193" s="40" t="s">
        <v>3887</v>
      </c>
      <c r="Q193" s="40" t="s">
        <v>3888</v>
      </c>
      <c r="R193" s="40" t="s">
        <v>494</v>
      </c>
      <c r="S193" s="40" t="s">
        <v>502</v>
      </c>
      <c r="T193" s="40" t="s">
        <v>330</v>
      </c>
      <c r="U193" s="40" t="s">
        <v>633</v>
      </c>
      <c r="V193" s="40"/>
      <c r="W193" s="40" t="s">
        <v>3889</v>
      </c>
    </row>
    <row r="194" spans="1:23" ht="12" x14ac:dyDescent="0.2">
      <c r="A194" s="39" t="s">
        <v>2219</v>
      </c>
      <c r="B194" s="40" t="s">
        <v>2220</v>
      </c>
      <c r="C194" s="40" t="s">
        <v>2221</v>
      </c>
      <c r="D194" s="41">
        <v>45709</v>
      </c>
      <c r="E194" s="41">
        <v>45739</v>
      </c>
      <c r="F194" s="41">
        <v>46091</v>
      </c>
      <c r="G194" s="42">
        <v>352</v>
      </c>
      <c r="H194" s="40" t="s">
        <v>530</v>
      </c>
      <c r="I194" s="39" t="s">
        <v>320</v>
      </c>
      <c r="J194" s="43">
        <v>-5917.58</v>
      </c>
      <c r="K194" s="43">
        <v>0</v>
      </c>
      <c r="L194" s="43">
        <v>-5917.58</v>
      </c>
      <c r="M194" s="44">
        <v>0</v>
      </c>
      <c r="N194" s="44">
        <f t="shared" si="2"/>
        <v>-5917.58</v>
      </c>
      <c r="O194" s="44">
        <v>-5917.58</v>
      </c>
      <c r="P194" s="40" t="s">
        <v>2222</v>
      </c>
      <c r="Q194" s="40" t="s">
        <v>2223</v>
      </c>
      <c r="R194" s="40" t="s">
        <v>494</v>
      </c>
      <c r="S194" s="40" t="s">
        <v>502</v>
      </c>
      <c r="T194" s="40" t="s">
        <v>1892</v>
      </c>
      <c r="U194" s="40" t="s">
        <v>2224</v>
      </c>
      <c r="V194" s="40" t="s">
        <v>3890</v>
      </c>
      <c r="W194" s="40" t="s">
        <v>2225</v>
      </c>
    </row>
    <row r="195" spans="1:23" ht="12" x14ac:dyDescent="0.2">
      <c r="A195" s="39" t="s">
        <v>442</v>
      </c>
      <c r="B195" s="40" t="s">
        <v>441</v>
      </c>
      <c r="C195" s="40" t="s">
        <v>2237</v>
      </c>
      <c r="D195" s="41">
        <v>45715</v>
      </c>
      <c r="E195" s="41">
        <v>45745</v>
      </c>
      <c r="F195" s="41">
        <v>46091</v>
      </c>
      <c r="G195" s="42">
        <v>346</v>
      </c>
      <c r="H195" s="40" t="s">
        <v>530</v>
      </c>
      <c r="I195" s="39" t="s">
        <v>320</v>
      </c>
      <c r="J195" s="43">
        <v>-69460.740000000005</v>
      </c>
      <c r="K195" s="43">
        <v>0</v>
      </c>
      <c r="L195" s="43">
        <v>-69460.740000000005</v>
      </c>
      <c r="M195" s="44">
        <v>0</v>
      </c>
      <c r="N195" s="44">
        <f t="shared" ref="N195:N258" si="3">IF(I195="GBP",L195-K195,O195-K195)</f>
        <v>-69460.740000000005</v>
      </c>
      <c r="O195" s="44">
        <v>-69460.740000000005</v>
      </c>
      <c r="P195" s="40" t="s">
        <v>2238</v>
      </c>
      <c r="Q195" s="40" t="s">
        <v>2239</v>
      </c>
      <c r="R195" s="40" t="s">
        <v>494</v>
      </c>
      <c r="S195" s="40" t="s">
        <v>495</v>
      </c>
      <c r="T195" s="40" t="s">
        <v>184</v>
      </c>
      <c r="U195" s="40" t="s">
        <v>2240</v>
      </c>
      <c r="V195" s="40" t="s">
        <v>3891</v>
      </c>
      <c r="W195" s="40" t="s">
        <v>2241</v>
      </c>
    </row>
    <row r="196" spans="1:23" ht="12" x14ac:dyDescent="0.2">
      <c r="A196" s="39" t="s">
        <v>339</v>
      </c>
      <c r="B196" s="40" t="s">
        <v>338</v>
      </c>
      <c r="C196" s="40" t="s">
        <v>2250</v>
      </c>
      <c r="D196" s="41">
        <v>45717</v>
      </c>
      <c r="E196" s="41">
        <v>45747</v>
      </c>
      <c r="F196" s="41">
        <v>46091</v>
      </c>
      <c r="G196" s="42">
        <v>344</v>
      </c>
      <c r="H196" s="40" t="s">
        <v>530</v>
      </c>
      <c r="I196" s="39" t="s">
        <v>320</v>
      </c>
      <c r="J196" s="43">
        <v>78682.45</v>
      </c>
      <c r="K196" s="43">
        <v>0</v>
      </c>
      <c r="L196" s="43">
        <v>304.89999999999998</v>
      </c>
      <c r="M196" s="44">
        <v>0</v>
      </c>
      <c r="N196" s="44">
        <f t="shared" si="3"/>
        <v>304.89999999999998</v>
      </c>
      <c r="O196" s="44">
        <v>304.89999999999998</v>
      </c>
      <c r="P196" s="40" t="s">
        <v>1632</v>
      </c>
      <c r="Q196" s="40" t="s">
        <v>1633</v>
      </c>
      <c r="R196" s="40" t="s">
        <v>494</v>
      </c>
      <c r="S196" s="40" t="s">
        <v>495</v>
      </c>
      <c r="T196" s="40" t="s">
        <v>363</v>
      </c>
      <c r="U196" s="40" t="s">
        <v>1634</v>
      </c>
      <c r="V196" s="40" t="s">
        <v>3892</v>
      </c>
      <c r="W196" s="40" t="s">
        <v>1635</v>
      </c>
    </row>
    <row r="197" spans="1:23" ht="12" x14ac:dyDescent="0.2">
      <c r="A197" s="39" t="s">
        <v>10</v>
      </c>
      <c r="B197" s="40" t="s">
        <v>393</v>
      </c>
      <c r="C197" s="40" t="s">
        <v>2248</v>
      </c>
      <c r="D197" s="41">
        <v>45717</v>
      </c>
      <c r="E197" s="41">
        <v>45747</v>
      </c>
      <c r="F197" s="41">
        <v>46091</v>
      </c>
      <c r="G197" s="42">
        <v>344</v>
      </c>
      <c r="H197" s="40" t="s">
        <v>530</v>
      </c>
      <c r="I197" s="39" t="s">
        <v>320</v>
      </c>
      <c r="J197" s="43">
        <v>214645.68</v>
      </c>
      <c r="K197" s="43">
        <v>0</v>
      </c>
      <c r="L197" s="43">
        <v>214645.68</v>
      </c>
      <c r="M197" s="44">
        <v>0</v>
      </c>
      <c r="N197" s="44">
        <f t="shared" si="3"/>
        <v>214645.68</v>
      </c>
      <c r="O197" s="44">
        <v>214645.68</v>
      </c>
      <c r="P197" s="40" t="s">
        <v>1655</v>
      </c>
      <c r="Q197" s="40" t="s">
        <v>1656</v>
      </c>
      <c r="R197" s="40" t="s">
        <v>494</v>
      </c>
      <c r="S197" s="40" t="s">
        <v>495</v>
      </c>
      <c r="T197" s="40" t="s">
        <v>363</v>
      </c>
      <c r="U197" s="40" t="s">
        <v>1657</v>
      </c>
      <c r="V197" s="40" t="s">
        <v>3893</v>
      </c>
      <c r="W197" s="40" t="s">
        <v>1658</v>
      </c>
    </row>
    <row r="198" spans="1:23" ht="12" x14ac:dyDescent="0.2">
      <c r="A198" s="39" t="s">
        <v>339</v>
      </c>
      <c r="B198" s="40" t="s">
        <v>338</v>
      </c>
      <c r="C198" s="40" t="s">
        <v>2249</v>
      </c>
      <c r="D198" s="41">
        <v>45717</v>
      </c>
      <c r="E198" s="41">
        <v>45747</v>
      </c>
      <c r="F198" s="41">
        <v>46091</v>
      </c>
      <c r="G198" s="42">
        <v>344</v>
      </c>
      <c r="H198" s="40" t="s">
        <v>530</v>
      </c>
      <c r="I198" s="39" t="s">
        <v>320</v>
      </c>
      <c r="J198" s="43">
        <v>15917.28</v>
      </c>
      <c r="K198" s="43">
        <v>0</v>
      </c>
      <c r="L198" s="43">
        <v>15917.28</v>
      </c>
      <c r="M198" s="44">
        <v>0</v>
      </c>
      <c r="N198" s="44">
        <f t="shared" si="3"/>
        <v>15917.28</v>
      </c>
      <c r="O198" s="44">
        <v>15917.28</v>
      </c>
      <c r="P198" s="40" t="s">
        <v>1645</v>
      </c>
      <c r="Q198" s="40" t="s">
        <v>1646</v>
      </c>
      <c r="R198" s="40" t="s">
        <v>494</v>
      </c>
      <c r="S198" s="40" t="s">
        <v>495</v>
      </c>
      <c r="T198" s="40" t="s">
        <v>181</v>
      </c>
      <c r="U198" s="40" t="s">
        <v>562</v>
      </c>
      <c r="V198" s="40" t="s">
        <v>3894</v>
      </c>
      <c r="W198" s="40" t="s">
        <v>1647</v>
      </c>
    </row>
    <row r="199" spans="1:23" ht="12" x14ac:dyDescent="0.2">
      <c r="A199" s="39" t="s">
        <v>2251</v>
      </c>
      <c r="B199" s="40" t="s">
        <v>2252</v>
      </c>
      <c r="C199" s="40" t="s">
        <v>2253</v>
      </c>
      <c r="D199" s="41">
        <v>45719</v>
      </c>
      <c r="E199" s="41">
        <v>45749</v>
      </c>
      <c r="F199" s="41">
        <v>46091</v>
      </c>
      <c r="G199" s="42">
        <v>342</v>
      </c>
      <c r="H199" s="40" t="s">
        <v>530</v>
      </c>
      <c r="I199" s="39" t="s">
        <v>320</v>
      </c>
      <c r="J199" s="43">
        <v>41161.620000000003</v>
      </c>
      <c r="K199" s="43">
        <v>0</v>
      </c>
      <c r="L199" s="43">
        <v>41161.620000000003</v>
      </c>
      <c r="M199" s="44">
        <v>0</v>
      </c>
      <c r="N199" s="44">
        <f t="shared" si="3"/>
        <v>41161.620000000003</v>
      </c>
      <c r="O199" s="44">
        <v>41161.620000000003</v>
      </c>
      <c r="P199" s="40" t="s">
        <v>2254</v>
      </c>
      <c r="Q199" s="40" t="s">
        <v>2255</v>
      </c>
      <c r="R199" s="40" t="s">
        <v>494</v>
      </c>
      <c r="S199" s="40" t="s">
        <v>502</v>
      </c>
      <c r="T199" s="40" t="s">
        <v>178</v>
      </c>
      <c r="U199" s="40" t="s">
        <v>1196</v>
      </c>
      <c r="V199" s="40" t="s">
        <v>3895</v>
      </c>
      <c r="W199" s="40" t="s">
        <v>322</v>
      </c>
    </row>
    <row r="200" spans="1:23" ht="12" x14ac:dyDescent="0.2">
      <c r="A200" s="39" t="s">
        <v>38</v>
      </c>
      <c r="B200" s="40" t="s">
        <v>605</v>
      </c>
      <c r="C200" s="40" t="s">
        <v>2256</v>
      </c>
      <c r="D200" s="41">
        <v>45722</v>
      </c>
      <c r="E200" s="41">
        <v>45752</v>
      </c>
      <c r="F200" s="41">
        <v>46091</v>
      </c>
      <c r="G200" s="42">
        <v>339</v>
      </c>
      <c r="H200" s="40" t="s">
        <v>530</v>
      </c>
      <c r="I200" s="39" t="s">
        <v>320</v>
      </c>
      <c r="J200" s="43">
        <v>-52.72</v>
      </c>
      <c r="K200" s="43">
        <v>0</v>
      </c>
      <c r="L200" s="43">
        <v>-52.72</v>
      </c>
      <c r="M200" s="44">
        <v>0</v>
      </c>
      <c r="N200" s="44">
        <f t="shared" si="3"/>
        <v>-52.72</v>
      </c>
      <c r="O200" s="44">
        <v>-52.72</v>
      </c>
      <c r="P200" s="40" t="s">
        <v>2257</v>
      </c>
      <c r="Q200" s="40" t="s">
        <v>2258</v>
      </c>
      <c r="R200" s="40" t="s">
        <v>494</v>
      </c>
      <c r="S200" s="40" t="s">
        <v>495</v>
      </c>
      <c r="T200" s="40" t="s">
        <v>330</v>
      </c>
      <c r="U200" s="40" t="s">
        <v>579</v>
      </c>
      <c r="V200" s="40" t="s">
        <v>3896</v>
      </c>
      <c r="W200" s="40" t="s">
        <v>2259</v>
      </c>
    </row>
    <row r="201" spans="1:23" ht="12" x14ac:dyDescent="0.2">
      <c r="A201" s="39" t="s">
        <v>2262</v>
      </c>
      <c r="B201" s="40" t="s">
        <v>2263</v>
      </c>
      <c r="C201" s="40" t="s">
        <v>2264</v>
      </c>
      <c r="D201" s="41">
        <v>45728</v>
      </c>
      <c r="E201" s="41">
        <v>45758</v>
      </c>
      <c r="F201" s="41">
        <v>46091</v>
      </c>
      <c r="G201" s="42">
        <v>333</v>
      </c>
      <c r="H201" s="40" t="s">
        <v>530</v>
      </c>
      <c r="I201" s="39" t="s">
        <v>323</v>
      </c>
      <c r="J201" s="43">
        <v>19492.830000000002</v>
      </c>
      <c r="K201" s="43">
        <v>0</v>
      </c>
      <c r="L201" s="43">
        <v>19492.830000000002</v>
      </c>
      <c r="M201" s="44">
        <v>0</v>
      </c>
      <c r="N201" s="44">
        <f t="shared" si="3"/>
        <v>14439.13</v>
      </c>
      <c r="O201" s="44">
        <v>14439.13</v>
      </c>
      <c r="P201" s="40" t="s">
        <v>2265</v>
      </c>
      <c r="Q201" s="40" t="s">
        <v>2266</v>
      </c>
      <c r="R201" s="40" t="s">
        <v>494</v>
      </c>
      <c r="S201" s="40" t="s">
        <v>495</v>
      </c>
      <c r="T201" s="40" t="s">
        <v>542</v>
      </c>
      <c r="U201" s="40" t="s">
        <v>1090</v>
      </c>
      <c r="V201" s="40" t="s">
        <v>3897</v>
      </c>
      <c r="W201" s="40" t="s">
        <v>2267</v>
      </c>
    </row>
    <row r="202" spans="1:23" ht="12" x14ac:dyDescent="0.2">
      <c r="A202" s="39" t="s">
        <v>2974</v>
      </c>
      <c r="B202" s="40" t="s">
        <v>1872</v>
      </c>
      <c r="C202" s="40" t="s">
        <v>2268</v>
      </c>
      <c r="D202" s="41">
        <v>45729</v>
      </c>
      <c r="E202" s="41">
        <v>45759</v>
      </c>
      <c r="F202" s="41">
        <v>46091</v>
      </c>
      <c r="G202" s="42">
        <v>332</v>
      </c>
      <c r="H202" s="40" t="s">
        <v>530</v>
      </c>
      <c r="I202" s="39" t="s">
        <v>320</v>
      </c>
      <c r="J202" s="43">
        <v>120000</v>
      </c>
      <c r="K202" s="43">
        <v>20000</v>
      </c>
      <c r="L202" s="43">
        <v>120000</v>
      </c>
      <c r="M202" s="44">
        <v>20000</v>
      </c>
      <c r="N202" s="44">
        <f t="shared" si="3"/>
        <v>100000</v>
      </c>
      <c r="O202" s="44">
        <v>120000</v>
      </c>
      <c r="P202" s="40" t="s">
        <v>2269</v>
      </c>
      <c r="Q202" s="40" t="s">
        <v>2270</v>
      </c>
      <c r="R202" s="40" t="s">
        <v>494</v>
      </c>
      <c r="S202" s="40" t="s">
        <v>495</v>
      </c>
      <c r="T202" s="40" t="s">
        <v>507</v>
      </c>
      <c r="U202" s="40" t="s">
        <v>577</v>
      </c>
      <c r="V202" s="40" t="s">
        <v>3898</v>
      </c>
      <c r="W202" s="40" t="s">
        <v>2271</v>
      </c>
    </row>
    <row r="203" spans="1:23" ht="12" x14ac:dyDescent="0.2">
      <c r="A203" s="39" t="s">
        <v>337</v>
      </c>
      <c r="B203" s="40" t="s">
        <v>336</v>
      </c>
      <c r="C203" s="40" t="s">
        <v>2272</v>
      </c>
      <c r="D203" s="41">
        <v>45729</v>
      </c>
      <c r="E203" s="41">
        <v>45759</v>
      </c>
      <c r="F203" s="41">
        <v>46091</v>
      </c>
      <c r="G203" s="42">
        <v>332</v>
      </c>
      <c r="H203" s="40" t="s">
        <v>530</v>
      </c>
      <c r="I203" s="39" t="s">
        <v>320</v>
      </c>
      <c r="J203" s="43">
        <v>27519.43</v>
      </c>
      <c r="K203" s="43">
        <v>0</v>
      </c>
      <c r="L203" s="43">
        <v>27519.43</v>
      </c>
      <c r="M203" s="44">
        <v>0</v>
      </c>
      <c r="N203" s="44">
        <f t="shared" si="3"/>
        <v>27519.43</v>
      </c>
      <c r="O203" s="44">
        <v>27519.43</v>
      </c>
      <c r="P203" s="40" t="s">
        <v>1791</v>
      </c>
      <c r="Q203" s="40" t="s">
        <v>1792</v>
      </c>
      <c r="R203" s="40" t="s">
        <v>494</v>
      </c>
      <c r="S203" s="40" t="s">
        <v>495</v>
      </c>
      <c r="T203" s="40" t="s">
        <v>507</v>
      </c>
      <c r="U203" s="40" t="s">
        <v>1232</v>
      </c>
      <c r="V203" s="40" t="s">
        <v>3899</v>
      </c>
      <c r="W203" s="40" t="s">
        <v>1793</v>
      </c>
    </row>
    <row r="204" spans="1:23" ht="12" x14ac:dyDescent="0.2">
      <c r="A204" s="39" t="s">
        <v>337</v>
      </c>
      <c r="B204" s="40" t="s">
        <v>336</v>
      </c>
      <c r="C204" s="40" t="s">
        <v>2277</v>
      </c>
      <c r="D204" s="41">
        <v>45729</v>
      </c>
      <c r="E204" s="41">
        <v>45759</v>
      </c>
      <c r="F204" s="41">
        <v>46091</v>
      </c>
      <c r="G204" s="42">
        <v>332</v>
      </c>
      <c r="H204" s="40" t="s">
        <v>530</v>
      </c>
      <c r="I204" s="39" t="s">
        <v>320</v>
      </c>
      <c r="J204" s="43">
        <v>61438.84</v>
      </c>
      <c r="K204" s="43">
        <v>0</v>
      </c>
      <c r="L204" s="43">
        <v>61438.84</v>
      </c>
      <c r="M204" s="44">
        <v>0</v>
      </c>
      <c r="N204" s="44">
        <f t="shared" si="3"/>
        <v>61438.84</v>
      </c>
      <c r="O204" s="44">
        <v>61438.84</v>
      </c>
      <c r="P204" s="40" t="s">
        <v>1001</v>
      </c>
      <c r="Q204" s="40" t="s">
        <v>1002</v>
      </c>
      <c r="R204" s="40" t="s">
        <v>494</v>
      </c>
      <c r="S204" s="40" t="s">
        <v>502</v>
      </c>
      <c r="T204" s="40" t="s">
        <v>289</v>
      </c>
      <c r="U204" s="40" t="s">
        <v>1003</v>
      </c>
      <c r="V204" s="40" t="s">
        <v>3823</v>
      </c>
      <c r="W204" s="40" t="s">
        <v>1004</v>
      </c>
    </row>
    <row r="205" spans="1:23" ht="12" x14ac:dyDescent="0.2">
      <c r="A205" s="39" t="s">
        <v>10</v>
      </c>
      <c r="B205" s="40" t="s">
        <v>393</v>
      </c>
      <c r="C205" s="40" t="s">
        <v>2278</v>
      </c>
      <c r="D205" s="41">
        <v>45733</v>
      </c>
      <c r="E205" s="41">
        <v>45763</v>
      </c>
      <c r="F205" s="41">
        <v>46091</v>
      </c>
      <c r="G205" s="42">
        <v>328</v>
      </c>
      <c r="H205" s="40" t="s">
        <v>530</v>
      </c>
      <c r="I205" s="39" t="s">
        <v>320</v>
      </c>
      <c r="J205" s="43">
        <v>244148.65</v>
      </c>
      <c r="K205" s="43">
        <v>0</v>
      </c>
      <c r="L205" s="43">
        <v>244148.65</v>
      </c>
      <c r="M205" s="44">
        <v>0</v>
      </c>
      <c r="N205" s="44">
        <f t="shared" si="3"/>
        <v>244148.65</v>
      </c>
      <c r="O205" s="44">
        <v>244148.65</v>
      </c>
      <c r="P205" s="40" t="s">
        <v>878</v>
      </c>
      <c r="Q205" s="40" t="s">
        <v>879</v>
      </c>
      <c r="R205" s="40" t="s">
        <v>494</v>
      </c>
      <c r="S205" s="40" t="s">
        <v>502</v>
      </c>
      <c r="T205" s="40" t="s">
        <v>287</v>
      </c>
      <c r="U205" s="40" t="s">
        <v>880</v>
      </c>
      <c r="V205" s="40" t="s">
        <v>3900</v>
      </c>
      <c r="W205" s="40" t="s">
        <v>881</v>
      </c>
    </row>
    <row r="206" spans="1:23" ht="12" x14ac:dyDescent="0.2">
      <c r="A206" s="39" t="s">
        <v>368</v>
      </c>
      <c r="B206" s="40" t="s">
        <v>367</v>
      </c>
      <c r="C206" s="40" t="s">
        <v>2288</v>
      </c>
      <c r="D206" s="41">
        <v>45734</v>
      </c>
      <c r="E206" s="41">
        <v>45764</v>
      </c>
      <c r="F206" s="41">
        <v>46091</v>
      </c>
      <c r="G206" s="42">
        <v>327</v>
      </c>
      <c r="H206" s="40" t="s">
        <v>530</v>
      </c>
      <c r="I206" s="39" t="s">
        <v>320</v>
      </c>
      <c r="J206" s="43">
        <v>34200</v>
      </c>
      <c r="K206" s="43">
        <v>0</v>
      </c>
      <c r="L206" s="43">
        <v>34200</v>
      </c>
      <c r="M206" s="44">
        <v>0</v>
      </c>
      <c r="N206" s="44">
        <f t="shared" si="3"/>
        <v>34200</v>
      </c>
      <c r="O206" s="44">
        <v>34200</v>
      </c>
      <c r="P206" s="40" t="s">
        <v>2056</v>
      </c>
      <c r="Q206" s="40" t="s">
        <v>2283</v>
      </c>
      <c r="R206" s="40" t="s">
        <v>494</v>
      </c>
      <c r="S206" s="40" t="s">
        <v>502</v>
      </c>
      <c r="T206" s="40" t="s">
        <v>733</v>
      </c>
      <c r="U206" s="40" t="s">
        <v>1014</v>
      </c>
      <c r="V206" s="40" t="s">
        <v>3901</v>
      </c>
      <c r="W206" s="40" t="s">
        <v>2284</v>
      </c>
    </row>
    <row r="207" spans="1:23" ht="12" x14ac:dyDescent="0.2">
      <c r="A207" s="39" t="s">
        <v>368</v>
      </c>
      <c r="B207" s="40" t="s">
        <v>367</v>
      </c>
      <c r="C207" s="40" t="s">
        <v>2282</v>
      </c>
      <c r="D207" s="41">
        <v>45734</v>
      </c>
      <c r="E207" s="41">
        <v>45764</v>
      </c>
      <c r="F207" s="41">
        <v>46091</v>
      </c>
      <c r="G207" s="42">
        <v>327</v>
      </c>
      <c r="H207" s="40" t="s">
        <v>530</v>
      </c>
      <c r="I207" s="39" t="s">
        <v>320</v>
      </c>
      <c r="J207" s="43">
        <v>30600</v>
      </c>
      <c r="K207" s="43">
        <v>0</v>
      </c>
      <c r="L207" s="43">
        <v>30600</v>
      </c>
      <c r="M207" s="44">
        <v>0</v>
      </c>
      <c r="N207" s="44">
        <f t="shared" si="3"/>
        <v>30600</v>
      </c>
      <c r="O207" s="44">
        <v>30600</v>
      </c>
      <c r="P207" s="40" t="s">
        <v>2056</v>
      </c>
      <c r="Q207" s="40" t="s">
        <v>2283</v>
      </c>
      <c r="R207" s="40" t="s">
        <v>494</v>
      </c>
      <c r="S207" s="40" t="s">
        <v>502</v>
      </c>
      <c r="T207" s="40" t="s">
        <v>733</v>
      </c>
      <c r="U207" s="40" t="s">
        <v>1014</v>
      </c>
      <c r="V207" s="40" t="s">
        <v>3901</v>
      </c>
      <c r="W207" s="40" t="s">
        <v>2284</v>
      </c>
    </row>
    <row r="208" spans="1:23" ht="12" x14ac:dyDescent="0.2">
      <c r="A208" s="39" t="s">
        <v>17</v>
      </c>
      <c r="B208" s="40" t="s">
        <v>342</v>
      </c>
      <c r="C208" s="40" t="s">
        <v>2279</v>
      </c>
      <c r="D208" s="41">
        <v>45734</v>
      </c>
      <c r="E208" s="41">
        <v>45764</v>
      </c>
      <c r="F208" s="41">
        <v>46091</v>
      </c>
      <c r="G208" s="42">
        <v>327</v>
      </c>
      <c r="H208" s="40" t="s">
        <v>530</v>
      </c>
      <c r="I208" s="39" t="s">
        <v>320</v>
      </c>
      <c r="J208" s="43">
        <v>63654</v>
      </c>
      <c r="K208" s="43">
        <v>0</v>
      </c>
      <c r="L208" s="43">
        <v>63654</v>
      </c>
      <c r="M208" s="44">
        <v>0</v>
      </c>
      <c r="N208" s="44">
        <f t="shared" si="3"/>
        <v>63654</v>
      </c>
      <c r="O208" s="44">
        <v>63654</v>
      </c>
      <c r="P208" s="40" t="s">
        <v>2055</v>
      </c>
      <c r="Q208" s="40" t="s">
        <v>2280</v>
      </c>
      <c r="R208" s="40" t="s">
        <v>494</v>
      </c>
      <c r="S208" s="40" t="s">
        <v>502</v>
      </c>
      <c r="T208" s="40" t="s">
        <v>185</v>
      </c>
      <c r="U208" s="40" t="s">
        <v>646</v>
      </c>
      <c r="V208" s="40" t="s">
        <v>3902</v>
      </c>
      <c r="W208" s="40" t="s">
        <v>2281</v>
      </c>
    </row>
    <row r="209" spans="1:23" ht="12" x14ac:dyDescent="0.2">
      <c r="A209" s="39" t="s">
        <v>1457</v>
      </c>
      <c r="B209" s="40" t="s">
        <v>1458</v>
      </c>
      <c r="C209" s="40" t="s">
        <v>2289</v>
      </c>
      <c r="D209" s="41">
        <v>45735</v>
      </c>
      <c r="E209" s="41">
        <v>45765</v>
      </c>
      <c r="F209" s="41">
        <v>46091</v>
      </c>
      <c r="G209" s="42">
        <v>326</v>
      </c>
      <c r="H209" s="40" t="s">
        <v>530</v>
      </c>
      <c r="I209" s="39" t="s">
        <v>323</v>
      </c>
      <c r="J209" s="43">
        <v>62186.34</v>
      </c>
      <c r="K209" s="43">
        <v>0</v>
      </c>
      <c r="L209" s="43">
        <v>62186.34</v>
      </c>
      <c r="M209" s="44">
        <v>0</v>
      </c>
      <c r="N209" s="44">
        <f t="shared" si="3"/>
        <v>48854.83</v>
      </c>
      <c r="O209" s="44">
        <v>48854.83</v>
      </c>
      <c r="P209" s="40" t="s">
        <v>2130</v>
      </c>
      <c r="Q209" s="40" t="s">
        <v>2131</v>
      </c>
      <c r="R209" s="40" t="s">
        <v>494</v>
      </c>
      <c r="S209" s="40" t="s">
        <v>495</v>
      </c>
      <c r="T209" s="40" t="s">
        <v>284</v>
      </c>
      <c r="U209" s="40" t="s">
        <v>1880</v>
      </c>
      <c r="V209" s="40" t="s">
        <v>3858</v>
      </c>
      <c r="W209" s="40" t="s">
        <v>1462</v>
      </c>
    </row>
    <row r="210" spans="1:23" ht="12" x14ac:dyDescent="0.2">
      <c r="A210" s="39" t="s">
        <v>344</v>
      </c>
      <c r="B210" s="40" t="s">
        <v>1371</v>
      </c>
      <c r="C210" s="40" t="s">
        <v>2295</v>
      </c>
      <c r="D210" s="41">
        <v>45735</v>
      </c>
      <c r="E210" s="41">
        <v>45765</v>
      </c>
      <c r="F210" s="41">
        <v>46091</v>
      </c>
      <c r="G210" s="42">
        <v>326</v>
      </c>
      <c r="H210" s="40" t="s">
        <v>530</v>
      </c>
      <c r="I210" s="39" t="s">
        <v>320</v>
      </c>
      <c r="J210" s="43">
        <v>13355.09</v>
      </c>
      <c r="K210" s="43">
        <v>0</v>
      </c>
      <c r="L210" s="43">
        <v>13355.09</v>
      </c>
      <c r="M210" s="44">
        <v>0</v>
      </c>
      <c r="N210" s="44">
        <f t="shared" si="3"/>
        <v>13355.09</v>
      </c>
      <c r="O210" s="44">
        <v>13355.09</v>
      </c>
      <c r="P210" s="40" t="s">
        <v>2291</v>
      </c>
      <c r="Q210" s="40" t="s">
        <v>2292</v>
      </c>
      <c r="R210" s="40" t="s">
        <v>494</v>
      </c>
      <c r="S210" s="40" t="s">
        <v>495</v>
      </c>
      <c r="T210" s="40" t="s">
        <v>733</v>
      </c>
      <c r="U210" s="40" t="s">
        <v>2293</v>
      </c>
      <c r="V210" s="40" t="s">
        <v>3903</v>
      </c>
      <c r="W210" s="40" t="s">
        <v>2294</v>
      </c>
    </row>
    <row r="211" spans="1:23" ht="12" x14ac:dyDescent="0.2">
      <c r="A211" s="39" t="s">
        <v>344</v>
      </c>
      <c r="B211" s="40" t="s">
        <v>1371</v>
      </c>
      <c r="C211" s="40" t="s">
        <v>2290</v>
      </c>
      <c r="D211" s="41">
        <v>45735</v>
      </c>
      <c r="E211" s="41">
        <v>45765</v>
      </c>
      <c r="F211" s="41">
        <v>46091</v>
      </c>
      <c r="G211" s="42">
        <v>326</v>
      </c>
      <c r="H211" s="40" t="s">
        <v>530</v>
      </c>
      <c r="I211" s="39" t="s">
        <v>320</v>
      </c>
      <c r="J211" s="43">
        <v>41257.58</v>
      </c>
      <c r="K211" s="43">
        <v>0</v>
      </c>
      <c r="L211" s="43">
        <v>41257.58</v>
      </c>
      <c r="M211" s="44">
        <v>0</v>
      </c>
      <c r="N211" s="44">
        <f t="shared" si="3"/>
        <v>41257.58</v>
      </c>
      <c r="O211" s="44">
        <v>41257.58</v>
      </c>
      <c r="P211" s="40" t="s">
        <v>2291</v>
      </c>
      <c r="Q211" s="40" t="s">
        <v>2292</v>
      </c>
      <c r="R211" s="40" t="s">
        <v>494</v>
      </c>
      <c r="S211" s="40" t="s">
        <v>495</v>
      </c>
      <c r="T211" s="40" t="s">
        <v>733</v>
      </c>
      <c r="U211" s="40" t="s">
        <v>2293</v>
      </c>
      <c r="V211" s="40" t="s">
        <v>3903</v>
      </c>
      <c r="W211" s="40" t="s">
        <v>2294</v>
      </c>
    </row>
    <row r="212" spans="1:23" ht="12" x14ac:dyDescent="0.2">
      <c r="A212" s="39" t="s">
        <v>10</v>
      </c>
      <c r="B212" s="40" t="s">
        <v>393</v>
      </c>
      <c r="C212" s="40" t="s">
        <v>2299</v>
      </c>
      <c r="D212" s="41">
        <v>45736</v>
      </c>
      <c r="E212" s="41">
        <v>45766</v>
      </c>
      <c r="F212" s="41">
        <v>46091</v>
      </c>
      <c r="G212" s="42">
        <v>325</v>
      </c>
      <c r="H212" s="40" t="s">
        <v>530</v>
      </c>
      <c r="I212" s="39" t="s">
        <v>320</v>
      </c>
      <c r="J212" s="43">
        <v>68267.520000000004</v>
      </c>
      <c r="K212" s="43">
        <v>0</v>
      </c>
      <c r="L212" s="43">
        <v>68267.520000000004</v>
      </c>
      <c r="M212" s="44">
        <v>0</v>
      </c>
      <c r="N212" s="44">
        <f t="shared" si="3"/>
        <v>68267.520000000004</v>
      </c>
      <c r="O212" s="44">
        <v>68267.520000000004</v>
      </c>
      <c r="P212" s="40" t="s">
        <v>2300</v>
      </c>
      <c r="Q212" s="40" t="s">
        <v>2301</v>
      </c>
      <c r="R212" s="40" t="s">
        <v>494</v>
      </c>
      <c r="S212" s="40" t="s">
        <v>502</v>
      </c>
      <c r="T212" s="40" t="s">
        <v>327</v>
      </c>
      <c r="U212" s="40" t="s">
        <v>537</v>
      </c>
      <c r="V212" s="40" t="s">
        <v>3904</v>
      </c>
      <c r="W212" s="40" t="s">
        <v>2302</v>
      </c>
    </row>
    <row r="213" spans="1:23" ht="12" x14ac:dyDescent="0.2">
      <c r="A213" s="39" t="s">
        <v>2321</v>
      </c>
      <c r="B213" s="40" t="s">
        <v>2322</v>
      </c>
      <c r="C213" s="40" t="s">
        <v>2323</v>
      </c>
      <c r="D213" s="41">
        <v>45742</v>
      </c>
      <c r="E213" s="41">
        <v>45772</v>
      </c>
      <c r="F213" s="41">
        <v>46091</v>
      </c>
      <c r="G213" s="42">
        <v>319</v>
      </c>
      <c r="H213" s="40" t="s">
        <v>530</v>
      </c>
      <c r="I213" s="39" t="s">
        <v>320</v>
      </c>
      <c r="J213" s="43">
        <v>8400</v>
      </c>
      <c r="K213" s="43">
        <v>1400</v>
      </c>
      <c r="L213" s="43">
        <v>8400</v>
      </c>
      <c r="M213" s="44">
        <v>1400</v>
      </c>
      <c r="N213" s="44">
        <f t="shared" si="3"/>
        <v>7000</v>
      </c>
      <c r="O213" s="44">
        <v>8400</v>
      </c>
      <c r="P213" s="40" t="s">
        <v>2324</v>
      </c>
      <c r="Q213" s="40" t="s">
        <v>2325</v>
      </c>
      <c r="R213" s="40" t="s">
        <v>494</v>
      </c>
      <c r="S213" s="40" t="s">
        <v>495</v>
      </c>
      <c r="T213" s="40" t="s">
        <v>218</v>
      </c>
      <c r="U213" s="40" t="s">
        <v>1722</v>
      </c>
      <c r="V213" s="40" t="s">
        <v>3905</v>
      </c>
      <c r="W213" s="40" t="s">
        <v>321</v>
      </c>
    </row>
    <row r="214" spans="1:23" ht="12" x14ac:dyDescent="0.2">
      <c r="A214" s="39" t="s">
        <v>10</v>
      </c>
      <c r="B214" s="40" t="s">
        <v>393</v>
      </c>
      <c r="C214" s="40" t="s">
        <v>2326</v>
      </c>
      <c r="D214" s="41">
        <v>45744</v>
      </c>
      <c r="E214" s="41">
        <v>45774</v>
      </c>
      <c r="F214" s="41">
        <v>46091</v>
      </c>
      <c r="G214" s="42">
        <v>317</v>
      </c>
      <c r="H214" s="40" t="s">
        <v>530</v>
      </c>
      <c r="I214" s="39" t="s">
        <v>320</v>
      </c>
      <c r="J214" s="43">
        <v>113240</v>
      </c>
      <c r="K214" s="43">
        <v>0</v>
      </c>
      <c r="L214" s="43">
        <v>113240</v>
      </c>
      <c r="M214" s="44">
        <v>0</v>
      </c>
      <c r="N214" s="44">
        <f t="shared" si="3"/>
        <v>113240</v>
      </c>
      <c r="O214" s="44">
        <v>113240</v>
      </c>
      <c r="P214" s="40" t="s">
        <v>2327</v>
      </c>
      <c r="Q214" s="40" t="s">
        <v>2328</v>
      </c>
      <c r="R214" s="40" t="s">
        <v>494</v>
      </c>
      <c r="S214" s="40" t="s">
        <v>502</v>
      </c>
      <c r="T214" s="40" t="s">
        <v>287</v>
      </c>
      <c r="U214" s="40" t="s">
        <v>2329</v>
      </c>
      <c r="V214" s="40" t="s">
        <v>3906</v>
      </c>
      <c r="W214" s="40" t="s">
        <v>2330</v>
      </c>
    </row>
    <row r="215" spans="1:23" ht="12" x14ac:dyDescent="0.2">
      <c r="A215" s="39" t="s">
        <v>1299</v>
      </c>
      <c r="B215" s="40" t="s">
        <v>1300</v>
      </c>
      <c r="C215" s="40" t="s">
        <v>2341</v>
      </c>
      <c r="D215" s="41">
        <v>45748</v>
      </c>
      <c r="E215" s="41">
        <v>45778</v>
      </c>
      <c r="F215" s="41">
        <v>46091</v>
      </c>
      <c r="G215" s="42">
        <v>313</v>
      </c>
      <c r="H215" s="40" t="s">
        <v>530</v>
      </c>
      <c r="I215" s="39" t="s">
        <v>323</v>
      </c>
      <c r="J215" s="43">
        <v>30176.73</v>
      </c>
      <c r="K215" s="43">
        <v>0</v>
      </c>
      <c r="L215" s="43">
        <v>30176.73</v>
      </c>
      <c r="M215" s="44">
        <v>0</v>
      </c>
      <c r="N215" s="44">
        <f t="shared" si="3"/>
        <v>24141.38</v>
      </c>
      <c r="O215" s="44">
        <v>24141.38</v>
      </c>
      <c r="P215" s="40" t="s">
        <v>1301</v>
      </c>
      <c r="Q215" s="40" t="s">
        <v>1302</v>
      </c>
      <c r="R215" s="40" t="s">
        <v>494</v>
      </c>
      <c r="S215" s="40" t="s">
        <v>502</v>
      </c>
      <c r="T215" s="40" t="s">
        <v>178</v>
      </c>
      <c r="U215" s="40" t="s">
        <v>1303</v>
      </c>
      <c r="V215" s="40" t="s">
        <v>3907</v>
      </c>
      <c r="W215" s="40" t="s">
        <v>1304</v>
      </c>
    </row>
    <row r="216" spans="1:23" ht="12" x14ac:dyDescent="0.2">
      <c r="A216" s="39" t="s">
        <v>17</v>
      </c>
      <c r="B216" s="40" t="s">
        <v>342</v>
      </c>
      <c r="C216" s="40" t="s">
        <v>2344</v>
      </c>
      <c r="D216" s="41">
        <v>45748</v>
      </c>
      <c r="E216" s="41">
        <v>45778</v>
      </c>
      <c r="F216" s="41">
        <v>46091</v>
      </c>
      <c r="G216" s="42">
        <v>313</v>
      </c>
      <c r="H216" s="40" t="s">
        <v>530</v>
      </c>
      <c r="I216" s="39" t="s">
        <v>320</v>
      </c>
      <c r="J216" s="43">
        <v>71176.77</v>
      </c>
      <c r="K216" s="43">
        <v>0</v>
      </c>
      <c r="L216" s="43">
        <v>71176.77</v>
      </c>
      <c r="M216" s="44">
        <v>0</v>
      </c>
      <c r="N216" s="44">
        <f t="shared" si="3"/>
        <v>71176.77</v>
      </c>
      <c r="O216" s="44">
        <v>71176.77</v>
      </c>
      <c r="P216" s="40" t="s">
        <v>1548</v>
      </c>
      <c r="Q216" s="40" t="s">
        <v>2345</v>
      </c>
      <c r="R216" s="40" t="s">
        <v>494</v>
      </c>
      <c r="S216" s="40" t="s">
        <v>495</v>
      </c>
      <c r="T216" s="40" t="s">
        <v>164</v>
      </c>
      <c r="U216" s="40" t="s">
        <v>638</v>
      </c>
      <c r="V216" s="40" t="s">
        <v>3908</v>
      </c>
      <c r="W216" s="40" t="s">
        <v>2346</v>
      </c>
    </row>
    <row r="217" spans="1:23" ht="12" x14ac:dyDescent="0.2">
      <c r="A217" s="39" t="s">
        <v>800</v>
      </c>
      <c r="B217" s="40" t="s">
        <v>808</v>
      </c>
      <c r="C217" s="40" t="s">
        <v>2343</v>
      </c>
      <c r="D217" s="41">
        <v>45748</v>
      </c>
      <c r="E217" s="41">
        <v>45778</v>
      </c>
      <c r="F217" s="41">
        <v>46091</v>
      </c>
      <c r="G217" s="42">
        <v>313</v>
      </c>
      <c r="H217" s="40" t="s">
        <v>530</v>
      </c>
      <c r="I217" s="39" t="s">
        <v>320</v>
      </c>
      <c r="J217" s="43">
        <v>31214.09</v>
      </c>
      <c r="K217" s="43">
        <v>0</v>
      </c>
      <c r="L217" s="43">
        <v>31214.09</v>
      </c>
      <c r="M217" s="44">
        <v>0</v>
      </c>
      <c r="N217" s="44">
        <f t="shared" si="3"/>
        <v>31214.09</v>
      </c>
      <c r="O217" s="44">
        <v>31214.09</v>
      </c>
      <c r="P217" s="40" t="s">
        <v>799</v>
      </c>
      <c r="Q217" s="40" t="s">
        <v>809</v>
      </c>
      <c r="R217" s="40" t="s">
        <v>494</v>
      </c>
      <c r="S217" s="40" t="s">
        <v>502</v>
      </c>
      <c r="T217" s="40" t="s">
        <v>282</v>
      </c>
      <c r="U217" s="40" t="s">
        <v>664</v>
      </c>
      <c r="V217" s="40" t="s">
        <v>3803</v>
      </c>
      <c r="W217" s="40" t="s">
        <v>810</v>
      </c>
    </row>
    <row r="218" spans="1:23" ht="12" x14ac:dyDescent="0.2">
      <c r="A218" s="39" t="s">
        <v>27</v>
      </c>
      <c r="B218" s="40" t="s">
        <v>476</v>
      </c>
      <c r="C218" s="40" t="s">
        <v>2352</v>
      </c>
      <c r="D218" s="41">
        <v>45749</v>
      </c>
      <c r="E218" s="41">
        <v>45779</v>
      </c>
      <c r="F218" s="41">
        <v>46091</v>
      </c>
      <c r="G218" s="42">
        <v>312</v>
      </c>
      <c r="H218" s="40" t="s">
        <v>530</v>
      </c>
      <c r="I218" s="39" t="s">
        <v>320</v>
      </c>
      <c r="J218" s="43">
        <v>62954.29</v>
      </c>
      <c r="K218" s="43">
        <v>0</v>
      </c>
      <c r="L218" s="43">
        <v>18543.3</v>
      </c>
      <c r="M218" s="44">
        <v>0</v>
      </c>
      <c r="N218" s="44">
        <f t="shared" si="3"/>
        <v>18543.3</v>
      </c>
      <c r="O218" s="44">
        <v>18543.3</v>
      </c>
      <c r="P218" s="40" t="s">
        <v>1969</v>
      </c>
      <c r="Q218" s="40" t="s">
        <v>1970</v>
      </c>
      <c r="R218" s="40" t="s">
        <v>494</v>
      </c>
      <c r="S218" s="40" t="s">
        <v>495</v>
      </c>
      <c r="T218" s="40" t="s">
        <v>497</v>
      </c>
      <c r="U218" s="40" t="s">
        <v>1971</v>
      </c>
      <c r="V218" s="40" t="s">
        <v>3909</v>
      </c>
      <c r="W218" s="40" t="s">
        <v>1972</v>
      </c>
    </row>
    <row r="219" spans="1:23" ht="12" x14ac:dyDescent="0.2">
      <c r="A219" s="39" t="s">
        <v>442</v>
      </c>
      <c r="B219" s="40" t="s">
        <v>441</v>
      </c>
      <c r="C219" s="40" t="s">
        <v>2347</v>
      </c>
      <c r="D219" s="41">
        <v>45749</v>
      </c>
      <c r="E219" s="41">
        <v>45779</v>
      </c>
      <c r="F219" s="41">
        <v>46091</v>
      </c>
      <c r="G219" s="42">
        <v>312</v>
      </c>
      <c r="H219" s="40" t="s">
        <v>530</v>
      </c>
      <c r="I219" s="39" t="s">
        <v>320</v>
      </c>
      <c r="J219" s="43">
        <v>-3.43</v>
      </c>
      <c r="K219" s="43">
        <v>0</v>
      </c>
      <c r="L219" s="43">
        <v>-3.43</v>
      </c>
      <c r="M219" s="44">
        <v>0</v>
      </c>
      <c r="N219" s="44">
        <f t="shared" si="3"/>
        <v>-3.43</v>
      </c>
      <c r="O219" s="44">
        <v>-3.43</v>
      </c>
      <c r="P219" s="40" t="s">
        <v>2348</v>
      </c>
      <c r="Q219" s="40" t="s">
        <v>2349</v>
      </c>
      <c r="R219" s="40" t="s">
        <v>494</v>
      </c>
      <c r="S219" s="40" t="s">
        <v>495</v>
      </c>
      <c r="T219" s="40" t="s">
        <v>501</v>
      </c>
      <c r="U219" s="40" t="s">
        <v>1907</v>
      </c>
      <c r="V219" s="40"/>
      <c r="W219" s="40" t="s">
        <v>2350</v>
      </c>
    </row>
    <row r="220" spans="1:23" ht="12" x14ac:dyDescent="0.2">
      <c r="A220" s="39" t="s">
        <v>27</v>
      </c>
      <c r="B220" s="40" t="s">
        <v>476</v>
      </c>
      <c r="C220" s="40" t="s">
        <v>2351</v>
      </c>
      <c r="D220" s="41">
        <v>45749</v>
      </c>
      <c r="E220" s="41">
        <v>45779</v>
      </c>
      <c r="F220" s="41">
        <v>46091</v>
      </c>
      <c r="G220" s="42">
        <v>312</v>
      </c>
      <c r="H220" s="40" t="s">
        <v>530</v>
      </c>
      <c r="I220" s="39" t="s">
        <v>320</v>
      </c>
      <c r="J220" s="43">
        <v>248167.78</v>
      </c>
      <c r="K220" s="43">
        <v>0</v>
      </c>
      <c r="L220" s="43">
        <v>60213.93</v>
      </c>
      <c r="M220" s="44">
        <v>0</v>
      </c>
      <c r="N220" s="44">
        <f t="shared" si="3"/>
        <v>60213.93</v>
      </c>
      <c r="O220" s="44">
        <v>60213.93</v>
      </c>
      <c r="P220" s="40" t="s">
        <v>1949</v>
      </c>
      <c r="Q220" s="40" t="s">
        <v>1950</v>
      </c>
      <c r="R220" s="40" t="s">
        <v>494</v>
      </c>
      <c r="S220" s="40" t="s">
        <v>502</v>
      </c>
      <c r="T220" s="40" t="s">
        <v>178</v>
      </c>
      <c r="U220" s="40" t="s">
        <v>1016</v>
      </c>
      <c r="V220" s="40" t="s">
        <v>598</v>
      </c>
      <c r="W220" s="40" t="s">
        <v>1951</v>
      </c>
    </row>
    <row r="221" spans="1:23" ht="12" x14ac:dyDescent="0.2">
      <c r="A221" s="39" t="s">
        <v>69</v>
      </c>
      <c r="B221" s="40" t="s">
        <v>453</v>
      </c>
      <c r="C221" s="40" t="s">
        <v>2356</v>
      </c>
      <c r="D221" s="41">
        <v>45754</v>
      </c>
      <c r="E221" s="41">
        <v>45784</v>
      </c>
      <c r="F221" s="41">
        <v>46091</v>
      </c>
      <c r="G221" s="42">
        <v>307</v>
      </c>
      <c r="H221" s="40" t="s">
        <v>530</v>
      </c>
      <c r="I221" s="39" t="s">
        <v>320</v>
      </c>
      <c r="J221" s="43">
        <v>1763.47</v>
      </c>
      <c r="K221" s="43">
        <v>0</v>
      </c>
      <c r="L221" s="43">
        <v>1763.47</v>
      </c>
      <c r="M221" s="44">
        <v>0</v>
      </c>
      <c r="N221" s="44">
        <f t="shared" si="3"/>
        <v>1763.47</v>
      </c>
      <c r="O221" s="44">
        <v>1763.47</v>
      </c>
      <c r="P221" s="40" t="s">
        <v>62</v>
      </c>
      <c r="Q221" s="40" t="s">
        <v>644</v>
      </c>
      <c r="R221" s="40" t="s">
        <v>494</v>
      </c>
      <c r="S221" s="40" t="s">
        <v>495</v>
      </c>
      <c r="T221" s="40" t="s">
        <v>512</v>
      </c>
      <c r="U221" s="40" t="s">
        <v>645</v>
      </c>
      <c r="V221" s="40" t="s">
        <v>3910</v>
      </c>
      <c r="W221" s="40" t="s">
        <v>1249</v>
      </c>
    </row>
    <row r="222" spans="1:23" ht="12" x14ac:dyDescent="0.2">
      <c r="A222" s="39" t="s">
        <v>2357</v>
      </c>
      <c r="B222" s="40" t="s">
        <v>2358</v>
      </c>
      <c r="C222" s="40" t="s">
        <v>2359</v>
      </c>
      <c r="D222" s="41">
        <v>45755</v>
      </c>
      <c r="E222" s="41">
        <v>45785</v>
      </c>
      <c r="F222" s="41">
        <v>46091</v>
      </c>
      <c r="G222" s="42">
        <v>306</v>
      </c>
      <c r="H222" s="40" t="s">
        <v>530</v>
      </c>
      <c r="I222" s="39" t="s">
        <v>320</v>
      </c>
      <c r="J222" s="43">
        <v>-195.44</v>
      </c>
      <c r="K222" s="43">
        <v>0</v>
      </c>
      <c r="L222" s="43">
        <v>-195.44</v>
      </c>
      <c r="M222" s="44">
        <v>0</v>
      </c>
      <c r="N222" s="44">
        <f t="shared" si="3"/>
        <v>-195.44</v>
      </c>
      <c r="O222" s="44">
        <v>-195.44</v>
      </c>
      <c r="P222" s="40" t="s">
        <v>2360</v>
      </c>
      <c r="Q222" s="40" t="s">
        <v>2361</v>
      </c>
      <c r="R222" s="40" t="s">
        <v>494</v>
      </c>
      <c r="S222" s="40" t="s">
        <v>495</v>
      </c>
      <c r="T222" s="40" t="s">
        <v>204</v>
      </c>
      <c r="U222" s="40" t="s">
        <v>1466</v>
      </c>
      <c r="V222" s="40" t="s">
        <v>3911</v>
      </c>
      <c r="W222" s="40" t="s">
        <v>321</v>
      </c>
    </row>
    <row r="223" spans="1:23" ht="12" x14ac:dyDescent="0.2">
      <c r="A223" s="39" t="s">
        <v>10</v>
      </c>
      <c r="B223" s="40" t="s">
        <v>393</v>
      </c>
      <c r="C223" s="40" t="s">
        <v>2371</v>
      </c>
      <c r="D223" s="41">
        <v>45756</v>
      </c>
      <c r="E223" s="41">
        <v>45786</v>
      </c>
      <c r="F223" s="41">
        <v>46091</v>
      </c>
      <c r="G223" s="42">
        <v>305</v>
      </c>
      <c r="H223" s="40" t="s">
        <v>530</v>
      </c>
      <c r="I223" s="39" t="s">
        <v>320</v>
      </c>
      <c r="J223" s="43">
        <v>-14251.34</v>
      </c>
      <c r="K223" s="43">
        <v>0</v>
      </c>
      <c r="L223" s="43">
        <v>-14251.34</v>
      </c>
      <c r="M223" s="44">
        <v>0</v>
      </c>
      <c r="N223" s="44">
        <f t="shared" si="3"/>
        <v>-14251.34</v>
      </c>
      <c r="O223" s="44">
        <v>-14251.34</v>
      </c>
      <c r="P223" s="40" t="s">
        <v>2372</v>
      </c>
      <c r="Q223" s="40" t="s">
        <v>2373</v>
      </c>
      <c r="R223" s="40" t="s">
        <v>494</v>
      </c>
      <c r="S223" s="40" t="s">
        <v>495</v>
      </c>
      <c r="T223" s="40" t="s">
        <v>363</v>
      </c>
      <c r="U223" s="40" t="s">
        <v>2374</v>
      </c>
      <c r="V223" s="40"/>
      <c r="W223" s="40" t="s">
        <v>2375</v>
      </c>
    </row>
    <row r="224" spans="1:23" ht="12" x14ac:dyDescent="0.2">
      <c r="A224" s="39" t="s">
        <v>339</v>
      </c>
      <c r="B224" s="40" t="s">
        <v>338</v>
      </c>
      <c r="C224" s="40" t="s">
        <v>2367</v>
      </c>
      <c r="D224" s="41">
        <v>45756</v>
      </c>
      <c r="E224" s="41">
        <v>45786</v>
      </c>
      <c r="F224" s="41">
        <v>46091</v>
      </c>
      <c r="G224" s="42">
        <v>305</v>
      </c>
      <c r="H224" s="40" t="s">
        <v>530</v>
      </c>
      <c r="I224" s="39" t="s">
        <v>320</v>
      </c>
      <c r="J224" s="43">
        <v>20168.349999999999</v>
      </c>
      <c r="K224" s="43">
        <v>0</v>
      </c>
      <c r="L224" s="43">
        <v>20168.349999999999</v>
      </c>
      <c r="M224" s="44">
        <v>0</v>
      </c>
      <c r="N224" s="44">
        <f t="shared" si="3"/>
        <v>20168.349999999999</v>
      </c>
      <c r="O224" s="44">
        <v>20168.349999999999</v>
      </c>
      <c r="P224" s="40" t="s">
        <v>2368</v>
      </c>
      <c r="Q224" s="40" t="s">
        <v>2369</v>
      </c>
      <c r="R224" s="40" t="s">
        <v>494</v>
      </c>
      <c r="S224" s="40" t="s">
        <v>495</v>
      </c>
      <c r="T224" s="40" t="s">
        <v>529</v>
      </c>
      <c r="U224" s="40" t="s">
        <v>1414</v>
      </c>
      <c r="V224" s="40" t="s">
        <v>3912</v>
      </c>
      <c r="W224" s="40" t="s">
        <v>2370</v>
      </c>
    </row>
    <row r="225" spans="1:23" ht="12" x14ac:dyDescent="0.2">
      <c r="A225" s="39" t="s">
        <v>339</v>
      </c>
      <c r="B225" s="40" t="s">
        <v>338</v>
      </c>
      <c r="C225" s="40" t="s">
        <v>2362</v>
      </c>
      <c r="D225" s="41">
        <v>45756</v>
      </c>
      <c r="E225" s="41">
        <v>45786</v>
      </c>
      <c r="F225" s="41">
        <v>46091</v>
      </c>
      <c r="G225" s="42">
        <v>305</v>
      </c>
      <c r="H225" s="40" t="s">
        <v>530</v>
      </c>
      <c r="I225" s="39" t="s">
        <v>320</v>
      </c>
      <c r="J225" s="43">
        <v>-9046.9</v>
      </c>
      <c r="K225" s="43">
        <v>0</v>
      </c>
      <c r="L225" s="43">
        <v>-9046.9</v>
      </c>
      <c r="M225" s="44">
        <v>0</v>
      </c>
      <c r="N225" s="44">
        <f t="shared" si="3"/>
        <v>-9046.9</v>
      </c>
      <c r="O225" s="44">
        <v>-9046.9</v>
      </c>
      <c r="P225" s="40" t="s">
        <v>2363</v>
      </c>
      <c r="Q225" s="40" t="s">
        <v>2364</v>
      </c>
      <c r="R225" s="40" t="s">
        <v>494</v>
      </c>
      <c r="S225" s="40" t="s">
        <v>495</v>
      </c>
      <c r="T225" s="40" t="s">
        <v>363</v>
      </c>
      <c r="U225" s="40" t="s">
        <v>2365</v>
      </c>
      <c r="V225" s="40" t="s">
        <v>3913</v>
      </c>
      <c r="W225" s="40" t="s">
        <v>2366</v>
      </c>
    </row>
    <row r="226" spans="1:23" ht="12" x14ac:dyDescent="0.2">
      <c r="A226" s="39" t="s">
        <v>357</v>
      </c>
      <c r="B226" s="40" t="s">
        <v>356</v>
      </c>
      <c r="C226" s="40" t="s">
        <v>2380</v>
      </c>
      <c r="D226" s="41">
        <v>45758</v>
      </c>
      <c r="E226" s="41">
        <v>45788</v>
      </c>
      <c r="F226" s="41">
        <v>46091</v>
      </c>
      <c r="G226" s="42">
        <v>303</v>
      </c>
      <c r="H226" s="40" t="s">
        <v>530</v>
      </c>
      <c r="I226" s="39" t="s">
        <v>341</v>
      </c>
      <c r="J226" s="43">
        <v>542265</v>
      </c>
      <c r="K226" s="43">
        <v>0</v>
      </c>
      <c r="L226" s="43">
        <v>56746.13</v>
      </c>
      <c r="M226" s="44">
        <v>0</v>
      </c>
      <c r="N226" s="44">
        <f t="shared" si="3"/>
        <v>48296.06</v>
      </c>
      <c r="O226" s="44">
        <v>48296.06</v>
      </c>
      <c r="P226" s="40" t="s">
        <v>2381</v>
      </c>
      <c r="Q226" s="40" t="s">
        <v>2382</v>
      </c>
      <c r="R226" s="40" t="s">
        <v>494</v>
      </c>
      <c r="S226" s="40" t="s">
        <v>495</v>
      </c>
      <c r="T226" s="40" t="s">
        <v>1091</v>
      </c>
      <c r="U226" s="40" t="s">
        <v>2383</v>
      </c>
      <c r="V226" s="40" t="s">
        <v>3914</v>
      </c>
      <c r="W226" s="40" t="s">
        <v>2384</v>
      </c>
    </row>
    <row r="227" spans="1:23" ht="12" x14ac:dyDescent="0.2">
      <c r="A227" s="39" t="s">
        <v>26</v>
      </c>
      <c r="B227" s="40" t="s">
        <v>457</v>
      </c>
      <c r="C227" s="40" t="s">
        <v>2394</v>
      </c>
      <c r="D227" s="41">
        <v>45761</v>
      </c>
      <c r="E227" s="41">
        <v>45791</v>
      </c>
      <c r="F227" s="41">
        <v>46091</v>
      </c>
      <c r="G227" s="42">
        <v>300</v>
      </c>
      <c r="H227" s="40" t="s">
        <v>530</v>
      </c>
      <c r="I227" s="39" t="s">
        <v>320</v>
      </c>
      <c r="J227" s="43">
        <v>19127.849999999999</v>
      </c>
      <c r="K227" s="43">
        <v>0</v>
      </c>
      <c r="L227" s="43">
        <v>19127.849999999999</v>
      </c>
      <c r="M227" s="44">
        <v>0</v>
      </c>
      <c r="N227" s="44">
        <f t="shared" si="3"/>
        <v>19127.849999999999</v>
      </c>
      <c r="O227" s="44">
        <v>19127.849999999999</v>
      </c>
      <c r="P227" s="40" t="s">
        <v>1161</v>
      </c>
      <c r="Q227" s="40" t="s">
        <v>1162</v>
      </c>
      <c r="R227" s="40" t="s">
        <v>494</v>
      </c>
      <c r="S227" s="40" t="s">
        <v>502</v>
      </c>
      <c r="T227" s="40" t="s">
        <v>362</v>
      </c>
      <c r="U227" s="40" t="s">
        <v>832</v>
      </c>
      <c r="V227" s="40" t="s">
        <v>3845</v>
      </c>
      <c r="W227" s="40" t="s">
        <v>1163</v>
      </c>
    </row>
    <row r="228" spans="1:23" ht="12" x14ac:dyDescent="0.2">
      <c r="A228" s="39" t="s">
        <v>339</v>
      </c>
      <c r="B228" s="40" t="s">
        <v>338</v>
      </c>
      <c r="C228" s="40" t="s">
        <v>2389</v>
      </c>
      <c r="D228" s="41">
        <v>45761</v>
      </c>
      <c r="E228" s="41">
        <v>45791</v>
      </c>
      <c r="F228" s="41">
        <v>46091</v>
      </c>
      <c r="G228" s="42">
        <v>300</v>
      </c>
      <c r="H228" s="40" t="s">
        <v>530</v>
      </c>
      <c r="I228" s="39" t="s">
        <v>320</v>
      </c>
      <c r="J228" s="43">
        <v>-106940.13</v>
      </c>
      <c r="K228" s="43">
        <v>0</v>
      </c>
      <c r="L228" s="43">
        <v>-106940.13</v>
      </c>
      <c r="M228" s="44">
        <v>0</v>
      </c>
      <c r="N228" s="44">
        <f t="shared" si="3"/>
        <v>-106940.13</v>
      </c>
      <c r="O228" s="44">
        <v>-106940.13</v>
      </c>
      <c r="P228" s="40" t="s">
        <v>2390</v>
      </c>
      <c r="Q228" s="40" t="s">
        <v>2391</v>
      </c>
      <c r="R228" s="40" t="s">
        <v>494</v>
      </c>
      <c r="S228" s="40" t="s">
        <v>495</v>
      </c>
      <c r="T228" s="40" t="s">
        <v>165</v>
      </c>
      <c r="U228" s="40" t="s">
        <v>2392</v>
      </c>
      <c r="V228" s="40" t="s">
        <v>3915</v>
      </c>
      <c r="W228" s="40" t="s">
        <v>2393</v>
      </c>
    </row>
    <row r="229" spans="1:23" ht="12" x14ac:dyDescent="0.2">
      <c r="A229" s="39" t="s">
        <v>2178</v>
      </c>
      <c r="B229" s="40" t="s">
        <v>2179</v>
      </c>
      <c r="C229" s="40" t="s">
        <v>2385</v>
      </c>
      <c r="D229" s="41">
        <v>45761</v>
      </c>
      <c r="E229" s="41">
        <v>45791</v>
      </c>
      <c r="F229" s="41">
        <v>46091</v>
      </c>
      <c r="G229" s="42">
        <v>300</v>
      </c>
      <c r="H229" s="40" t="s">
        <v>530</v>
      </c>
      <c r="I229" s="39" t="s">
        <v>320</v>
      </c>
      <c r="J229" s="43">
        <v>-6439.13</v>
      </c>
      <c r="K229" s="43">
        <v>0</v>
      </c>
      <c r="L229" s="43">
        <v>-6439.13</v>
      </c>
      <c r="M229" s="44">
        <v>0</v>
      </c>
      <c r="N229" s="44">
        <f t="shared" si="3"/>
        <v>-6439.13</v>
      </c>
      <c r="O229" s="44">
        <v>-6439.13</v>
      </c>
      <c r="P229" s="40" t="s">
        <v>2386</v>
      </c>
      <c r="Q229" s="40" t="s">
        <v>2387</v>
      </c>
      <c r="R229" s="40" t="s">
        <v>494</v>
      </c>
      <c r="S229" s="40" t="s">
        <v>502</v>
      </c>
      <c r="T229" s="40" t="s">
        <v>278</v>
      </c>
      <c r="U229" s="40" t="s">
        <v>793</v>
      </c>
      <c r="V229" s="40"/>
      <c r="W229" s="40" t="s">
        <v>2388</v>
      </c>
    </row>
    <row r="230" spans="1:23" ht="12" x14ac:dyDescent="0.2">
      <c r="A230" s="39" t="s">
        <v>442</v>
      </c>
      <c r="B230" s="40" t="s">
        <v>441</v>
      </c>
      <c r="C230" s="40" t="s">
        <v>2397</v>
      </c>
      <c r="D230" s="41">
        <v>45762</v>
      </c>
      <c r="E230" s="41">
        <v>45792</v>
      </c>
      <c r="F230" s="41">
        <v>46091</v>
      </c>
      <c r="G230" s="42">
        <v>299</v>
      </c>
      <c r="H230" s="40" t="s">
        <v>530</v>
      </c>
      <c r="I230" s="39" t="s">
        <v>320</v>
      </c>
      <c r="J230" s="43">
        <v>-104609.25</v>
      </c>
      <c r="K230" s="43">
        <v>0</v>
      </c>
      <c r="L230" s="43">
        <v>-104609.25</v>
      </c>
      <c r="M230" s="44">
        <v>0</v>
      </c>
      <c r="N230" s="44">
        <f t="shared" si="3"/>
        <v>-104609.25</v>
      </c>
      <c r="O230" s="44">
        <v>-104609.25</v>
      </c>
      <c r="P230" s="40" t="s">
        <v>2398</v>
      </c>
      <c r="Q230" s="40" t="s">
        <v>2399</v>
      </c>
      <c r="R230" s="40" t="s">
        <v>494</v>
      </c>
      <c r="S230" s="40" t="s">
        <v>495</v>
      </c>
      <c r="T230" s="40" t="s">
        <v>184</v>
      </c>
      <c r="U230" s="40" t="s">
        <v>2400</v>
      </c>
      <c r="V230" s="40" t="s">
        <v>3916</v>
      </c>
      <c r="W230" s="40" t="s">
        <v>2401</v>
      </c>
    </row>
    <row r="231" spans="1:23" ht="12" x14ac:dyDescent="0.2">
      <c r="A231" s="39" t="s">
        <v>2047</v>
      </c>
      <c r="B231" s="40" t="s">
        <v>2410</v>
      </c>
      <c r="C231" s="40" t="s">
        <v>2411</v>
      </c>
      <c r="D231" s="41">
        <v>45763</v>
      </c>
      <c r="E231" s="41">
        <v>45793</v>
      </c>
      <c r="F231" s="41">
        <v>46091</v>
      </c>
      <c r="G231" s="42">
        <v>298</v>
      </c>
      <c r="H231" s="40" t="s">
        <v>530</v>
      </c>
      <c r="I231" s="39" t="s">
        <v>323</v>
      </c>
      <c r="J231" s="43">
        <v>60000</v>
      </c>
      <c r="K231" s="43">
        <v>0</v>
      </c>
      <c r="L231" s="43">
        <v>20020</v>
      </c>
      <c r="M231" s="44">
        <v>0</v>
      </c>
      <c r="N231" s="44">
        <f t="shared" si="3"/>
        <v>16016</v>
      </c>
      <c r="O231" s="44">
        <v>16016</v>
      </c>
      <c r="P231" s="40" t="s">
        <v>2046</v>
      </c>
      <c r="Q231" s="40" t="s">
        <v>2412</v>
      </c>
      <c r="R231" s="40" t="s">
        <v>494</v>
      </c>
      <c r="S231" s="40" t="s">
        <v>502</v>
      </c>
      <c r="T231" s="40" t="s">
        <v>888</v>
      </c>
      <c r="U231" s="40" t="s">
        <v>1160</v>
      </c>
      <c r="V231" s="40" t="s">
        <v>3917</v>
      </c>
      <c r="W231" s="40" t="s">
        <v>2413</v>
      </c>
    </row>
    <row r="232" spans="1:23" ht="12" x14ac:dyDescent="0.2">
      <c r="A232" s="39" t="s">
        <v>366</v>
      </c>
      <c r="B232" s="40" t="s">
        <v>365</v>
      </c>
      <c r="C232" s="40" t="s">
        <v>2407</v>
      </c>
      <c r="D232" s="41">
        <v>45763</v>
      </c>
      <c r="E232" s="41">
        <v>45793</v>
      </c>
      <c r="F232" s="41">
        <v>46091</v>
      </c>
      <c r="G232" s="42">
        <v>298</v>
      </c>
      <c r="H232" s="40" t="s">
        <v>530</v>
      </c>
      <c r="I232" s="39" t="s">
        <v>320</v>
      </c>
      <c r="J232" s="43">
        <v>15312.98</v>
      </c>
      <c r="K232" s="43">
        <v>0</v>
      </c>
      <c r="L232" s="43">
        <v>15312.98</v>
      </c>
      <c r="M232" s="44">
        <v>0</v>
      </c>
      <c r="N232" s="44">
        <f t="shared" si="3"/>
        <v>15312.98</v>
      </c>
      <c r="O232" s="44">
        <v>15312.98</v>
      </c>
      <c r="P232" s="40" t="s">
        <v>2404</v>
      </c>
      <c r="Q232" s="40" t="s">
        <v>2405</v>
      </c>
      <c r="R232" s="40" t="s">
        <v>494</v>
      </c>
      <c r="S232" s="40" t="s">
        <v>495</v>
      </c>
      <c r="T232" s="40" t="s">
        <v>225</v>
      </c>
      <c r="U232" s="40" t="s">
        <v>574</v>
      </c>
      <c r="V232" s="40" t="s">
        <v>3918</v>
      </c>
      <c r="W232" s="40" t="s">
        <v>2406</v>
      </c>
    </row>
    <row r="233" spans="1:23" ht="12" x14ac:dyDescent="0.2">
      <c r="A233" s="39" t="s">
        <v>442</v>
      </c>
      <c r="B233" s="40" t="s">
        <v>441</v>
      </c>
      <c r="C233" s="40" t="s">
        <v>2415</v>
      </c>
      <c r="D233" s="41">
        <v>45769</v>
      </c>
      <c r="E233" s="41">
        <v>45799</v>
      </c>
      <c r="F233" s="41">
        <v>46091</v>
      </c>
      <c r="G233" s="42">
        <v>292</v>
      </c>
      <c r="H233" s="40" t="s">
        <v>530</v>
      </c>
      <c r="I233" s="39" t="s">
        <v>320</v>
      </c>
      <c r="J233" s="43">
        <v>-109397.47</v>
      </c>
      <c r="K233" s="43">
        <v>0</v>
      </c>
      <c r="L233" s="43">
        <v>-86367.49</v>
      </c>
      <c r="M233" s="44">
        <v>0</v>
      </c>
      <c r="N233" s="44">
        <f t="shared" si="3"/>
        <v>-86367.49</v>
      </c>
      <c r="O233" s="44">
        <v>-86367.49</v>
      </c>
      <c r="P233" s="40" t="s">
        <v>2416</v>
      </c>
      <c r="Q233" s="40" t="s">
        <v>2417</v>
      </c>
      <c r="R233" s="40" t="s">
        <v>494</v>
      </c>
      <c r="S233" s="40" t="s">
        <v>495</v>
      </c>
      <c r="T233" s="40" t="s">
        <v>218</v>
      </c>
      <c r="U233" s="40" t="s">
        <v>1035</v>
      </c>
      <c r="V233" s="40" t="s">
        <v>3919</v>
      </c>
      <c r="W233" s="40" t="s">
        <v>2418</v>
      </c>
    </row>
    <row r="234" spans="1:23" ht="12" x14ac:dyDescent="0.2">
      <c r="A234" s="39" t="s">
        <v>2426</v>
      </c>
      <c r="B234" s="40" t="s">
        <v>2427</v>
      </c>
      <c r="C234" s="40" t="s">
        <v>2428</v>
      </c>
      <c r="D234" s="41">
        <v>45771</v>
      </c>
      <c r="E234" s="41">
        <v>45801</v>
      </c>
      <c r="F234" s="41">
        <v>46091</v>
      </c>
      <c r="G234" s="42">
        <v>290</v>
      </c>
      <c r="H234" s="40" t="s">
        <v>530</v>
      </c>
      <c r="I234" s="39" t="s">
        <v>320</v>
      </c>
      <c r="J234" s="43">
        <v>-1899.99</v>
      </c>
      <c r="K234" s="43">
        <v>0</v>
      </c>
      <c r="L234" s="43">
        <v>-1899.99</v>
      </c>
      <c r="M234" s="44">
        <v>0</v>
      </c>
      <c r="N234" s="44">
        <f t="shared" si="3"/>
        <v>-1899.99</v>
      </c>
      <c r="O234" s="44">
        <v>-1899.99</v>
      </c>
      <c r="P234" s="40" t="s">
        <v>2429</v>
      </c>
      <c r="Q234" s="40" t="s">
        <v>2430</v>
      </c>
      <c r="R234" s="40" t="s">
        <v>494</v>
      </c>
      <c r="S234" s="40" t="s">
        <v>495</v>
      </c>
      <c r="T234" s="40" t="s">
        <v>733</v>
      </c>
      <c r="U234" s="40" t="s">
        <v>1220</v>
      </c>
      <c r="V234" s="40"/>
      <c r="W234" s="40" t="s">
        <v>2431</v>
      </c>
    </row>
    <row r="235" spans="1:23" ht="12" x14ac:dyDescent="0.2">
      <c r="A235" s="39" t="s">
        <v>10</v>
      </c>
      <c r="B235" s="40" t="s">
        <v>393</v>
      </c>
      <c r="C235" s="40" t="s">
        <v>2425</v>
      </c>
      <c r="D235" s="41">
        <v>45771</v>
      </c>
      <c r="E235" s="41">
        <v>45801</v>
      </c>
      <c r="F235" s="41">
        <v>46091</v>
      </c>
      <c r="G235" s="42">
        <v>290</v>
      </c>
      <c r="H235" s="40" t="s">
        <v>530</v>
      </c>
      <c r="I235" s="39" t="s">
        <v>320</v>
      </c>
      <c r="J235" s="43">
        <v>34473.68</v>
      </c>
      <c r="K235" s="43">
        <v>0</v>
      </c>
      <c r="L235" s="43">
        <v>34473.68</v>
      </c>
      <c r="M235" s="44">
        <v>0</v>
      </c>
      <c r="N235" s="44">
        <f t="shared" si="3"/>
        <v>34473.68</v>
      </c>
      <c r="O235" s="44">
        <v>34473.68</v>
      </c>
      <c r="P235" s="40" t="s">
        <v>2300</v>
      </c>
      <c r="Q235" s="40" t="s">
        <v>2301</v>
      </c>
      <c r="R235" s="40" t="s">
        <v>494</v>
      </c>
      <c r="S235" s="40" t="s">
        <v>502</v>
      </c>
      <c r="T235" s="40" t="s">
        <v>327</v>
      </c>
      <c r="U235" s="40" t="s">
        <v>537</v>
      </c>
      <c r="V235" s="40" t="s">
        <v>3904</v>
      </c>
      <c r="W235" s="40" t="s">
        <v>2302</v>
      </c>
    </row>
    <row r="236" spans="1:23" ht="12" x14ac:dyDescent="0.2">
      <c r="A236" s="39" t="s">
        <v>2432</v>
      </c>
      <c r="B236" s="40" t="s">
        <v>2433</v>
      </c>
      <c r="C236" s="40" t="s">
        <v>2434</v>
      </c>
      <c r="D236" s="41">
        <v>45771</v>
      </c>
      <c r="E236" s="41">
        <v>45801</v>
      </c>
      <c r="F236" s="41">
        <v>46091</v>
      </c>
      <c r="G236" s="42">
        <v>290</v>
      </c>
      <c r="H236" s="40" t="s">
        <v>530</v>
      </c>
      <c r="I236" s="39" t="s">
        <v>341</v>
      </c>
      <c r="J236" s="43">
        <v>188664.2</v>
      </c>
      <c r="K236" s="43">
        <v>0</v>
      </c>
      <c r="L236" s="43">
        <v>24979.040000000001</v>
      </c>
      <c r="M236" s="44">
        <v>0</v>
      </c>
      <c r="N236" s="44">
        <f t="shared" si="3"/>
        <v>19983.23</v>
      </c>
      <c r="O236" s="44">
        <v>19983.23</v>
      </c>
      <c r="P236" s="40" t="s">
        <v>2435</v>
      </c>
      <c r="Q236" s="40" t="s">
        <v>2436</v>
      </c>
      <c r="R236" s="40" t="s">
        <v>494</v>
      </c>
      <c r="S236" s="40" t="s">
        <v>502</v>
      </c>
      <c r="T236" s="40" t="s">
        <v>209</v>
      </c>
      <c r="U236" s="40" t="s">
        <v>2437</v>
      </c>
      <c r="V236" s="40" t="s">
        <v>3920</v>
      </c>
      <c r="W236" s="40" t="s">
        <v>2438</v>
      </c>
    </row>
    <row r="237" spans="1:23" ht="12" x14ac:dyDescent="0.2">
      <c r="A237" s="39" t="s">
        <v>819</v>
      </c>
      <c r="B237" s="40" t="s">
        <v>1400</v>
      </c>
      <c r="C237" s="40" t="s">
        <v>2440</v>
      </c>
      <c r="D237" s="41">
        <v>45775</v>
      </c>
      <c r="E237" s="41">
        <v>45805</v>
      </c>
      <c r="F237" s="41">
        <v>46091</v>
      </c>
      <c r="G237" s="42">
        <v>286</v>
      </c>
      <c r="H237" s="40" t="s">
        <v>530</v>
      </c>
      <c r="I237" s="39" t="s">
        <v>320</v>
      </c>
      <c r="J237" s="43">
        <v>17799.169999999998</v>
      </c>
      <c r="K237" s="43">
        <v>0</v>
      </c>
      <c r="L237" s="43">
        <v>17799.169999999998</v>
      </c>
      <c r="M237" s="44">
        <v>0</v>
      </c>
      <c r="N237" s="44">
        <f t="shared" si="3"/>
        <v>17799.169999999998</v>
      </c>
      <c r="O237" s="44">
        <v>17799.169999999998</v>
      </c>
      <c r="P237" s="40" t="s">
        <v>818</v>
      </c>
      <c r="Q237" s="40" t="s">
        <v>1401</v>
      </c>
      <c r="R237" s="40" t="s">
        <v>494</v>
      </c>
      <c r="S237" s="40" t="s">
        <v>495</v>
      </c>
      <c r="T237" s="40" t="s">
        <v>733</v>
      </c>
      <c r="U237" s="40" t="s">
        <v>853</v>
      </c>
      <c r="V237" s="40" t="s">
        <v>3921</v>
      </c>
      <c r="W237" s="40" t="s">
        <v>1711</v>
      </c>
    </row>
    <row r="238" spans="1:23" ht="12" x14ac:dyDescent="0.2">
      <c r="A238" s="39" t="s">
        <v>2441</v>
      </c>
      <c r="B238" s="40" t="s">
        <v>2442</v>
      </c>
      <c r="C238" s="40" t="s">
        <v>2443</v>
      </c>
      <c r="D238" s="41">
        <v>45776</v>
      </c>
      <c r="E238" s="41">
        <v>45806</v>
      </c>
      <c r="F238" s="41">
        <v>46091</v>
      </c>
      <c r="G238" s="42">
        <v>285</v>
      </c>
      <c r="H238" s="40" t="s">
        <v>530</v>
      </c>
      <c r="I238" s="39" t="s">
        <v>320</v>
      </c>
      <c r="J238" s="43">
        <v>-111.52</v>
      </c>
      <c r="K238" s="43">
        <v>0</v>
      </c>
      <c r="L238" s="43">
        <v>-111.52</v>
      </c>
      <c r="M238" s="44">
        <v>0</v>
      </c>
      <c r="N238" s="44">
        <f t="shared" si="3"/>
        <v>-111.52</v>
      </c>
      <c r="O238" s="44">
        <v>-111.52</v>
      </c>
      <c r="P238" s="40" t="s">
        <v>2444</v>
      </c>
      <c r="Q238" s="40" t="s">
        <v>2445</v>
      </c>
      <c r="R238" s="40" t="s">
        <v>494</v>
      </c>
      <c r="S238" s="40" t="s">
        <v>495</v>
      </c>
      <c r="T238" s="40" t="s">
        <v>2316</v>
      </c>
      <c r="U238" s="40" t="s">
        <v>2446</v>
      </c>
      <c r="V238" s="40"/>
      <c r="W238" s="40" t="s">
        <v>2447</v>
      </c>
    </row>
    <row r="239" spans="1:23" ht="12" x14ac:dyDescent="0.2">
      <c r="A239" s="39" t="s">
        <v>357</v>
      </c>
      <c r="B239" s="40" t="s">
        <v>356</v>
      </c>
      <c r="C239" s="40" t="s">
        <v>2449</v>
      </c>
      <c r="D239" s="41">
        <v>45776</v>
      </c>
      <c r="E239" s="41">
        <v>45806</v>
      </c>
      <c r="F239" s="41">
        <v>46091</v>
      </c>
      <c r="G239" s="42">
        <v>285</v>
      </c>
      <c r="H239" s="40" t="s">
        <v>530</v>
      </c>
      <c r="I239" s="39" t="s">
        <v>341</v>
      </c>
      <c r="J239" s="43">
        <v>5654.06</v>
      </c>
      <c r="K239" s="43">
        <v>0</v>
      </c>
      <c r="L239" s="43">
        <v>5654.06</v>
      </c>
      <c r="M239" s="44">
        <v>0</v>
      </c>
      <c r="N239" s="44">
        <f t="shared" si="3"/>
        <v>4823.93</v>
      </c>
      <c r="O239" s="44">
        <v>4823.93</v>
      </c>
      <c r="P239" s="40" t="s">
        <v>1904</v>
      </c>
      <c r="Q239" s="40" t="s">
        <v>1905</v>
      </c>
      <c r="R239" s="40" t="s">
        <v>494</v>
      </c>
      <c r="S239" s="40" t="s">
        <v>495</v>
      </c>
      <c r="T239" s="40" t="s">
        <v>529</v>
      </c>
      <c r="U239" s="40" t="s">
        <v>1510</v>
      </c>
      <c r="V239" s="40" t="s">
        <v>3791</v>
      </c>
      <c r="W239" s="40" t="s">
        <v>1906</v>
      </c>
    </row>
    <row r="240" spans="1:23" ht="12" x14ac:dyDescent="0.2">
      <c r="A240" s="39" t="s">
        <v>337</v>
      </c>
      <c r="B240" s="40" t="s">
        <v>336</v>
      </c>
      <c r="C240" s="40" t="s">
        <v>2452</v>
      </c>
      <c r="D240" s="41">
        <v>45777</v>
      </c>
      <c r="E240" s="41">
        <v>45807</v>
      </c>
      <c r="F240" s="41">
        <v>46091</v>
      </c>
      <c r="G240" s="42">
        <v>284</v>
      </c>
      <c r="H240" s="40" t="s">
        <v>530</v>
      </c>
      <c r="I240" s="39" t="s">
        <v>320</v>
      </c>
      <c r="J240" s="43">
        <v>157.4</v>
      </c>
      <c r="K240" s="43">
        <v>0</v>
      </c>
      <c r="L240" s="43">
        <v>157.4</v>
      </c>
      <c r="M240" s="44">
        <v>0</v>
      </c>
      <c r="N240" s="44">
        <f t="shared" si="3"/>
        <v>157.4</v>
      </c>
      <c r="O240" s="44">
        <v>157.4</v>
      </c>
      <c r="P240" s="40" t="s">
        <v>1791</v>
      </c>
      <c r="Q240" s="40" t="s">
        <v>1792</v>
      </c>
      <c r="R240" s="40" t="s">
        <v>494</v>
      </c>
      <c r="S240" s="40" t="s">
        <v>495</v>
      </c>
      <c r="T240" s="40" t="s">
        <v>507</v>
      </c>
      <c r="U240" s="40" t="s">
        <v>1232</v>
      </c>
      <c r="V240" s="40" t="s">
        <v>3899</v>
      </c>
      <c r="W240" s="40" t="s">
        <v>1793</v>
      </c>
    </row>
    <row r="241" spans="1:23" ht="12" x14ac:dyDescent="0.2">
      <c r="A241" s="39" t="s">
        <v>337</v>
      </c>
      <c r="B241" s="40" t="s">
        <v>336</v>
      </c>
      <c r="C241" s="40" t="s">
        <v>3922</v>
      </c>
      <c r="D241" s="41">
        <v>45777</v>
      </c>
      <c r="E241" s="41">
        <v>45807</v>
      </c>
      <c r="F241" s="41">
        <v>46091</v>
      </c>
      <c r="G241" s="42">
        <v>284</v>
      </c>
      <c r="H241" s="40" t="s">
        <v>530</v>
      </c>
      <c r="I241" s="39" t="s">
        <v>320</v>
      </c>
      <c r="J241" s="43">
        <v>-280</v>
      </c>
      <c r="K241" s="43">
        <v>0</v>
      </c>
      <c r="L241" s="43">
        <v>-280</v>
      </c>
      <c r="M241" s="44">
        <v>0</v>
      </c>
      <c r="N241" s="44">
        <f t="shared" si="3"/>
        <v>-280</v>
      </c>
      <c r="O241" s="44">
        <v>-280</v>
      </c>
      <c r="P241" s="40" t="s">
        <v>1307</v>
      </c>
      <c r="Q241" s="40" t="s">
        <v>1308</v>
      </c>
      <c r="R241" s="40" t="s">
        <v>494</v>
      </c>
      <c r="S241" s="40" t="s">
        <v>502</v>
      </c>
      <c r="T241" s="40" t="s">
        <v>289</v>
      </c>
      <c r="U241" s="40" t="s">
        <v>569</v>
      </c>
      <c r="V241" s="40"/>
      <c r="W241" s="40" t="s">
        <v>1309</v>
      </c>
    </row>
    <row r="242" spans="1:23" ht="12" x14ac:dyDescent="0.2">
      <c r="A242" s="39" t="s">
        <v>454</v>
      </c>
      <c r="B242" s="40" t="s">
        <v>1202</v>
      </c>
      <c r="C242" s="40" t="s">
        <v>2460</v>
      </c>
      <c r="D242" s="41">
        <v>45782</v>
      </c>
      <c r="E242" s="41">
        <v>45812</v>
      </c>
      <c r="F242" s="41">
        <v>46091</v>
      </c>
      <c r="G242" s="42">
        <v>279</v>
      </c>
      <c r="H242" s="40" t="s">
        <v>530</v>
      </c>
      <c r="I242" s="39" t="s">
        <v>320</v>
      </c>
      <c r="J242" s="43">
        <v>35047.57</v>
      </c>
      <c r="K242" s="43">
        <v>0</v>
      </c>
      <c r="L242" s="43">
        <v>35047.57</v>
      </c>
      <c r="M242" s="44">
        <v>0</v>
      </c>
      <c r="N242" s="44">
        <f t="shared" si="3"/>
        <v>35047.57</v>
      </c>
      <c r="O242" s="44">
        <v>35047.57</v>
      </c>
      <c r="P242" s="40" t="s">
        <v>2152</v>
      </c>
      <c r="Q242" s="40" t="s">
        <v>2153</v>
      </c>
      <c r="R242" s="40" t="s">
        <v>494</v>
      </c>
      <c r="S242" s="40" t="s">
        <v>495</v>
      </c>
      <c r="T242" s="40" t="s">
        <v>280</v>
      </c>
      <c r="U242" s="40" t="s">
        <v>759</v>
      </c>
      <c r="V242" s="40" t="s">
        <v>3875</v>
      </c>
      <c r="W242" s="40" t="s">
        <v>2154</v>
      </c>
    </row>
    <row r="243" spans="1:23" ht="12" x14ac:dyDescent="0.2">
      <c r="A243" s="39" t="s">
        <v>339</v>
      </c>
      <c r="B243" s="40" t="s">
        <v>338</v>
      </c>
      <c r="C243" s="40" t="s">
        <v>2463</v>
      </c>
      <c r="D243" s="41">
        <v>45783</v>
      </c>
      <c r="E243" s="41">
        <v>45813</v>
      </c>
      <c r="F243" s="41">
        <v>46091</v>
      </c>
      <c r="G243" s="42">
        <v>278</v>
      </c>
      <c r="H243" s="40" t="s">
        <v>530</v>
      </c>
      <c r="I243" s="39" t="s">
        <v>320</v>
      </c>
      <c r="J243" s="43">
        <v>99920.74</v>
      </c>
      <c r="K243" s="43">
        <v>0</v>
      </c>
      <c r="L243" s="43">
        <v>99920.74</v>
      </c>
      <c r="M243" s="44">
        <v>0</v>
      </c>
      <c r="N243" s="44">
        <f t="shared" si="3"/>
        <v>99920.74</v>
      </c>
      <c r="O243" s="44">
        <v>99920.74</v>
      </c>
      <c r="P243" s="40" t="s">
        <v>2464</v>
      </c>
      <c r="Q243" s="40" t="s">
        <v>2465</v>
      </c>
      <c r="R243" s="40" t="s">
        <v>494</v>
      </c>
      <c r="S243" s="40" t="s">
        <v>495</v>
      </c>
      <c r="T243" s="40" t="s">
        <v>280</v>
      </c>
      <c r="U243" s="40" t="s">
        <v>2242</v>
      </c>
      <c r="V243" s="40" t="s">
        <v>3923</v>
      </c>
      <c r="W243" s="40" t="s">
        <v>2466</v>
      </c>
    </row>
    <row r="244" spans="1:23" ht="12" x14ac:dyDescent="0.2">
      <c r="A244" s="39" t="s">
        <v>55</v>
      </c>
      <c r="B244" s="40" t="s">
        <v>371</v>
      </c>
      <c r="C244" s="40" t="s">
        <v>2462</v>
      </c>
      <c r="D244" s="41">
        <v>45783</v>
      </c>
      <c r="E244" s="41">
        <v>45813</v>
      </c>
      <c r="F244" s="41">
        <v>46091</v>
      </c>
      <c r="G244" s="42">
        <v>278</v>
      </c>
      <c r="H244" s="40" t="s">
        <v>530</v>
      </c>
      <c r="I244" s="39" t="s">
        <v>320</v>
      </c>
      <c r="J244" s="43">
        <v>1807.18</v>
      </c>
      <c r="K244" s="43">
        <v>0</v>
      </c>
      <c r="L244" s="43">
        <v>1807.18</v>
      </c>
      <c r="M244" s="44">
        <v>0</v>
      </c>
      <c r="N244" s="44">
        <f t="shared" si="3"/>
        <v>1807.18</v>
      </c>
      <c r="O244" s="44">
        <v>1807.18</v>
      </c>
      <c r="P244" s="40" t="s">
        <v>1453</v>
      </c>
      <c r="Q244" s="40" t="s">
        <v>1454</v>
      </c>
      <c r="R244" s="40" t="s">
        <v>494</v>
      </c>
      <c r="S244" s="40" t="s">
        <v>502</v>
      </c>
      <c r="T244" s="40" t="s">
        <v>997</v>
      </c>
      <c r="U244" s="40" t="s">
        <v>1455</v>
      </c>
      <c r="V244" s="40" t="s">
        <v>3924</v>
      </c>
      <c r="W244" s="40" t="s">
        <v>1456</v>
      </c>
    </row>
    <row r="245" spans="1:23" ht="12" x14ac:dyDescent="0.2">
      <c r="A245" s="39" t="s">
        <v>357</v>
      </c>
      <c r="B245" s="40" t="s">
        <v>356</v>
      </c>
      <c r="C245" s="40" t="s">
        <v>2477</v>
      </c>
      <c r="D245" s="41">
        <v>45784</v>
      </c>
      <c r="E245" s="41">
        <v>45814</v>
      </c>
      <c r="F245" s="41">
        <v>46091</v>
      </c>
      <c r="G245" s="42">
        <v>277</v>
      </c>
      <c r="H245" s="40" t="s">
        <v>530</v>
      </c>
      <c r="I245" s="39" t="s">
        <v>341</v>
      </c>
      <c r="J245" s="43">
        <v>-214028.72</v>
      </c>
      <c r="K245" s="43">
        <v>0</v>
      </c>
      <c r="L245" s="43">
        <v>-16355.6</v>
      </c>
      <c r="M245" s="44">
        <v>0</v>
      </c>
      <c r="N245" s="44">
        <f t="shared" si="3"/>
        <v>-14162.17</v>
      </c>
      <c r="O245" s="44">
        <v>-14162.17</v>
      </c>
      <c r="P245" s="40" t="s">
        <v>2478</v>
      </c>
      <c r="Q245" s="40" t="s">
        <v>2479</v>
      </c>
      <c r="R245" s="40" t="s">
        <v>494</v>
      </c>
      <c r="S245" s="40" t="s">
        <v>502</v>
      </c>
      <c r="T245" s="40" t="s">
        <v>222</v>
      </c>
      <c r="U245" s="40" t="s">
        <v>2480</v>
      </c>
      <c r="V245" s="40" t="s">
        <v>3925</v>
      </c>
      <c r="W245" s="40" t="s">
        <v>2481</v>
      </c>
    </row>
    <row r="246" spans="1:23" ht="12" x14ac:dyDescent="0.2">
      <c r="A246" s="39" t="s">
        <v>444</v>
      </c>
      <c r="B246" s="40" t="s">
        <v>443</v>
      </c>
      <c r="C246" s="40" t="s">
        <v>2472</v>
      </c>
      <c r="D246" s="41">
        <v>45784</v>
      </c>
      <c r="E246" s="41">
        <v>45814</v>
      </c>
      <c r="F246" s="41">
        <v>46091</v>
      </c>
      <c r="G246" s="42">
        <v>277</v>
      </c>
      <c r="H246" s="40" t="s">
        <v>530</v>
      </c>
      <c r="I246" s="39" t="s">
        <v>320</v>
      </c>
      <c r="J246" s="43">
        <v>-175.36</v>
      </c>
      <c r="K246" s="43">
        <v>0</v>
      </c>
      <c r="L246" s="43">
        <v>-175.36</v>
      </c>
      <c r="M246" s="44">
        <v>0</v>
      </c>
      <c r="N246" s="44">
        <f t="shared" si="3"/>
        <v>-175.36</v>
      </c>
      <c r="O246" s="44">
        <v>-175.36</v>
      </c>
      <c r="P246" s="40" t="s">
        <v>2473</v>
      </c>
      <c r="Q246" s="40" t="s">
        <v>2474</v>
      </c>
      <c r="R246" s="40" t="s">
        <v>494</v>
      </c>
      <c r="S246" s="40" t="s">
        <v>495</v>
      </c>
      <c r="T246" s="40" t="s">
        <v>224</v>
      </c>
      <c r="U246" s="40" t="s">
        <v>2475</v>
      </c>
      <c r="V246" s="40" t="s">
        <v>2976</v>
      </c>
      <c r="W246" s="40" t="s">
        <v>2476</v>
      </c>
    </row>
    <row r="247" spans="1:23" ht="12" x14ac:dyDescent="0.2">
      <c r="A247" s="39" t="s">
        <v>2408</v>
      </c>
      <c r="B247" s="40" t="s">
        <v>2409</v>
      </c>
      <c r="C247" s="40" t="s">
        <v>2467</v>
      </c>
      <c r="D247" s="41">
        <v>45784</v>
      </c>
      <c r="E247" s="41">
        <v>45814</v>
      </c>
      <c r="F247" s="41">
        <v>46091</v>
      </c>
      <c r="G247" s="42">
        <v>277</v>
      </c>
      <c r="H247" s="40" t="s">
        <v>530</v>
      </c>
      <c r="I247" s="39" t="s">
        <v>323</v>
      </c>
      <c r="J247" s="43">
        <v>20000</v>
      </c>
      <c r="K247" s="43">
        <v>0</v>
      </c>
      <c r="L247" s="43">
        <v>20000</v>
      </c>
      <c r="M247" s="44">
        <v>0</v>
      </c>
      <c r="N247" s="44">
        <f t="shared" si="3"/>
        <v>16000</v>
      </c>
      <c r="O247" s="44">
        <v>16000</v>
      </c>
      <c r="P247" s="40" t="s">
        <v>2468</v>
      </c>
      <c r="Q247" s="40" t="s">
        <v>2469</v>
      </c>
      <c r="R247" s="40" t="s">
        <v>494</v>
      </c>
      <c r="S247" s="40" t="s">
        <v>495</v>
      </c>
      <c r="T247" s="40" t="s">
        <v>189</v>
      </c>
      <c r="U247" s="40" t="s">
        <v>2470</v>
      </c>
      <c r="V247" s="40" t="s">
        <v>3926</v>
      </c>
      <c r="W247" s="40" t="s">
        <v>2471</v>
      </c>
    </row>
    <row r="248" spans="1:23" ht="12" x14ac:dyDescent="0.2">
      <c r="A248" s="39" t="s">
        <v>2178</v>
      </c>
      <c r="B248" s="40" t="s">
        <v>2179</v>
      </c>
      <c r="C248" s="40" t="s">
        <v>3927</v>
      </c>
      <c r="D248" s="41">
        <v>45784</v>
      </c>
      <c r="E248" s="41">
        <v>45814</v>
      </c>
      <c r="F248" s="41">
        <v>46091</v>
      </c>
      <c r="G248" s="42">
        <v>277</v>
      </c>
      <c r="H248" s="40" t="s">
        <v>530</v>
      </c>
      <c r="I248" s="39" t="s">
        <v>320</v>
      </c>
      <c r="J248" s="43">
        <v>190711.36</v>
      </c>
      <c r="K248" s="43">
        <v>0</v>
      </c>
      <c r="L248" s="43">
        <v>48559.09</v>
      </c>
      <c r="M248" s="44">
        <v>0</v>
      </c>
      <c r="N248" s="44">
        <f t="shared" si="3"/>
        <v>48559.09</v>
      </c>
      <c r="O248" s="44">
        <v>48559.09</v>
      </c>
      <c r="P248" s="40" t="s">
        <v>2337</v>
      </c>
      <c r="Q248" s="40" t="s">
        <v>2338</v>
      </c>
      <c r="R248" s="40" t="s">
        <v>494</v>
      </c>
      <c r="S248" s="40" t="s">
        <v>502</v>
      </c>
      <c r="T248" s="40" t="s">
        <v>538</v>
      </c>
      <c r="U248" s="40" t="s">
        <v>2339</v>
      </c>
      <c r="V248" s="40"/>
      <c r="W248" s="40" t="s">
        <v>2340</v>
      </c>
    </row>
    <row r="249" spans="1:23" ht="12" x14ac:dyDescent="0.2">
      <c r="A249" s="39" t="s">
        <v>657</v>
      </c>
      <c r="B249" s="40" t="s">
        <v>913</v>
      </c>
      <c r="C249" s="40" t="s">
        <v>2482</v>
      </c>
      <c r="D249" s="41">
        <v>45785</v>
      </c>
      <c r="E249" s="41">
        <v>45815</v>
      </c>
      <c r="F249" s="41">
        <v>46091</v>
      </c>
      <c r="G249" s="42">
        <v>276</v>
      </c>
      <c r="H249" s="40" t="s">
        <v>530</v>
      </c>
      <c r="I249" s="39" t="s">
        <v>323</v>
      </c>
      <c r="J249" s="43">
        <v>198401.15</v>
      </c>
      <c r="K249" s="43">
        <v>0</v>
      </c>
      <c r="L249" s="43">
        <v>198401.15</v>
      </c>
      <c r="M249" s="44">
        <v>0</v>
      </c>
      <c r="N249" s="44">
        <f t="shared" si="3"/>
        <v>136828.38</v>
      </c>
      <c r="O249" s="44">
        <v>136828.38</v>
      </c>
      <c r="P249" s="40" t="s">
        <v>1187</v>
      </c>
      <c r="Q249" s="40" t="s">
        <v>1188</v>
      </c>
      <c r="R249" s="40" t="s">
        <v>494</v>
      </c>
      <c r="S249" s="40" t="s">
        <v>495</v>
      </c>
      <c r="T249" s="40" t="s">
        <v>225</v>
      </c>
      <c r="U249" s="40" t="s">
        <v>914</v>
      </c>
      <c r="V249" s="40" t="s">
        <v>3928</v>
      </c>
      <c r="W249" s="40" t="s">
        <v>1189</v>
      </c>
    </row>
    <row r="250" spans="1:23" ht="12" x14ac:dyDescent="0.2">
      <c r="A250" s="39" t="s">
        <v>467</v>
      </c>
      <c r="B250" s="40" t="s">
        <v>466</v>
      </c>
      <c r="C250" s="40" t="s">
        <v>2488</v>
      </c>
      <c r="D250" s="41">
        <v>45785</v>
      </c>
      <c r="E250" s="41">
        <v>45815</v>
      </c>
      <c r="F250" s="41">
        <v>46091</v>
      </c>
      <c r="G250" s="42">
        <v>276</v>
      </c>
      <c r="H250" s="40" t="s">
        <v>530</v>
      </c>
      <c r="I250" s="39" t="s">
        <v>320</v>
      </c>
      <c r="J250" s="43">
        <v>-3128.83</v>
      </c>
      <c r="K250" s="43">
        <v>0</v>
      </c>
      <c r="L250" s="43">
        <v>-3128.83</v>
      </c>
      <c r="M250" s="44">
        <v>0</v>
      </c>
      <c r="N250" s="44">
        <f t="shared" si="3"/>
        <v>-3128.83</v>
      </c>
      <c r="O250" s="44">
        <v>-3128.83</v>
      </c>
      <c r="P250" s="40" t="s">
        <v>2489</v>
      </c>
      <c r="Q250" s="40" t="s">
        <v>2490</v>
      </c>
      <c r="R250" s="40" t="s">
        <v>494</v>
      </c>
      <c r="S250" s="40" t="s">
        <v>495</v>
      </c>
      <c r="T250" s="40" t="s">
        <v>164</v>
      </c>
      <c r="U250" s="40" t="s">
        <v>639</v>
      </c>
      <c r="V250" s="40"/>
      <c r="W250" s="40" t="s">
        <v>2491</v>
      </c>
    </row>
    <row r="251" spans="1:23" ht="12" x14ac:dyDescent="0.2">
      <c r="A251" s="39" t="s">
        <v>339</v>
      </c>
      <c r="B251" s="40" t="s">
        <v>338</v>
      </c>
      <c r="C251" s="40" t="s">
        <v>2483</v>
      </c>
      <c r="D251" s="41">
        <v>45785</v>
      </c>
      <c r="E251" s="41">
        <v>45815</v>
      </c>
      <c r="F251" s="41">
        <v>46091</v>
      </c>
      <c r="G251" s="42">
        <v>276</v>
      </c>
      <c r="H251" s="40" t="s">
        <v>530</v>
      </c>
      <c r="I251" s="39" t="s">
        <v>320</v>
      </c>
      <c r="J251" s="43">
        <v>13819.75</v>
      </c>
      <c r="K251" s="43">
        <v>0</v>
      </c>
      <c r="L251" s="43">
        <v>13819.75</v>
      </c>
      <c r="M251" s="44">
        <v>0</v>
      </c>
      <c r="N251" s="44">
        <f t="shared" si="3"/>
        <v>13819.75</v>
      </c>
      <c r="O251" s="44">
        <v>13819.75</v>
      </c>
      <c r="P251" s="40" t="s">
        <v>2484</v>
      </c>
      <c r="Q251" s="40" t="s">
        <v>2485</v>
      </c>
      <c r="R251" s="40" t="s">
        <v>494</v>
      </c>
      <c r="S251" s="40" t="s">
        <v>495</v>
      </c>
      <c r="T251" s="40" t="s">
        <v>191</v>
      </c>
      <c r="U251" s="40" t="s">
        <v>2486</v>
      </c>
      <c r="V251" s="40" t="s">
        <v>3929</v>
      </c>
      <c r="W251" s="40" t="s">
        <v>2487</v>
      </c>
    </row>
    <row r="252" spans="1:23" ht="12" x14ac:dyDescent="0.2">
      <c r="A252" s="39" t="s">
        <v>10</v>
      </c>
      <c r="B252" s="40" t="s">
        <v>393</v>
      </c>
      <c r="C252" s="40" t="s">
        <v>2508</v>
      </c>
      <c r="D252" s="41">
        <v>45789</v>
      </c>
      <c r="E252" s="41">
        <v>45819</v>
      </c>
      <c r="F252" s="41">
        <v>46091</v>
      </c>
      <c r="G252" s="42">
        <v>272</v>
      </c>
      <c r="H252" s="40" t="s">
        <v>530</v>
      </c>
      <c r="I252" s="39" t="s">
        <v>320</v>
      </c>
      <c r="J252" s="43">
        <v>62988.79</v>
      </c>
      <c r="K252" s="43">
        <v>0</v>
      </c>
      <c r="L252" s="43">
        <v>62988.79</v>
      </c>
      <c r="M252" s="44">
        <v>0</v>
      </c>
      <c r="N252" s="44">
        <f t="shared" si="3"/>
        <v>62988.79</v>
      </c>
      <c r="O252" s="44">
        <v>62988.79</v>
      </c>
      <c r="P252" s="40" t="s">
        <v>2509</v>
      </c>
      <c r="Q252" s="40" t="s">
        <v>2510</v>
      </c>
      <c r="R252" s="40" t="s">
        <v>494</v>
      </c>
      <c r="S252" s="40" t="s">
        <v>502</v>
      </c>
      <c r="T252" s="40" t="s">
        <v>280</v>
      </c>
      <c r="U252" s="40" t="s">
        <v>1346</v>
      </c>
      <c r="V252" s="40" t="s">
        <v>3930</v>
      </c>
      <c r="W252" s="40" t="s">
        <v>2511</v>
      </c>
    </row>
    <row r="253" spans="1:23" ht="12" x14ac:dyDescent="0.2">
      <c r="A253" s="39" t="s">
        <v>10</v>
      </c>
      <c r="B253" s="40" t="s">
        <v>393</v>
      </c>
      <c r="C253" s="40" t="s">
        <v>2517</v>
      </c>
      <c r="D253" s="41">
        <v>45790</v>
      </c>
      <c r="E253" s="41">
        <v>45820</v>
      </c>
      <c r="F253" s="41">
        <v>46091</v>
      </c>
      <c r="G253" s="42">
        <v>271</v>
      </c>
      <c r="H253" s="40" t="s">
        <v>530</v>
      </c>
      <c r="I253" s="39" t="s">
        <v>320</v>
      </c>
      <c r="J253" s="43">
        <v>-25986.21</v>
      </c>
      <c r="K253" s="43">
        <v>0</v>
      </c>
      <c r="L253" s="43">
        <v>-25986.21</v>
      </c>
      <c r="M253" s="44">
        <v>0</v>
      </c>
      <c r="N253" s="44">
        <f t="shared" si="3"/>
        <v>-25986.21</v>
      </c>
      <c r="O253" s="44">
        <v>-25986.21</v>
      </c>
      <c r="P253" s="40" t="s">
        <v>2518</v>
      </c>
      <c r="Q253" s="40" t="s">
        <v>2519</v>
      </c>
      <c r="R253" s="40" t="s">
        <v>494</v>
      </c>
      <c r="S253" s="40" t="s">
        <v>495</v>
      </c>
      <c r="T253" s="40" t="s">
        <v>284</v>
      </c>
      <c r="U253" s="40" t="s">
        <v>2218</v>
      </c>
      <c r="V253" s="40" t="s">
        <v>2520</v>
      </c>
      <c r="W253" s="40" t="s">
        <v>2519</v>
      </c>
    </row>
    <row r="254" spans="1:23" ht="12" x14ac:dyDescent="0.2">
      <c r="A254" s="39" t="s">
        <v>357</v>
      </c>
      <c r="B254" s="40" t="s">
        <v>356</v>
      </c>
      <c r="C254" s="40" t="s">
        <v>2529</v>
      </c>
      <c r="D254" s="41">
        <v>45791</v>
      </c>
      <c r="E254" s="41">
        <v>45821</v>
      </c>
      <c r="F254" s="41">
        <v>46091</v>
      </c>
      <c r="G254" s="42">
        <v>270</v>
      </c>
      <c r="H254" s="40" t="s">
        <v>530</v>
      </c>
      <c r="I254" s="39" t="s">
        <v>341</v>
      </c>
      <c r="J254" s="43">
        <v>28.1</v>
      </c>
      <c r="K254" s="43">
        <v>0</v>
      </c>
      <c r="L254" s="43">
        <v>28.1</v>
      </c>
      <c r="M254" s="44">
        <v>0</v>
      </c>
      <c r="N254" s="44">
        <f t="shared" si="3"/>
        <v>23.86</v>
      </c>
      <c r="O254" s="44">
        <v>23.86</v>
      </c>
      <c r="P254" s="40" t="s">
        <v>1900</v>
      </c>
      <c r="Q254" s="40" t="s">
        <v>1901</v>
      </c>
      <c r="R254" s="40" t="s">
        <v>494</v>
      </c>
      <c r="S254" s="40" t="s">
        <v>495</v>
      </c>
      <c r="T254" s="40" t="s">
        <v>501</v>
      </c>
      <c r="U254" s="40" t="s">
        <v>1821</v>
      </c>
      <c r="V254" s="40" t="s">
        <v>3791</v>
      </c>
      <c r="W254" s="40" t="s">
        <v>1902</v>
      </c>
    </row>
    <row r="255" spans="1:23" ht="12" x14ac:dyDescent="0.2">
      <c r="A255" s="39" t="s">
        <v>337</v>
      </c>
      <c r="B255" s="40" t="s">
        <v>336</v>
      </c>
      <c r="C255" s="40" t="s">
        <v>2540</v>
      </c>
      <c r="D255" s="41">
        <v>45793</v>
      </c>
      <c r="E255" s="41">
        <v>45823</v>
      </c>
      <c r="F255" s="41">
        <v>46091</v>
      </c>
      <c r="G255" s="42">
        <v>268</v>
      </c>
      <c r="H255" s="40" t="s">
        <v>530</v>
      </c>
      <c r="I255" s="39" t="s">
        <v>320</v>
      </c>
      <c r="J255" s="43">
        <v>18429.16</v>
      </c>
      <c r="K255" s="43">
        <v>0</v>
      </c>
      <c r="L255" s="43">
        <v>18429.16</v>
      </c>
      <c r="M255" s="44">
        <v>0</v>
      </c>
      <c r="N255" s="44">
        <f t="shared" si="3"/>
        <v>18429.16</v>
      </c>
      <c r="O255" s="44">
        <v>18429.16</v>
      </c>
      <c r="P255" s="40" t="s">
        <v>2533</v>
      </c>
      <c r="Q255" s="40" t="s">
        <v>2534</v>
      </c>
      <c r="R255" s="40" t="s">
        <v>494</v>
      </c>
      <c r="S255" s="40" t="s">
        <v>502</v>
      </c>
      <c r="T255" s="40" t="s">
        <v>273</v>
      </c>
      <c r="U255" s="40" t="s">
        <v>2535</v>
      </c>
      <c r="V255" s="40" t="s">
        <v>3931</v>
      </c>
      <c r="W255" s="40" t="s">
        <v>2536</v>
      </c>
    </row>
    <row r="256" spans="1:23" ht="12" x14ac:dyDescent="0.2">
      <c r="A256" s="39" t="s">
        <v>337</v>
      </c>
      <c r="B256" s="40" t="s">
        <v>336</v>
      </c>
      <c r="C256" s="40" t="s">
        <v>2539</v>
      </c>
      <c r="D256" s="41">
        <v>45793</v>
      </c>
      <c r="E256" s="41">
        <v>45823</v>
      </c>
      <c r="F256" s="41">
        <v>46091</v>
      </c>
      <c r="G256" s="42">
        <v>268</v>
      </c>
      <c r="H256" s="40" t="s">
        <v>530</v>
      </c>
      <c r="I256" s="39" t="s">
        <v>320</v>
      </c>
      <c r="J256" s="43">
        <v>16563.62</v>
      </c>
      <c r="K256" s="43">
        <v>0</v>
      </c>
      <c r="L256" s="43">
        <v>16563.62</v>
      </c>
      <c r="M256" s="44">
        <v>0</v>
      </c>
      <c r="N256" s="44">
        <f t="shared" si="3"/>
        <v>16563.62</v>
      </c>
      <c r="O256" s="44">
        <v>16563.62</v>
      </c>
      <c r="P256" s="40" t="s">
        <v>2533</v>
      </c>
      <c r="Q256" s="40" t="s">
        <v>2534</v>
      </c>
      <c r="R256" s="40" t="s">
        <v>494</v>
      </c>
      <c r="S256" s="40" t="s">
        <v>502</v>
      </c>
      <c r="T256" s="40" t="s">
        <v>273</v>
      </c>
      <c r="U256" s="40" t="s">
        <v>2535</v>
      </c>
      <c r="V256" s="40" t="s">
        <v>3931</v>
      </c>
      <c r="W256" s="40" t="s">
        <v>2536</v>
      </c>
    </row>
    <row r="257" spans="1:23" ht="12" x14ac:dyDescent="0.2">
      <c r="A257" s="39" t="s">
        <v>1457</v>
      </c>
      <c r="B257" s="40" t="s">
        <v>1458</v>
      </c>
      <c r="C257" s="40" t="s">
        <v>2532</v>
      </c>
      <c r="D257" s="41">
        <v>45793</v>
      </c>
      <c r="E257" s="41">
        <v>45823</v>
      </c>
      <c r="F257" s="41">
        <v>46091</v>
      </c>
      <c r="G257" s="42">
        <v>268</v>
      </c>
      <c r="H257" s="40" t="s">
        <v>530</v>
      </c>
      <c r="I257" s="39" t="s">
        <v>323</v>
      </c>
      <c r="J257" s="43">
        <v>6970.16</v>
      </c>
      <c r="K257" s="43">
        <v>0</v>
      </c>
      <c r="L257" s="43">
        <v>6970.16</v>
      </c>
      <c r="M257" s="44">
        <v>0</v>
      </c>
      <c r="N257" s="44">
        <f t="shared" si="3"/>
        <v>4807.67</v>
      </c>
      <c r="O257" s="44">
        <v>4807.67</v>
      </c>
      <c r="P257" s="40" t="s">
        <v>1459</v>
      </c>
      <c r="Q257" s="40" t="s">
        <v>1460</v>
      </c>
      <c r="R257" s="40" t="s">
        <v>494</v>
      </c>
      <c r="S257" s="40" t="s">
        <v>495</v>
      </c>
      <c r="T257" s="40" t="s">
        <v>284</v>
      </c>
      <c r="U257" s="40" t="s">
        <v>1461</v>
      </c>
      <c r="V257" s="40" t="s">
        <v>3858</v>
      </c>
      <c r="W257" s="40" t="s">
        <v>1462</v>
      </c>
    </row>
    <row r="258" spans="1:23" ht="12" x14ac:dyDescent="0.2">
      <c r="A258" s="39" t="s">
        <v>337</v>
      </c>
      <c r="B258" s="40" t="s">
        <v>336</v>
      </c>
      <c r="C258" s="40" t="s">
        <v>2537</v>
      </c>
      <c r="D258" s="41">
        <v>45793</v>
      </c>
      <c r="E258" s="41">
        <v>45823</v>
      </c>
      <c r="F258" s="41">
        <v>46091</v>
      </c>
      <c r="G258" s="42">
        <v>268</v>
      </c>
      <c r="H258" s="40" t="s">
        <v>530</v>
      </c>
      <c r="I258" s="39" t="s">
        <v>320</v>
      </c>
      <c r="J258" s="43">
        <v>14762.62</v>
      </c>
      <c r="K258" s="43">
        <v>0</v>
      </c>
      <c r="L258" s="43">
        <v>14762.62</v>
      </c>
      <c r="M258" s="44">
        <v>0</v>
      </c>
      <c r="N258" s="44">
        <f t="shared" si="3"/>
        <v>14762.62</v>
      </c>
      <c r="O258" s="44">
        <v>14762.62</v>
      </c>
      <c r="P258" s="40" t="s">
        <v>2533</v>
      </c>
      <c r="Q258" s="40" t="s">
        <v>2534</v>
      </c>
      <c r="R258" s="40" t="s">
        <v>494</v>
      </c>
      <c r="S258" s="40" t="s">
        <v>502</v>
      </c>
      <c r="T258" s="40" t="s">
        <v>273</v>
      </c>
      <c r="U258" s="40" t="s">
        <v>2535</v>
      </c>
      <c r="V258" s="40" t="s">
        <v>3931</v>
      </c>
      <c r="W258" s="40" t="s">
        <v>2536</v>
      </c>
    </row>
    <row r="259" spans="1:23" ht="12" x14ac:dyDescent="0.2">
      <c r="A259" s="39" t="s">
        <v>337</v>
      </c>
      <c r="B259" s="40" t="s">
        <v>336</v>
      </c>
      <c r="C259" s="40" t="s">
        <v>2538</v>
      </c>
      <c r="D259" s="41">
        <v>45793</v>
      </c>
      <c r="E259" s="41">
        <v>45823</v>
      </c>
      <c r="F259" s="41">
        <v>46091</v>
      </c>
      <c r="G259" s="42">
        <v>268</v>
      </c>
      <c r="H259" s="40" t="s">
        <v>530</v>
      </c>
      <c r="I259" s="39" t="s">
        <v>320</v>
      </c>
      <c r="J259" s="43">
        <v>17156.419999999998</v>
      </c>
      <c r="K259" s="43">
        <v>0</v>
      </c>
      <c r="L259" s="43">
        <v>17156.419999999998</v>
      </c>
      <c r="M259" s="44">
        <v>0</v>
      </c>
      <c r="N259" s="44">
        <f t="shared" ref="N259:N322" si="4">IF(I259="GBP",L259-K259,O259-K259)</f>
        <v>17156.419999999998</v>
      </c>
      <c r="O259" s="44">
        <v>17156.419999999998</v>
      </c>
      <c r="P259" s="40" t="s">
        <v>2533</v>
      </c>
      <c r="Q259" s="40" t="s">
        <v>2534</v>
      </c>
      <c r="R259" s="40" t="s">
        <v>494</v>
      </c>
      <c r="S259" s="40" t="s">
        <v>502</v>
      </c>
      <c r="T259" s="40" t="s">
        <v>273</v>
      </c>
      <c r="U259" s="40" t="s">
        <v>2535</v>
      </c>
      <c r="V259" s="40" t="s">
        <v>3931</v>
      </c>
      <c r="W259" s="40" t="s">
        <v>2536</v>
      </c>
    </row>
    <row r="260" spans="1:23" ht="12" x14ac:dyDescent="0.2">
      <c r="A260" s="39" t="s">
        <v>2544</v>
      </c>
      <c r="B260" s="40" t="s">
        <v>2545</v>
      </c>
      <c r="C260" s="40" t="s">
        <v>2546</v>
      </c>
      <c r="D260" s="41">
        <v>45797</v>
      </c>
      <c r="E260" s="41">
        <v>45827</v>
      </c>
      <c r="F260" s="41">
        <v>46091</v>
      </c>
      <c r="G260" s="42">
        <v>264</v>
      </c>
      <c r="H260" s="40" t="s">
        <v>530</v>
      </c>
      <c r="I260" s="39" t="s">
        <v>320</v>
      </c>
      <c r="J260" s="43">
        <v>20000</v>
      </c>
      <c r="K260" s="43">
        <v>0</v>
      </c>
      <c r="L260" s="43">
        <v>20000</v>
      </c>
      <c r="M260" s="44">
        <v>0</v>
      </c>
      <c r="N260" s="44">
        <f t="shared" si="4"/>
        <v>20000</v>
      </c>
      <c r="O260" s="44">
        <v>20000</v>
      </c>
      <c r="P260" s="40" t="s">
        <v>2547</v>
      </c>
      <c r="Q260" s="40" t="s">
        <v>2548</v>
      </c>
      <c r="R260" s="40" t="s">
        <v>494</v>
      </c>
      <c r="S260" s="40" t="s">
        <v>495</v>
      </c>
      <c r="T260" s="40" t="s">
        <v>535</v>
      </c>
      <c r="U260" s="40" t="s">
        <v>573</v>
      </c>
      <c r="V260" s="40" t="s">
        <v>3932</v>
      </c>
      <c r="W260" s="40" t="s">
        <v>2549</v>
      </c>
    </row>
    <row r="261" spans="1:23" ht="12" x14ac:dyDescent="0.2">
      <c r="A261" s="39" t="s">
        <v>815</v>
      </c>
      <c r="B261" s="40" t="s">
        <v>1119</v>
      </c>
      <c r="C261" s="40" t="s">
        <v>2550</v>
      </c>
      <c r="D261" s="41">
        <v>45798</v>
      </c>
      <c r="E261" s="41">
        <v>45828</v>
      </c>
      <c r="F261" s="41">
        <v>46091</v>
      </c>
      <c r="G261" s="42">
        <v>263</v>
      </c>
      <c r="H261" s="40" t="s">
        <v>530</v>
      </c>
      <c r="I261" s="39" t="s">
        <v>320</v>
      </c>
      <c r="J261" s="43">
        <v>294839.99</v>
      </c>
      <c r="K261" s="43">
        <v>0</v>
      </c>
      <c r="L261" s="43">
        <v>294839.99</v>
      </c>
      <c r="M261" s="44">
        <v>0</v>
      </c>
      <c r="N261" s="44">
        <f t="shared" si="4"/>
        <v>294839.99</v>
      </c>
      <c r="O261" s="44">
        <v>294839.99</v>
      </c>
      <c r="P261" s="40" t="s">
        <v>2551</v>
      </c>
      <c r="Q261" s="40" t="s">
        <v>2552</v>
      </c>
      <c r="R261" s="40" t="s">
        <v>494</v>
      </c>
      <c r="S261" s="40" t="s">
        <v>502</v>
      </c>
      <c r="T261" s="40" t="s">
        <v>284</v>
      </c>
      <c r="U261" s="40" t="s">
        <v>1505</v>
      </c>
      <c r="V261" s="40" t="s">
        <v>3933</v>
      </c>
      <c r="W261" s="40" t="s">
        <v>2553</v>
      </c>
    </row>
    <row r="262" spans="1:23" ht="12" x14ac:dyDescent="0.2">
      <c r="A262" s="39" t="s">
        <v>27</v>
      </c>
      <c r="B262" s="40" t="s">
        <v>476</v>
      </c>
      <c r="C262" s="40" t="s">
        <v>2569</v>
      </c>
      <c r="D262" s="41">
        <v>45799</v>
      </c>
      <c r="E262" s="41">
        <v>45829</v>
      </c>
      <c r="F262" s="41">
        <v>46091</v>
      </c>
      <c r="G262" s="42">
        <v>262</v>
      </c>
      <c r="H262" s="40" t="s">
        <v>530</v>
      </c>
      <c r="I262" s="39" t="s">
        <v>1267</v>
      </c>
      <c r="J262" s="43">
        <v>5544564.5800000001</v>
      </c>
      <c r="K262" s="43">
        <v>0</v>
      </c>
      <c r="L262" s="43">
        <v>4894564.93</v>
      </c>
      <c r="M262" s="44">
        <v>0</v>
      </c>
      <c r="N262" s="44">
        <f t="shared" si="4"/>
        <v>121438.16</v>
      </c>
      <c r="O262" s="44">
        <v>121438.16</v>
      </c>
      <c r="P262" s="40" t="s">
        <v>1839</v>
      </c>
      <c r="Q262" s="40" t="s">
        <v>1840</v>
      </c>
      <c r="R262" s="40" t="s">
        <v>494</v>
      </c>
      <c r="S262" s="40" t="s">
        <v>495</v>
      </c>
      <c r="T262" s="40" t="s">
        <v>178</v>
      </c>
      <c r="U262" s="40" t="s">
        <v>615</v>
      </c>
      <c r="V262" s="40" t="s">
        <v>3934</v>
      </c>
      <c r="W262" s="40" t="s">
        <v>1841</v>
      </c>
    </row>
    <row r="263" spans="1:23" ht="12" x14ac:dyDescent="0.2">
      <c r="A263" s="39" t="s">
        <v>10</v>
      </c>
      <c r="B263" s="40" t="s">
        <v>393</v>
      </c>
      <c r="C263" s="40" t="s">
        <v>2570</v>
      </c>
      <c r="D263" s="41">
        <v>45799</v>
      </c>
      <c r="E263" s="41">
        <v>45829</v>
      </c>
      <c r="F263" s="41">
        <v>46091</v>
      </c>
      <c r="G263" s="42">
        <v>262</v>
      </c>
      <c r="H263" s="40" t="s">
        <v>530</v>
      </c>
      <c r="I263" s="39" t="s">
        <v>320</v>
      </c>
      <c r="J263" s="43">
        <v>64505</v>
      </c>
      <c r="K263" s="43">
        <v>0</v>
      </c>
      <c r="L263" s="43">
        <v>43486</v>
      </c>
      <c r="M263" s="44">
        <v>0</v>
      </c>
      <c r="N263" s="44">
        <f t="shared" si="4"/>
        <v>43486</v>
      </c>
      <c r="O263" s="44">
        <v>43486</v>
      </c>
      <c r="P263" s="40" t="s">
        <v>2571</v>
      </c>
      <c r="Q263" s="40" t="s">
        <v>2572</v>
      </c>
      <c r="R263" s="40" t="s">
        <v>494</v>
      </c>
      <c r="S263" s="40" t="s">
        <v>495</v>
      </c>
      <c r="T263" s="40" t="s">
        <v>512</v>
      </c>
      <c r="U263" s="40" t="s">
        <v>2396</v>
      </c>
      <c r="V263" s="40" t="s">
        <v>3935</v>
      </c>
      <c r="W263" s="40" t="s">
        <v>2573</v>
      </c>
    </row>
    <row r="264" spans="1:23" ht="12" x14ac:dyDescent="0.2">
      <c r="A264" s="39" t="s">
        <v>1052</v>
      </c>
      <c r="B264" s="40" t="s">
        <v>1053</v>
      </c>
      <c r="C264" s="40" t="s">
        <v>2561</v>
      </c>
      <c r="D264" s="41">
        <v>45799</v>
      </c>
      <c r="E264" s="41">
        <v>45829</v>
      </c>
      <c r="F264" s="41">
        <v>46091</v>
      </c>
      <c r="G264" s="42">
        <v>262</v>
      </c>
      <c r="H264" s="40" t="s">
        <v>530</v>
      </c>
      <c r="I264" s="39" t="s">
        <v>323</v>
      </c>
      <c r="J264" s="43">
        <v>38459.379999999997</v>
      </c>
      <c r="K264" s="43">
        <v>0</v>
      </c>
      <c r="L264" s="43">
        <v>38459.379999999997</v>
      </c>
      <c r="M264" s="44">
        <v>0</v>
      </c>
      <c r="N264" s="44">
        <f t="shared" si="4"/>
        <v>28488.43</v>
      </c>
      <c r="O264" s="44">
        <v>28488.43</v>
      </c>
      <c r="P264" s="40" t="s">
        <v>1054</v>
      </c>
      <c r="Q264" s="40" t="s">
        <v>1055</v>
      </c>
      <c r="R264" s="40" t="s">
        <v>494</v>
      </c>
      <c r="S264" s="40" t="s">
        <v>495</v>
      </c>
      <c r="T264" s="40" t="s">
        <v>289</v>
      </c>
      <c r="U264" s="40" t="s">
        <v>691</v>
      </c>
      <c r="V264" s="40" t="s">
        <v>3936</v>
      </c>
      <c r="W264" s="40" t="s">
        <v>1169</v>
      </c>
    </row>
    <row r="265" spans="1:23" ht="12" x14ac:dyDescent="0.2">
      <c r="A265" s="39" t="s">
        <v>54</v>
      </c>
      <c r="B265" s="40" t="s">
        <v>455</v>
      </c>
      <c r="C265" s="40" t="s">
        <v>2574</v>
      </c>
      <c r="D265" s="41">
        <v>45800</v>
      </c>
      <c r="E265" s="41">
        <v>45830</v>
      </c>
      <c r="F265" s="41">
        <v>46091</v>
      </c>
      <c r="G265" s="42">
        <v>261</v>
      </c>
      <c r="H265" s="40" t="s">
        <v>530</v>
      </c>
      <c r="I265" s="39" t="s">
        <v>320</v>
      </c>
      <c r="J265" s="43">
        <v>1437.29</v>
      </c>
      <c r="K265" s="43">
        <v>0</v>
      </c>
      <c r="L265" s="43">
        <v>1437.29</v>
      </c>
      <c r="M265" s="44">
        <v>0</v>
      </c>
      <c r="N265" s="44">
        <f t="shared" si="4"/>
        <v>1437.29</v>
      </c>
      <c r="O265" s="44">
        <v>1437.29</v>
      </c>
      <c r="P265" s="40" t="s">
        <v>2575</v>
      </c>
      <c r="Q265" s="40" t="s">
        <v>2576</v>
      </c>
      <c r="R265" s="40" t="s">
        <v>494</v>
      </c>
      <c r="S265" s="40" t="s">
        <v>495</v>
      </c>
      <c r="T265" s="40" t="s">
        <v>185</v>
      </c>
      <c r="U265" s="40" t="s">
        <v>2577</v>
      </c>
      <c r="V265" s="40" t="s">
        <v>3937</v>
      </c>
      <c r="W265" s="40" t="s">
        <v>2977</v>
      </c>
    </row>
    <row r="266" spans="1:23" ht="12" x14ac:dyDescent="0.2">
      <c r="A266" s="39" t="s">
        <v>337</v>
      </c>
      <c r="B266" s="40" t="s">
        <v>336</v>
      </c>
      <c r="C266" s="40" t="s">
        <v>2585</v>
      </c>
      <c r="D266" s="41">
        <v>45803</v>
      </c>
      <c r="E266" s="41">
        <v>45833</v>
      </c>
      <c r="F266" s="41">
        <v>46091</v>
      </c>
      <c r="G266" s="42">
        <v>258</v>
      </c>
      <c r="H266" s="40" t="s">
        <v>530</v>
      </c>
      <c r="I266" s="39" t="s">
        <v>320</v>
      </c>
      <c r="J266" s="43">
        <v>46383.6</v>
      </c>
      <c r="K266" s="43">
        <v>0</v>
      </c>
      <c r="L266" s="43">
        <v>46383.6</v>
      </c>
      <c r="M266" s="44">
        <v>0</v>
      </c>
      <c r="N266" s="44">
        <f t="shared" si="4"/>
        <v>46383.6</v>
      </c>
      <c r="O266" s="44">
        <v>46383.6</v>
      </c>
      <c r="P266" s="40" t="s">
        <v>1177</v>
      </c>
      <c r="Q266" s="40" t="s">
        <v>1178</v>
      </c>
      <c r="R266" s="40" t="s">
        <v>494</v>
      </c>
      <c r="S266" s="40" t="s">
        <v>502</v>
      </c>
      <c r="T266" s="40" t="s">
        <v>289</v>
      </c>
      <c r="U266" s="40" t="s">
        <v>1179</v>
      </c>
      <c r="V266" s="40" t="s">
        <v>3938</v>
      </c>
      <c r="W266" s="40" t="s">
        <v>1180</v>
      </c>
    </row>
    <row r="267" spans="1:23" ht="12" x14ac:dyDescent="0.2">
      <c r="A267" s="39" t="s">
        <v>337</v>
      </c>
      <c r="B267" s="40" t="s">
        <v>336</v>
      </c>
      <c r="C267" s="40" t="s">
        <v>2586</v>
      </c>
      <c r="D267" s="41">
        <v>45804</v>
      </c>
      <c r="E267" s="41">
        <v>45834</v>
      </c>
      <c r="F267" s="41">
        <v>46091</v>
      </c>
      <c r="G267" s="42">
        <v>257</v>
      </c>
      <c r="H267" s="40" t="s">
        <v>530</v>
      </c>
      <c r="I267" s="39" t="s">
        <v>320</v>
      </c>
      <c r="J267" s="43">
        <v>22961.87</v>
      </c>
      <c r="K267" s="43">
        <v>0</v>
      </c>
      <c r="L267" s="43">
        <v>22961.87</v>
      </c>
      <c r="M267" s="44">
        <v>0</v>
      </c>
      <c r="N267" s="44">
        <f t="shared" si="4"/>
        <v>22961.87</v>
      </c>
      <c r="O267" s="44">
        <v>22961.87</v>
      </c>
      <c r="P267" s="40" t="s">
        <v>1630</v>
      </c>
      <c r="Q267" s="40" t="s">
        <v>1631</v>
      </c>
      <c r="R267" s="40" t="s">
        <v>494</v>
      </c>
      <c r="S267" s="40" t="s">
        <v>495</v>
      </c>
      <c r="T267" s="40" t="s">
        <v>289</v>
      </c>
      <c r="U267" s="40" t="s">
        <v>554</v>
      </c>
      <c r="V267" s="40" t="s">
        <v>3939</v>
      </c>
      <c r="W267" s="40" t="s">
        <v>1469</v>
      </c>
    </row>
    <row r="268" spans="1:23" ht="12" x14ac:dyDescent="0.2">
      <c r="A268" s="39" t="s">
        <v>2588</v>
      </c>
      <c r="B268" s="40" t="s">
        <v>2589</v>
      </c>
      <c r="C268" s="40" t="s">
        <v>2590</v>
      </c>
      <c r="D268" s="41">
        <v>45804</v>
      </c>
      <c r="E268" s="41">
        <v>45834</v>
      </c>
      <c r="F268" s="41">
        <v>46091</v>
      </c>
      <c r="G268" s="42">
        <v>257</v>
      </c>
      <c r="H268" s="40" t="s">
        <v>530</v>
      </c>
      <c r="I268" s="39" t="s">
        <v>320</v>
      </c>
      <c r="J268" s="43">
        <v>-706.65</v>
      </c>
      <c r="K268" s="43">
        <v>0</v>
      </c>
      <c r="L268" s="43">
        <v>-706.65</v>
      </c>
      <c r="M268" s="44">
        <v>0</v>
      </c>
      <c r="N268" s="44">
        <f t="shared" si="4"/>
        <v>-706.65</v>
      </c>
      <c r="O268" s="44">
        <v>-706.65</v>
      </c>
      <c r="P268" s="40" t="s">
        <v>2591</v>
      </c>
      <c r="Q268" s="40" t="s">
        <v>2592</v>
      </c>
      <c r="R268" s="40" t="s">
        <v>494</v>
      </c>
      <c r="S268" s="40" t="s">
        <v>495</v>
      </c>
      <c r="T268" s="40" t="s">
        <v>284</v>
      </c>
      <c r="U268" s="40" t="s">
        <v>1984</v>
      </c>
      <c r="V268" s="40"/>
      <c r="W268" s="40" t="s">
        <v>2593</v>
      </c>
    </row>
    <row r="269" spans="1:23" ht="12" x14ac:dyDescent="0.2">
      <c r="A269" s="39" t="s">
        <v>52</v>
      </c>
      <c r="B269" s="40" t="s">
        <v>472</v>
      </c>
      <c r="C269" s="40" t="s">
        <v>2601</v>
      </c>
      <c r="D269" s="41">
        <v>45805</v>
      </c>
      <c r="E269" s="41">
        <v>45835</v>
      </c>
      <c r="F269" s="41">
        <v>46091</v>
      </c>
      <c r="G269" s="42">
        <v>256</v>
      </c>
      <c r="H269" s="40" t="s">
        <v>530</v>
      </c>
      <c r="I269" s="39" t="s">
        <v>320</v>
      </c>
      <c r="J269" s="43">
        <v>17992.669999999998</v>
      </c>
      <c r="K269" s="43">
        <v>0</v>
      </c>
      <c r="L269" s="43">
        <v>17992.669999999998</v>
      </c>
      <c r="M269" s="44">
        <v>0</v>
      </c>
      <c r="N269" s="44">
        <f t="shared" si="4"/>
        <v>17992.669999999998</v>
      </c>
      <c r="O269" s="44">
        <v>17992.669999999998</v>
      </c>
      <c r="P269" s="40" t="s">
        <v>2602</v>
      </c>
      <c r="Q269" s="40" t="s">
        <v>2603</v>
      </c>
      <c r="R269" s="40" t="s">
        <v>494</v>
      </c>
      <c r="S269" s="40" t="s">
        <v>502</v>
      </c>
      <c r="T269" s="40" t="s">
        <v>191</v>
      </c>
      <c r="U269" s="40" t="s">
        <v>1392</v>
      </c>
      <c r="V269" s="40" t="s">
        <v>3940</v>
      </c>
      <c r="W269" s="40" t="s">
        <v>2604</v>
      </c>
    </row>
    <row r="270" spans="1:23" ht="12" x14ac:dyDescent="0.2">
      <c r="A270" s="39" t="s">
        <v>337</v>
      </c>
      <c r="B270" s="40" t="s">
        <v>336</v>
      </c>
      <c r="C270" s="40" t="s">
        <v>2596</v>
      </c>
      <c r="D270" s="41">
        <v>45805</v>
      </c>
      <c r="E270" s="41">
        <v>45835</v>
      </c>
      <c r="F270" s="41">
        <v>46091</v>
      </c>
      <c r="G270" s="42">
        <v>256</v>
      </c>
      <c r="H270" s="40" t="s">
        <v>530</v>
      </c>
      <c r="I270" s="39" t="s">
        <v>320</v>
      </c>
      <c r="J270" s="43">
        <v>44164.21</v>
      </c>
      <c r="K270" s="43">
        <v>0</v>
      </c>
      <c r="L270" s="43">
        <v>44164.21</v>
      </c>
      <c r="M270" s="44">
        <v>0</v>
      </c>
      <c r="N270" s="44">
        <f t="shared" si="4"/>
        <v>44164.21</v>
      </c>
      <c r="O270" s="44">
        <v>44164.21</v>
      </c>
      <c r="P270" s="40" t="s">
        <v>1307</v>
      </c>
      <c r="Q270" s="40" t="s">
        <v>1308</v>
      </c>
      <c r="R270" s="40" t="s">
        <v>494</v>
      </c>
      <c r="S270" s="40" t="s">
        <v>502</v>
      </c>
      <c r="T270" s="40" t="s">
        <v>289</v>
      </c>
      <c r="U270" s="40" t="s">
        <v>569</v>
      </c>
      <c r="V270" s="40" t="s">
        <v>3941</v>
      </c>
      <c r="W270" s="40" t="s">
        <v>1309</v>
      </c>
    </row>
    <row r="271" spans="1:23" ht="12" x14ac:dyDescent="0.2">
      <c r="A271" s="39" t="s">
        <v>2178</v>
      </c>
      <c r="B271" s="40" t="s">
        <v>2179</v>
      </c>
      <c r="C271" s="40" t="s">
        <v>2597</v>
      </c>
      <c r="D271" s="41">
        <v>45805</v>
      </c>
      <c r="E271" s="41">
        <v>45835</v>
      </c>
      <c r="F271" s="41">
        <v>46091</v>
      </c>
      <c r="G271" s="42">
        <v>256</v>
      </c>
      <c r="H271" s="40" t="s">
        <v>530</v>
      </c>
      <c r="I271" s="39" t="s">
        <v>320</v>
      </c>
      <c r="J271" s="43">
        <v>58878.18</v>
      </c>
      <c r="K271" s="43">
        <v>0</v>
      </c>
      <c r="L271" s="43">
        <v>1686.38</v>
      </c>
      <c r="M271" s="44">
        <v>0</v>
      </c>
      <c r="N271" s="44">
        <f t="shared" si="4"/>
        <v>1686.38</v>
      </c>
      <c r="O271" s="44">
        <v>1686.38</v>
      </c>
      <c r="P271" s="40" t="s">
        <v>2598</v>
      </c>
      <c r="Q271" s="40" t="s">
        <v>2599</v>
      </c>
      <c r="R271" s="40" t="s">
        <v>494</v>
      </c>
      <c r="S271" s="40" t="s">
        <v>502</v>
      </c>
      <c r="T271" s="40" t="s">
        <v>538</v>
      </c>
      <c r="U271" s="40" t="s">
        <v>863</v>
      </c>
      <c r="V271" s="40"/>
      <c r="W271" s="40" t="s">
        <v>2600</v>
      </c>
    </row>
    <row r="272" spans="1:23" ht="12" x14ac:dyDescent="0.2">
      <c r="A272" s="39" t="s">
        <v>446</v>
      </c>
      <c r="B272" s="40" t="s">
        <v>445</v>
      </c>
      <c r="C272" s="40" t="s">
        <v>2607</v>
      </c>
      <c r="D272" s="41">
        <v>45806</v>
      </c>
      <c r="E272" s="41">
        <v>45836</v>
      </c>
      <c r="F272" s="41">
        <v>46091</v>
      </c>
      <c r="G272" s="42">
        <v>255</v>
      </c>
      <c r="H272" s="40" t="s">
        <v>530</v>
      </c>
      <c r="I272" s="39" t="s">
        <v>320</v>
      </c>
      <c r="J272" s="43">
        <v>20000</v>
      </c>
      <c r="K272" s="43">
        <v>0</v>
      </c>
      <c r="L272" s="43">
        <v>20000</v>
      </c>
      <c r="M272" s="44">
        <v>0</v>
      </c>
      <c r="N272" s="44">
        <f t="shared" si="4"/>
        <v>20000</v>
      </c>
      <c r="O272" s="44">
        <v>20000</v>
      </c>
      <c r="P272" s="40" t="s">
        <v>447</v>
      </c>
      <c r="Q272" s="40" t="s">
        <v>548</v>
      </c>
      <c r="R272" s="40" t="s">
        <v>494</v>
      </c>
      <c r="S272" s="40" t="s">
        <v>502</v>
      </c>
      <c r="T272" s="40" t="s">
        <v>181</v>
      </c>
      <c r="U272" s="40" t="s">
        <v>562</v>
      </c>
      <c r="V272" s="40" t="s">
        <v>3796</v>
      </c>
      <c r="W272" s="40" t="s">
        <v>321</v>
      </c>
    </row>
    <row r="273" spans="1:23" ht="12" x14ac:dyDescent="0.2">
      <c r="A273" s="39" t="s">
        <v>357</v>
      </c>
      <c r="B273" s="40" t="s">
        <v>356</v>
      </c>
      <c r="C273" s="40" t="s">
        <v>2606</v>
      </c>
      <c r="D273" s="41">
        <v>45806</v>
      </c>
      <c r="E273" s="41">
        <v>45836</v>
      </c>
      <c r="F273" s="41">
        <v>46091</v>
      </c>
      <c r="G273" s="42">
        <v>255</v>
      </c>
      <c r="H273" s="40" t="s">
        <v>530</v>
      </c>
      <c r="I273" s="39" t="s">
        <v>341</v>
      </c>
      <c r="J273" s="43">
        <v>205558.36</v>
      </c>
      <c r="K273" s="43">
        <v>0</v>
      </c>
      <c r="L273" s="43">
        <v>205558.36</v>
      </c>
      <c r="M273" s="44">
        <v>0</v>
      </c>
      <c r="N273" s="44">
        <f t="shared" si="4"/>
        <v>172934.19</v>
      </c>
      <c r="O273" s="44">
        <v>172934.19</v>
      </c>
      <c r="P273" s="40" t="s">
        <v>2121</v>
      </c>
      <c r="Q273" s="40" t="s">
        <v>2122</v>
      </c>
      <c r="R273" s="40" t="s">
        <v>494</v>
      </c>
      <c r="S273" s="40" t="s">
        <v>502</v>
      </c>
      <c r="T273" s="40" t="s">
        <v>185</v>
      </c>
      <c r="U273" s="40" t="s">
        <v>2123</v>
      </c>
      <c r="V273" s="40" t="s">
        <v>3791</v>
      </c>
      <c r="W273" s="40" t="s">
        <v>2124</v>
      </c>
    </row>
    <row r="274" spans="1:23" ht="12" x14ac:dyDescent="0.2">
      <c r="A274" s="39" t="s">
        <v>446</v>
      </c>
      <c r="B274" s="40" t="s">
        <v>445</v>
      </c>
      <c r="C274" s="40" t="s">
        <v>2605</v>
      </c>
      <c r="D274" s="41">
        <v>45806</v>
      </c>
      <c r="E274" s="41">
        <v>45836</v>
      </c>
      <c r="F274" s="41">
        <v>46091</v>
      </c>
      <c r="G274" s="42">
        <v>255</v>
      </c>
      <c r="H274" s="40" t="s">
        <v>530</v>
      </c>
      <c r="I274" s="39" t="s">
        <v>320</v>
      </c>
      <c r="J274" s="43">
        <v>500000</v>
      </c>
      <c r="K274" s="43">
        <v>0</v>
      </c>
      <c r="L274" s="43">
        <v>500000</v>
      </c>
      <c r="M274" s="44">
        <v>0</v>
      </c>
      <c r="N274" s="44">
        <f t="shared" si="4"/>
        <v>500000</v>
      </c>
      <c r="O274" s="44">
        <v>500000</v>
      </c>
      <c r="P274" s="40" t="s">
        <v>659</v>
      </c>
      <c r="Q274" s="40" t="s">
        <v>690</v>
      </c>
      <c r="R274" s="40" t="s">
        <v>494</v>
      </c>
      <c r="S274" s="40" t="s">
        <v>502</v>
      </c>
      <c r="T274" s="40" t="s">
        <v>181</v>
      </c>
      <c r="U274" s="40" t="s">
        <v>562</v>
      </c>
      <c r="V274" s="40" t="s">
        <v>3796</v>
      </c>
      <c r="W274" s="40" t="s">
        <v>321</v>
      </c>
    </row>
    <row r="275" spans="1:23" ht="12" x14ac:dyDescent="0.2">
      <c r="A275" s="39" t="s">
        <v>10</v>
      </c>
      <c r="B275" s="40" t="s">
        <v>393</v>
      </c>
      <c r="C275" s="40" t="s">
        <v>2609</v>
      </c>
      <c r="D275" s="41">
        <v>45807</v>
      </c>
      <c r="E275" s="41">
        <v>45837</v>
      </c>
      <c r="F275" s="41">
        <v>46091</v>
      </c>
      <c r="G275" s="42">
        <v>254</v>
      </c>
      <c r="H275" s="40" t="s">
        <v>530</v>
      </c>
      <c r="I275" s="39" t="s">
        <v>320</v>
      </c>
      <c r="J275" s="43">
        <v>26820</v>
      </c>
      <c r="K275" s="43">
        <v>0</v>
      </c>
      <c r="L275" s="43">
        <v>26820</v>
      </c>
      <c r="M275" s="44">
        <v>0</v>
      </c>
      <c r="N275" s="44">
        <f t="shared" si="4"/>
        <v>26820</v>
      </c>
      <c r="O275" s="44">
        <v>26820</v>
      </c>
      <c r="P275" s="40" t="s">
        <v>2327</v>
      </c>
      <c r="Q275" s="40" t="s">
        <v>2328</v>
      </c>
      <c r="R275" s="40" t="s">
        <v>494</v>
      </c>
      <c r="S275" s="40" t="s">
        <v>502</v>
      </c>
      <c r="T275" s="40" t="s">
        <v>287</v>
      </c>
      <c r="U275" s="40" t="s">
        <v>2329</v>
      </c>
      <c r="V275" s="40" t="s">
        <v>3906</v>
      </c>
      <c r="W275" s="40" t="s">
        <v>2330</v>
      </c>
    </row>
    <row r="276" spans="1:23" ht="12" x14ac:dyDescent="0.2">
      <c r="A276" s="39" t="s">
        <v>357</v>
      </c>
      <c r="B276" s="40" t="s">
        <v>356</v>
      </c>
      <c r="C276" s="40" t="s">
        <v>2978</v>
      </c>
      <c r="D276" s="41">
        <v>45808</v>
      </c>
      <c r="E276" s="41">
        <v>45838</v>
      </c>
      <c r="F276" s="41">
        <v>46091</v>
      </c>
      <c r="G276" s="42">
        <v>253</v>
      </c>
      <c r="H276" s="40" t="s">
        <v>530</v>
      </c>
      <c r="I276" s="39" t="s">
        <v>341</v>
      </c>
      <c r="J276" s="43">
        <v>11381.49</v>
      </c>
      <c r="K276" s="43">
        <v>0</v>
      </c>
      <c r="L276" s="43">
        <v>7690.02</v>
      </c>
      <c r="M276" s="44">
        <v>0</v>
      </c>
      <c r="N276" s="44">
        <f t="shared" si="4"/>
        <v>6503.99</v>
      </c>
      <c r="O276" s="44">
        <v>6503.99</v>
      </c>
      <c r="P276" s="40" t="s">
        <v>2979</v>
      </c>
      <c r="Q276" s="40" t="s">
        <v>2980</v>
      </c>
      <c r="R276" s="40" t="s">
        <v>494</v>
      </c>
      <c r="S276" s="40" t="s">
        <v>495</v>
      </c>
      <c r="T276" s="40" t="s">
        <v>293</v>
      </c>
      <c r="U276" s="40" t="s">
        <v>2981</v>
      </c>
      <c r="V276" s="40" t="s">
        <v>3791</v>
      </c>
      <c r="W276" s="40" t="s">
        <v>2982</v>
      </c>
    </row>
    <row r="277" spans="1:23" ht="12" x14ac:dyDescent="0.2">
      <c r="A277" s="39" t="s">
        <v>628</v>
      </c>
      <c r="B277" s="40" t="s">
        <v>629</v>
      </c>
      <c r="C277" s="40" t="s">
        <v>2610</v>
      </c>
      <c r="D277" s="41">
        <v>45810</v>
      </c>
      <c r="E277" s="41">
        <v>45840</v>
      </c>
      <c r="F277" s="41">
        <v>46091</v>
      </c>
      <c r="G277" s="42">
        <v>251</v>
      </c>
      <c r="H277" s="40" t="s">
        <v>530</v>
      </c>
      <c r="I277" s="39" t="s">
        <v>323</v>
      </c>
      <c r="J277" s="43">
        <v>25092.39</v>
      </c>
      <c r="K277" s="43">
        <v>0</v>
      </c>
      <c r="L277" s="43">
        <v>25092.39</v>
      </c>
      <c r="M277" s="44">
        <v>0</v>
      </c>
      <c r="N277" s="44">
        <f t="shared" si="4"/>
        <v>20073.91</v>
      </c>
      <c r="O277" s="44">
        <v>20073.91</v>
      </c>
      <c r="P277" s="40" t="s">
        <v>1155</v>
      </c>
      <c r="Q277" s="40" t="s">
        <v>1156</v>
      </c>
      <c r="R277" s="40" t="s">
        <v>494</v>
      </c>
      <c r="S277" s="40" t="s">
        <v>502</v>
      </c>
      <c r="T277" s="40" t="s">
        <v>218</v>
      </c>
      <c r="U277" s="40" t="s">
        <v>1157</v>
      </c>
      <c r="V277" s="40" t="s">
        <v>3942</v>
      </c>
      <c r="W277" s="40" t="s">
        <v>1158</v>
      </c>
    </row>
    <row r="278" spans="1:23" ht="12" x14ac:dyDescent="0.2">
      <c r="A278" s="39" t="s">
        <v>357</v>
      </c>
      <c r="B278" s="40" t="s">
        <v>356</v>
      </c>
      <c r="C278" s="40" t="s">
        <v>2615</v>
      </c>
      <c r="D278" s="41">
        <v>45812</v>
      </c>
      <c r="E278" s="41">
        <v>45842</v>
      </c>
      <c r="F278" s="41">
        <v>46091</v>
      </c>
      <c r="G278" s="42">
        <v>249</v>
      </c>
      <c r="H278" s="40" t="s">
        <v>530</v>
      </c>
      <c r="I278" s="39" t="s">
        <v>341</v>
      </c>
      <c r="J278" s="43">
        <v>220530.11</v>
      </c>
      <c r="K278" s="43">
        <v>0</v>
      </c>
      <c r="L278" s="43">
        <v>47315.02</v>
      </c>
      <c r="M278" s="44">
        <v>0</v>
      </c>
      <c r="N278" s="44">
        <f t="shared" si="4"/>
        <v>40608.589999999997</v>
      </c>
      <c r="O278" s="44">
        <v>40608.589999999997</v>
      </c>
      <c r="P278" s="40" t="s">
        <v>2616</v>
      </c>
      <c r="Q278" s="40" t="s">
        <v>2617</v>
      </c>
      <c r="R278" s="40" t="s">
        <v>494</v>
      </c>
      <c r="S278" s="40" t="s">
        <v>495</v>
      </c>
      <c r="T278" s="40" t="s">
        <v>225</v>
      </c>
      <c r="U278" s="40" t="s">
        <v>2618</v>
      </c>
      <c r="V278" s="40" t="s">
        <v>3943</v>
      </c>
      <c r="W278" s="40" t="s">
        <v>2619</v>
      </c>
    </row>
    <row r="279" spans="1:23" ht="12" x14ac:dyDescent="0.2">
      <c r="A279" s="39" t="s">
        <v>742</v>
      </c>
      <c r="B279" s="40" t="s">
        <v>743</v>
      </c>
      <c r="C279" s="40" t="s">
        <v>2620</v>
      </c>
      <c r="D279" s="41">
        <v>45813</v>
      </c>
      <c r="E279" s="41">
        <v>45843</v>
      </c>
      <c r="F279" s="41">
        <v>46091</v>
      </c>
      <c r="G279" s="42">
        <v>248</v>
      </c>
      <c r="H279" s="40" t="s">
        <v>530</v>
      </c>
      <c r="I279" s="39" t="s">
        <v>323</v>
      </c>
      <c r="J279" s="43">
        <v>163744.95999999999</v>
      </c>
      <c r="K279" s="43">
        <v>0</v>
      </c>
      <c r="L279" s="43">
        <v>163744.95999999999</v>
      </c>
      <c r="M279" s="44">
        <v>0</v>
      </c>
      <c r="N279" s="44">
        <f t="shared" si="4"/>
        <v>126922.27</v>
      </c>
      <c r="O279" s="44">
        <v>126922.27</v>
      </c>
      <c r="P279" s="40" t="s">
        <v>2621</v>
      </c>
      <c r="Q279" s="40" t="s">
        <v>2622</v>
      </c>
      <c r="R279" s="40" t="s">
        <v>494</v>
      </c>
      <c r="S279" s="40" t="s">
        <v>502</v>
      </c>
      <c r="T279" s="40" t="s">
        <v>773</v>
      </c>
      <c r="U279" s="40" t="s">
        <v>708</v>
      </c>
      <c r="V279" s="40" t="s">
        <v>3944</v>
      </c>
      <c r="W279" s="40" t="s">
        <v>321</v>
      </c>
    </row>
    <row r="280" spans="1:23" ht="12" x14ac:dyDescent="0.2">
      <c r="A280" s="39" t="s">
        <v>1136</v>
      </c>
      <c r="B280" s="40" t="s">
        <v>1137</v>
      </c>
      <c r="C280" s="40" t="s">
        <v>2623</v>
      </c>
      <c r="D280" s="41">
        <v>45813</v>
      </c>
      <c r="E280" s="41">
        <v>45843</v>
      </c>
      <c r="F280" s="41">
        <v>46091</v>
      </c>
      <c r="G280" s="42">
        <v>248</v>
      </c>
      <c r="H280" s="40" t="s">
        <v>530</v>
      </c>
      <c r="I280" s="39" t="s">
        <v>320</v>
      </c>
      <c r="J280" s="43">
        <v>104064.11</v>
      </c>
      <c r="K280" s="43">
        <v>0</v>
      </c>
      <c r="L280" s="43">
        <v>104064.11</v>
      </c>
      <c r="M280" s="44">
        <v>0</v>
      </c>
      <c r="N280" s="44">
        <f t="shared" si="4"/>
        <v>104064.11</v>
      </c>
      <c r="O280" s="44">
        <v>104064.11</v>
      </c>
      <c r="P280" s="40" t="s">
        <v>1425</v>
      </c>
      <c r="Q280" s="40" t="s">
        <v>1426</v>
      </c>
      <c r="R280" s="40" t="s">
        <v>494</v>
      </c>
      <c r="S280" s="40" t="s">
        <v>502</v>
      </c>
      <c r="T280" s="40" t="s">
        <v>280</v>
      </c>
      <c r="U280" s="40" t="s">
        <v>1427</v>
      </c>
      <c r="V280" s="40" t="s">
        <v>3945</v>
      </c>
      <c r="W280" s="40" t="s">
        <v>1428</v>
      </c>
    </row>
    <row r="281" spans="1:23" ht="12" x14ac:dyDescent="0.2">
      <c r="A281" s="39" t="s">
        <v>788</v>
      </c>
      <c r="B281" s="40" t="s">
        <v>789</v>
      </c>
      <c r="C281" s="40" t="s">
        <v>2633</v>
      </c>
      <c r="D281" s="41">
        <v>45818</v>
      </c>
      <c r="E281" s="41">
        <v>45848</v>
      </c>
      <c r="F281" s="41">
        <v>46091</v>
      </c>
      <c r="G281" s="42">
        <v>243</v>
      </c>
      <c r="H281" s="40" t="s">
        <v>530</v>
      </c>
      <c r="I281" s="39" t="s">
        <v>320</v>
      </c>
      <c r="J281" s="43">
        <v>94760.01</v>
      </c>
      <c r="K281" s="43">
        <v>0</v>
      </c>
      <c r="L281" s="43">
        <v>94760.01</v>
      </c>
      <c r="M281" s="44">
        <v>0</v>
      </c>
      <c r="N281" s="44">
        <f t="shared" si="4"/>
        <v>94760.01</v>
      </c>
      <c r="O281" s="44">
        <v>94760.01</v>
      </c>
      <c r="P281" s="40" t="s">
        <v>790</v>
      </c>
      <c r="Q281" s="40" t="s">
        <v>791</v>
      </c>
      <c r="R281" s="40" t="s">
        <v>494</v>
      </c>
      <c r="S281" s="40" t="s">
        <v>502</v>
      </c>
      <c r="T281" s="40" t="s">
        <v>501</v>
      </c>
      <c r="U281" s="40" t="s">
        <v>640</v>
      </c>
      <c r="V281" s="40" t="s">
        <v>3946</v>
      </c>
      <c r="W281" s="40" t="s">
        <v>2983</v>
      </c>
    </row>
    <row r="282" spans="1:23" ht="12" x14ac:dyDescent="0.2">
      <c r="A282" s="39" t="s">
        <v>339</v>
      </c>
      <c r="B282" s="40" t="s">
        <v>338</v>
      </c>
      <c r="C282" s="40" t="s">
        <v>2634</v>
      </c>
      <c r="D282" s="41">
        <v>45818</v>
      </c>
      <c r="E282" s="41">
        <v>45848</v>
      </c>
      <c r="F282" s="41">
        <v>46091</v>
      </c>
      <c r="G282" s="42">
        <v>243</v>
      </c>
      <c r="H282" s="40" t="s">
        <v>530</v>
      </c>
      <c r="I282" s="39" t="s">
        <v>320</v>
      </c>
      <c r="J282" s="43">
        <v>63561.43</v>
      </c>
      <c r="K282" s="43">
        <v>0</v>
      </c>
      <c r="L282" s="43">
        <v>63561.43</v>
      </c>
      <c r="M282" s="44">
        <v>0</v>
      </c>
      <c r="N282" s="44">
        <f t="shared" si="4"/>
        <v>63561.43</v>
      </c>
      <c r="O282" s="44">
        <v>63561.43</v>
      </c>
      <c r="P282" s="40" t="s">
        <v>2635</v>
      </c>
      <c r="Q282" s="40" t="s">
        <v>2636</v>
      </c>
      <c r="R282" s="40" t="s">
        <v>494</v>
      </c>
      <c r="S282" s="40" t="s">
        <v>495</v>
      </c>
      <c r="T282" s="40" t="s">
        <v>280</v>
      </c>
      <c r="U282" s="40" t="s">
        <v>2637</v>
      </c>
      <c r="V282" s="40" t="s">
        <v>3947</v>
      </c>
      <c r="W282" s="40" t="s">
        <v>2638</v>
      </c>
    </row>
    <row r="283" spans="1:23" ht="12" x14ac:dyDescent="0.2">
      <c r="A283" s="39" t="s">
        <v>2974</v>
      </c>
      <c r="B283" s="40" t="s">
        <v>1872</v>
      </c>
      <c r="C283" s="40" t="s">
        <v>2639</v>
      </c>
      <c r="D283" s="41">
        <v>45819</v>
      </c>
      <c r="E283" s="41">
        <v>45849</v>
      </c>
      <c r="F283" s="41">
        <v>46091</v>
      </c>
      <c r="G283" s="42">
        <v>242</v>
      </c>
      <c r="H283" s="40" t="s">
        <v>530</v>
      </c>
      <c r="I283" s="39" t="s">
        <v>320</v>
      </c>
      <c r="J283" s="43">
        <v>900000</v>
      </c>
      <c r="K283" s="43">
        <v>150000</v>
      </c>
      <c r="L283" s="43">
        <v>10500</v>
      </c>
      <c r="M283" s="44">
        <v>1750</v>
      </c>
      <c r="N283" s="44">
        <f t="shared" si="4"/>
        <v>-139500</v>
      </c>
      <c r="O283" s="44">
        <v>10500</v>
      </c>
      <c r="P283" s="40" t="s">
        <v>2640</v>
      </c>
      <c r="Q283" s="40" t="s">
        <v>2641</v>
      </c>
      <c r="R283" s="40" t="s">
        <v>494</v>
      </c>
      <c r="S283" s="40" t="s">
        <v>502</v>
      </c>
      <c r="T283" s="40" t="s">
        <v>514</v>
      </c>
      <c r="U283" s="40" t="s">
        <v>580</v>
      </c>
      <c r="V283" s="40" t="s">
        <v>3948</v>
      </c>
      <c r="W283" s="40" t="s">
        <v>2642</v>
      </c>
    </row>
    <row r="284" spans="1:23" ht="12" x14ac:dyDescent="0.2">
      <c r="A284" s="39" t="s">
        <v>1552</v>
      </c>
      <c r="B284" s="40" t="s">
        <v>2643</v>
      </c>
      <c r="C284" s="40" t="s">
        <v>2644</v>
      </c>
      <c r="D284" s="41">
        <v>45819</v>
      </c>
      <c r="E284" s="41">
        <v>45849</v>
      </c>
      <c r="F284" s="41">
        <v>46091</v>
      </c>
      <c r="G284" s="42">
        <v>242</v>
      </c>
      <c r="H284" s="40" t="s">
        <v>530</v>
      </c>
      <c r="I284" s="39" t="s">
        <v>341</v>
      </c>
      <c r="J284" s="43">
        <v>257303.97</v>
      </c>
      <c r="K284" s="43">
        <v>0</v>
      </c>
      <c r="L284" s="43">
        <v>257303.97</v>
      </c>
      <c r="M284" s="44">
        <v>0</v>
      </c>
      <c r="N284" s="44">
        <f t="shared" si="4"/>
        <v>224024.29</v>
      </c>
      <c r="O284" s="44">
        <v>224024.29</v>
      </c>
      <c r="P284" s="40" t="s">
        <v>2645</v>
      </c>
      <c r="Q284" s="40" t="s">
        <v>2646</v>
      </c>
      <c r="R284" s="40" t="s">
        <v>494</v>
      </c>
      <c r="S284" s="40" t="s">
        <v>495</v>
      </c>
      <c r="T284" s="40" t="s">
        <v>773</v>
      </c>
      <c r="U284" s="40" t="s">
        <v>1940</v>
      </c>
      <c r="V284" s="40" t="s">
        <v>3949</v>
      </c>
      <c r="W284" s="40" t="s">
        <v>2647</v>
      </c>
    </row>
    <row r="285" spans="1:23" ht="12" x14ac:dyDescent="0.2">
      <c r="A285" s="39" t="s">
        <v>742</v>
      </c>
      <c r="B285" s="40" t="s">
        <v>743</v>
      </c>
      <c r="C285" s="40" t="s">
        <v>2656</v>
      </c>
      <c r="D285" s="41">
        <v>45820</v>
      </c>
      <c r="E285" s="41">
        <v>45850</v>
      </c>
      <c r="F285" s="41">
        <v>46091</v>
      </c>
      <c r="G285" s="42">
        <v>241</v>
      </c>
      <c r="H285" s="40" t="s">
        <v>530</v>
      </c>
      <c r="I285" s="39" t="s">
        <v>323</v>
      </c>
      <c r="J285" s="43">
        <v>-5436.11</v>
      </c>
      <c r="K285" s="43">
        <v>0</v>
      </c>
      <c r="L285" s="43">
        <v>-5436.11</v>
      </c>
      <c r="M285" s="44">
        <v>0</v>
      </c>
      <c r="N285" s="44">
        <f t="shared" si="4"/>
        <v>-4271.05</v>
      </c>
      <c r="O285" s="44">
        <v>-4271.05</v>
      </c>
      <c r="P285" s="40" t="s">
        <v>864</v>
      </c>
      <c r="Q285" s="40" t="s">
        <v>865</v>
      </c>
      <c r="R285" s="40" t="s">
        <v>494</v>
      </c>
      <c r="S285" s="40" t="s">
        <v>502</v>
      </c>
      <c r="T285" s="40" t="s">
        <v>497</v>
      </c>
      <c r="U285" s="40" t="s">
        <v>581</v>
      </c>
      <c r="V285" s="40" t="s">
        <v>3842</v>
      </c>
      <c r="W285" s="40" t="s">
        <v>322</v>
      </c>
    </row>
    <row r="286" spans="1:23" ht="12" x14ac:dyDescent="0.2">
      <c r="A286" s="39" t="s">
        <v>815</v>
      </c>
      <c r="B286" s="40" t="s">
        <v>1119</v>
      </c>
      <c r="C286" s="40" t="s">
        <v>2664</v>
      </c>
      <c r="D286" s="41">
        <v>45825</v>
      </c>
      <c r="E286" s="41">
        <v>45855</v>
      </c>
      <c r="F286" s="41">
        <v>46091</v>
      </c>
      <c r="G286" s="42">
        <v>236</v>
      </c>
      <c r="H286" s="40" t="s">
        <v>530</v>
      </c>
      <c r="I286" s="39" t="s">
        <v>320</v>
      </c>
      <c r="J286" s="43">
        <v>54545.1</v>
      </c>
      <c r="K286" s="43">
        <v>9090.85</v>
      </c>
      <c r="L286" s="43">
        <v>54545.1</v>
      </c>
      <c r="M286" s="44">
        <v>9090.85</v>
      </c>
      <c r="N286" s="44">
        <f t="shared" si="4"/>
        <v>45454.25</v>
      </c>
      <c r="O286" s="44">
        <v>54545.1</v>
      </c>
      <c r="P286" s="40" t="s">
        <v>2665</v>
      </c>
      <c r="Q286" s="40" t="s">
        <v>2666</v>
      </c>
      <c r="R286" s="40" t="s">
        <v>494</v>
      </c>
      <c r="S286" s="40" t="s">
        <v>495</v>
      </c>
      <c r="T286" s="40" t="s">
        <v>284</v>
      </c>
      <c r="U286" s="40" t="s">
        <v>1505</v>
      </c>
      <c r="V286" s="40" t="s">
        <v>3950</v>
      </c>
      <c r="W286" s="40" t="s">
        <v>2667</v>
      </c>
    </row>
    <row r="287" spans="1:23" ht="12" x14ac:dyDescent="0.2">
      <c r="A287" s="39" t="s">
        <v>366</v>
      </c>
      <c r="B287" s="40" t="s">
        <v>365</v>
      </c>
      <c r="C287" s="40" t="s">
        <v>2668</v>
      </c>
      <c r="D287" s="41">
        <v>45825</v>
      </c>
      <c r="E287" s="41">
        <v>45855</v>
      </c>
      <c r="F287" s="41">
        <v>46091</v>
      </c>
      <c r="G287" s="42">
        <v>236</v>
      </c>
      <c r="H287" s="40" t="s">
        <v>530</v>
      </c>
      <c r="I287" s="39" t="s">
        <v>320</v>
      </c>
      <c r="J287" s="43">
        <v>-29530.93</v>
      </c>
      <c r="K287" s="43">
        <v>0</v>
      </c>
      <c r="L287" s="43">
        <v>-29530.93</v>
      </c>
      <c r="M287" s="44">
        <v>0</v>
      </c>
      <c r="N287" s="44">
        <f t="shared" si="4"/>
        <v>-29530.93</v>
      </c>
      <c r="O287" s="44">
        <v>-29530.93</v>
      </c>
      <c r="P287" s="40" t="s">
        <v>2669</v>
      </c>
      <c r="Q287" s="40" t="s">
        <v>2670</v>
      </c>
      <c r="R287" s="40" t="s">
        <v>494</v>
      </c>
      <c r="S287" s="40" t="s">
        <v>495</v>
      </c>
      <c r="T287" s="40" t="s">
        <v>203</v>
      </c>
      <c r="U287" s="40" t="s">
        <v>2671</v>
      </c>
      <c r="V287" s="40" t="s">
        <v>3951</v>
      </c>
      <c r="W287" s="40" t="s">
        <v>2672</v>
      </c>
    </row>
    <row r="288" spans="1:23" ht="12" x14ac:dyDescent="0.2">
      <c r="A288" s="39" t="s">
        <v>54</v>
      </c>
      <c r="B288" s="40" t="s">
        <v>455</v>
      </c>
      <c r="C288" s="40" t="s">
        <v>2673</v>
      </c>
      <c r="D288" s="41">
        <v>45825</v>
      </c>
      <c r="E288" s="41">
        <v>45855</v>
      </c>
      <c r="F288" s="41">
        <v>46091</v>
      </c>
      <c r="G288" s="42">
        <v>236</v>
      </c>
      <c r="H288" s="40" t="s">
        <v>530</v>
      </c>
      <c r="I288" s="39" t="s">
        <v>320</v>
      </c>
      <c r="J288" s="43">
        <v>27154.799999999999</v>
      </c>
      <c r="K288" s="43">
        <v>0</v>
      </c>
      <c r="L288" s="43">
        <v>27154.799999999999</v>
      </c>
      <c r="M288" s="44">
        <v>0</v>
      </c>
      <c r="N288" s="44">
        <f t="shared" si="4"/>
        <v>27154.799999999999</v>
      </c>
      <c r="O288" s="44">
        <v>27154.799999999999</v>
      </c>
      <c r="P288" s="40" t="s">
        <v>2097</v>
      </c>
      <c r="Q288" s="40" t="s">
        <v>2674</v>
      </c>
      <c r="R288" s="40" t="s">
        <v>494</v>
      </c>
      <c r="S288" s="40" t="s">
        <v>502</v>
      </c>
      <c r="T288" s="40" t="s">
        <v>363</v>
      </c>
      <c r="U288" s="40" t="s">
        <v>1657</v>
      </c>
      <c r="V288" s="40" t="s">
        <v>3952</v>
      </c>
      <c r="W288" s="40" t="s">
        <v>2675</v>
      </c>
    </row>
    <row r="289" spans="1:23" ht="12" x14ac:dyDescent="0.2">
      <c r="A289" s="39" t="s">
        <v>318</v>
      </c>
      <c r="B289" s="40" t="s">
        <v>317</v>
      </c>
      <c r="C289" s="40" t="s">
        <v>2687</v>
      </c>
      <c r="D289" s="41">
        <v>45826</v>
      </c>
      <c r="E289" s="41">
        <v>45856</v>
      </c>
      <c r="F289" s="41">
        <v>46091</v>
      </c>
      <c r="G289" s="42">
        <v>235</v>
      </c>
      <c r="H289" s="40" t="s">
        <v>530</v>
      </c>
      <c r="I289" s="39" t="s">
        <v>323</v>
      </c>
      <c r="J289" s="43">
        <v>45000</v>
      </c>
      <c r="K289" s="43">
        <v>0</v>
      </c>
      <c r="L289" s="43">
        <v>30000</v>
      </c>
      <c r="M289" s="44">
        <v>0</v>
      </c>
      <c r="N289" s="44">
        <f t="shared" si="4"/>
        <v>24136.66</v>
      </c>
      <c r="O289" s="44">
        <v>24136.66</v>
      </c>
      <c r="P289" s="40" t="s">
        <v>319</v>
      </c>
      <c r="Q289" s="40" t="s">
        <v>546</v>
      </c>
      <c r="R289" s="40" t="s">
        <v>494</v>
      </c>
      <c r="S289" s="40" t="s">
        <v>502</v>
      </c>
      <c r="T289" s="40" t="s">
        <v>547</v>
      </c>
      <c r="U289" s="40" t="s">
        <v>619</v>
      </c>
      <c r="V289" s="40" t="s">
        <v>3953</v>
      </c>
      <c r="W289" s="40"/>
    </row>
    <row r="290" spans="1:23" ht="12" x14ac:dyDescent="0.2">
      <c r="A290" s="39" t="s">
        <v>41</v>
      </c>
      <c r="B290" s="40" t="s">
        <v>459</v>
      </c>
      <c r="C290" s="40" t="s">
        <v>2683</v>
      </c>
      <c r="D290" s="41">
        <v>45826</v>
      </c>
      <c r="E290" s="41">
        <v>45856</v>
      </c>
      <c r="F290" s="41">
        <v>46091</v>
      </c>
      <c r="G290" s="42">
        <v>235</v>
      </c>
      <c r="H290" s="40" t="s">
        <v>530</v>
      </c>
      <c r="I290" s="39" t="s">
        <v>320</v>
      </c>
      <c r="J290" s="43">
        <v>11309.13</v>
      </c>
      <c r="K290" s="43">
        <v>0</v>
      </c>
      <c r="L290" s="43">
        <v>11309.13</v>
      </c>
      <c r="M290" s="44">
        <v>0</v>
      </c>
      <c r="N290" s="44">
        <f t="shared" si="4"/>
        <v>11309.13</v>
      </c>
      <c r="O290" s="44">
        <v>11309.13</v>
      </c>
      <c r="P290" s="40" t="s">
        <v>2684</v>
      </c>
      <c r="Q290" s="40" t="s">
        <v>2685</v>
      </c>
      <c r="R290" s="40" t="s">
        <v>494</v>
      </c>
      <c r="S290" s="40" t="s">
        <v>502</v>
      </c>
      <c r="T290" s="40" t="s">
        <v>280</v>
      </c>
      <c r="U290" s="40" t="s">
        <v>753</v>
      </c>
      <c r="V290" s="40" t="s">
        <v>3954</v>
      </c>
      <c r="W290" s="40" t="s">
        <v>2686</v>
      </c>
    </row>
    <row r="291" spans="1:23" ht="12" x14ac:dyDescent="0.2">
      <c r="A291" s="39" t="s">
        <v>337</v>
      </c>
      <c r="B291" s="40" t="s">
        <v>336</v>
      </c>
      <c r="C291" s="40" t="s">
        <v>2698</v>
      </c>
      <c r="D291" s="41">
        <v>45827</v>
      </c>
      <c r="E291" s="41">
        <v>45857</v>
      </c>
      <c r="F291" s="41">
        <v>46091</v>
      </c>
      <c r="G291" s="42">
        <v>234</v>
      </c>
      <c r="H291" s="40" t="s">
        <v>530</v>
      </c>
      <c r="I291" s="39" t="s">
        <v>320</v>
      </c>
      <c r="J291" s="43">
        <v>60464.98</v>
      </c>
      <c r="K291" s="43">
        <v>0</v>
      </c>
      <c r="L291" s="43">
        <v>60464.98</v>
      </c>
      <c r="M291" s="44">
        <v>0</v>
      </c>
      <c r="N291" s="44">
        <f t="shared" si="4"/>
        <v>60464.98</v>
      </c>
      <c r="O291" s="44">
        <v>60464.98</v>
      </c>
      <c r="P291" s="40" t="s">
        <v>1283</v>
      </c>
      <c r="Q291" s="40" t="s">
        <v>1284</v>
      </c>
      <c r="R291" s="40" t="s">
        <v>494</v>
      </c>
      <c r="S291" s="40" t="s">
        <v>502</v>
      </c>
      <c r="T291" s="40" t="s">
        <v>289</v>
      </c>
      <c r="U291" s="40" t="s">
        <v>558</v>
      </c>
      <c r="V291" s="40" t="s">
        <v>3955</v>
      </c>
      <c r="W291" s="40" t="s">
        <v>1285</v>
      </c>
    </row>
    <row r="292" spans="1:23" ht="12" x14ac:dyDescent="0.2">
      <c r="A292" s="39" t="s">
        <v>657</v>
      </c>
      <c r="B292" s="40" t="s">
        <v>913</v>
      </c>
      <c r="C292" s="40" t="s">
        <v>2691</v>
      </c>
      <c r="D292" s="41">
        <v>45827</v>
      </c>
      <c r="E292" s="41">
        <v>45857</v>
      </c>
      <c r="F292" s="41">
        <v>46091</v>
      </c>
      <c r="G292" s="42">
        <v>234</v>
      </c>
      <c r="H292" s="40" t="s">
        <v>530</v>
      </c>
      <c r="I292" s="39" t="s">
        <v>323</v>
      </c>
      <c r="J292" s="43">
        <v>12793.38</v>
      </c>
      <c r="K292" s="43">
        <v>0</v>
      </c>
      <c r="L292" s="43">
        <v>12793.38</v>
      </c>
      <c r="M292" s="44">
        <v>0</v>
      </c>
      <c r="N292" s="44">
        <f t="shared" si="4"/>
        <v>8823.02</v>
      </c>
      <c r="O292" s="44">
        <v>8823.02</v>
      </c>
      <c r="P292" s="40" t="s">
        <v>2692</v>
      </c>
      <c r="Q292" s="40" t="s">
        <v>2693</v>
      </c>
      <c r="R292" s="40" t="s">
        <v>494</v>
      </c>
      <c r="S292" s="40" t="s">
        <v>495</v>
      </c>
      <c r="T292" s="40" t="s">
        <v>225</v>
      </c>
      <c r="U292" s="40" t="s">
        <v>914</v>
      </c>
      <c r="V292" s="40" t="s">
        <v>3956</v>
      </c>
      <c r="W292" s="40" t="s">
        <v>2694</v>
      </c>
    </row>
    <row r="293" spans="1:23" ht="12" x14ac:dyDescent="0.2">
      <c r="A293" s="39" t="s">
        <v>54</v>
      </c>
      <c r="B293" s="40" t="s">
        <v>455</v>
      </c>
      <c r="C293" s="40" t="s">
        <v>2699</v>
      </c>
      <c r="D293" s="41">
        <v>45831</v>
      </c>
      <c r="E293" s="41">
        <v>45861</v>
      </c>
      <c r="F293" s="41">
        <v>46091</v>
      </c>
      <c r="G293" s="42">
        <v>230</v>
      </c>
      <c r="H293" s="40" t="s">
        <v>530</v>
      </c>
      <c r="I293" s="39" t="s">
        <v>320</v>
      </c>
      <c r="J293" s="43">
        <v>28267</v>
      </c>
      <c r="K293" s="43">
        <v>0</v>
      </c>
      <c r="L293" s="43">
        <v>28267</v>
      </c>
      <c r="M293" s="44">
        <v>0</v>
      </c>
      <c r="N293" s="44">
        <f t="shared" si="4"/>
        <v>28267</v>
      </c>
      <c r="O293" s="44">
        <v>28267</v>
      </c>
      <c r="P293" s="40" t="s">
        <v>2700</v>
      </c>
      <c r="Q293" s="40" t="s">
        <v>2701</v>
      </c>
      <c r="R293" s="40" t="s">
        <v>494</v>
      </c>
      <c r="S293" s="40" t="s">
        <v>502</v>
      </c>
      <c r="T293" s="40" t="s">
        <v>280</v>
      </c>
      <c r="U293" s="40" t="s">
        <v>2242</v>
      </c>
      <c r="V293" s="40" t="s">
        <v>3957</v>
      </c>
      <c r="W293" s="40" t="s">
        <v>2702</v>
      </c>
    </row>
    <row r="294" spans="1:23" ht="12" x14ac:dyDescent="0.2">
      <c r="A294" s="39" t="s">
        <v>335</v>
      </c>
      <c r="B294" s="40" t="s">
        <v>334</v>
      </c>
      <c r="C294" s="40" t="s">
        <v>2712</v>
      </c>
      <c r="D294" s="41">
        <v>45832</v>
      </c>
      <c r="E294" s="41">
        <v>45862</v>
      </c>
      <c r="F294" s="41">
        <v>46091</v>
      </c>
      <c r="G294" s="42">
        <v>229</v>
      </c>
      <c r="H294" s="40" t="s">
        <v>530</v>
      </c>
      <c r="I294" s="39" t="s">
        <v>320</v>
      </c>
      <c r="J294" s="43">
        <v>-7315</v>
      </c>
      <c r="K294" s="43">
        <v>0</v>
      </c>
      <c r="L294" s="43">
        <v>-7315</v>
      </c>
      <c r="M294" s="44">
        <v>0</v>
      </c>
      <c r="N294" s="44">
        <f t="shared" si="4"/>
        <v>-7315</v>
      </c>
      <c r="O294" s="44">
        <v>-7315</v>
      </c>
      <c r="P294" s="40" t="s">
        <v>2713</v>
      </c>
      <c r="Q294" s="40" t="s">
        <v>2714</v>
      </c>
      <c r="R294" s="40" t="s">
        <v>494</v>
      </c>
      <c r="S294" s="40" t="s">
        <v>495</v>
      </c>
      <c r="T294" s="40" t="s">
        <v>496</v>
      </c>
      <c r="U294" s="40" t="s">
        <v>2715</v>
      </c>
      <c r="V294" s="40"/>
      <c r="W294" s="40" t="s">
        <v>2716</v>
      </c>
    </row>
    <row r="295" spans="1:23" ht="12" x14ac:dyDescent="0.2">
      <c r="A295" s="39" t="s">
        <v>31</v>
      </c>
      <c r="B295" s="40" t="s">
        <v>353</v>
      </c>
      <c r="C295" s="40" t="s">
        <v>2717</v>
      </c>
      <c r="D295" s="41">
        <v>45832</v>
      </c>
      <c r="E295" s="41">
        <v>45862</v>
      </c>
      <c r="F295" s="41">
        <v>46091</v>
      </c>
      <c r="G295" s="42">
        <v>229</v>
      </c>
      <c r="H295" s="40" t="s">
        <v>530</v>
      </c>
      <c r="I295" s="39" t="s">
        <v>320</v>
      </c>
      <c r="J295" s="43">
        <v>-9364.18</v>
      </c>
      <c r="K295" s="43">
        <v>0</v>
      </c>
      <c r="L295" s="43">
        <v>-9364.18</v>
      </c>
      <c r="M295" s="44">
        <v>0</v>
      </c>
      <c r="N295" s="44">
        <f t="shared" si="4"/>
        <v>-9364.18</v>
      </c>
      <c r="O295" s="44">
        <v>-9364.18</v>
      </c>
      <c r="P295" s="40" t="s">
        <v>2718</v>
      </c>
      <c r="Q295" s="40" t="s">
        <v>2719</v>
      </c>
      <c r="R295" s="40" t="s">
        <v>494</v>
      </c>
      <c r="S295" s="40" t="s">
        <v>502</v>
      </c>
      <c r="T295" s="40" t="s">
        <v>185</v>
      </c>
      <c r="U295" s="40" t="s">
        <v>646</v>
      </c>
      <c r="V295" s="40" t="s">
        <v>2976</v>
      </c>
      <c r="W295" s="40" t="s">
        <v>2720</v>
      </c>
    </row>
    <row r="296" spans="1:23" ht="12" x14ac:dyDescent="0.2">
      <c r="A296" s="39" t="s">
        <v>1167</v>
      </c>
      <c r="B296" s="40" t="s">
        <v>1221</v>
      </c>
      <c r="C296" s="40" t="s">
        <v>2721</v>
      </c>
      <c r="D296" s="41">
        <v>45832</v>
      </c>
      <c r="E296" s="41">
        <v>45862</v>
      </c>
      <c r="F296" s="41">
        <v>46091</v>
      </c>
      <c r="G296" s="42">
        <v>229</v>
      </c>
      <c r="H296" s="40" t="s">
        <v>530</v>
      </c>
      <c r="I296" s="39" t="s">
        <v>323</v>
      </c>
      <c r="J296" s="43">
        <v>62416.49</v>
      </c>
      <c r="K296" s="43">
        <v>0</v>
      </c>
      <c r="L296" s="43">
        <v>62416.49</v>
      </c>
      <c r="M296" s="44">
        <v>0</v>
      </c>
      <c r="N296" s="44">
        <f t="shared" si="4"/>
        <v>46234.44</v>
      </c>
      <c r="O296" s="44">
        <v>46234.44</v>
      </c>
      <c r="P296" s="40" t="s">
        <v>2722</v>
      </c>
      <c r="Q296" s="40" t="s">
        <v>2723</v>
      </c>
      <c r="R296" s="40" t="s">
        <v>494</v>
      </c>
      <c r="S296" s="40" t="s">
        <v>502</v>
      </c>
      <c r="T296" s="40" t="s">
        <v>888</v>
      </c>
      <c r="U296" s="40" t="s">
        <v>1160</v>
      </c>
      <c r="V296" s="40" t="s">
        <v>3958</v>
      </c>
      <c r="W296" s="40" t="s">
        <v>2724</v>
      </c>
    </row>
    <row r="297" spans="1:23" ht="12" x14ac:dyDescent="0.2">
      <c r="A297" s="39" t="s">
        <v>1497</v>
      </c>
      <c r="B297" s="40" t="s">
        <v>1498</v>
      </c>
      <c r="C297" s="40" t="s">
        <v>2711</v>
      </c>
      <c r="D297" s="41">
        <v>45832</v>
      </c>
      <c r="E297" s="41">
        <v>45862</v>
      </c>
      <c r="F297" s="41">
        <v>46091</v>
      </c>
      <c r="G297" s="42">
        <v>229</v>
      </c>
      <c r="H297" s="40" t="s">
        <v>530</v>
      </c>
      <c r="I297" s="39" t="s">
        <v>320</v>
      </c>
      <c r="J297" s="43">
        <v>50442</v>
      </c>
      <c r="K297" s="43">
        <v>0</v>
      </c>
      <c r="L297" s="43">
        <v>50442</v>
      </c>
      <c r="M297" s="44">
        <v>0</v>
      </c>
      <c r="N297" s="44">
        <f t="shared" si="4"/>
        <v>50442</v>
      </c>
      <c r="O297" s="44">
        <v>50442</v>
      </c>
      <c r="P297" s="40" t="s">
        <v>1499</v>
      </c>
      <c r="Q297" s="40" t="s">
        <v>1500</v>
      </c>
      <c r="R297" s="40" t="s">
        <v>494</v>
      </c>
      <c r="S297" s="40" t="s">
        <v>495</v>
      </c>
      <c r="T297" s="40" t="s">
        <v>178</v>
      </c>
      <c r="U297" s="40" t="s">
        <v>1374</v>
      </c>
      <c r="V297" s="40" t="s">
        <v>3959</v>
      </c>
      <c r="W297" s="40" t="s">
        <v>1501</v>
      </c>
    </row>
    <row r="298" spans="1:23" ht="12" x14ac:dyDescent="0.2">
      <c r="A298" s="39" t="s">
        <v>339</v>
      </c>
      <c r="B298" s="40" t="s">
        <v>338</v>
      </c>
      <c r="C298" s="40" t="s">
        <v>2727</v>
      </c>
      <c r="D298" s="41">
        <v>45833</v>
      </c>
      <c r="E298" s="41">
        <v>45863</v>
      </c>
      <c r="F298" s="41">
        <v>46091</v>
      </c>
      <c r="G298" s="42">
        <v>228</v>
      </c>
      <c r="H298" s="40" t="s">
        <v>530</v>
      </c>
      <c r="I298" s="39" t="s">
        <v>320</v>
      </c>
      <c r="J298" s="43">
        <v>80217.48</v>
      </c>
      <c r="K298" s="43">
        <v>0</v>
      </c>
      <c r="L298" s="43">
        <v>80217.48</v>
      </c>
      <c r="M298" s="44">
        <v>0</v>
      </c>
      <c r="N298" s="44">
        <f t="shared" si="4"/>
        <v>80217.48</v>
      </c>
      <c r="O298" s="44">
        <v>80217.48</v>
      </c>
      <c r="P298" s="40" t="s">
        <v>2728</v>
      </c>
      <c r="Q298" s="40" t="s">
        <v>2729</v>
      </c>
      <c r="R298" s="40" t="s">
        <v>494</v>
      </c>
      <c r="S298" s="40" t="s">
        <v>495</v>
      </c>
      <c r="T298" s="40" t="s">
        <v>363</v>
      </c>
      <c r="U298" s="40" t="s">
        <v>2730</v>
      </c>
      <c r="V298" s="40" t="s">
        <v>3960</v>
      </c>
      <c r="W298" s="40" t="s">
        <v>2731</v>
      </c>
    </row>
    <row r="299" spans="1:23" ht="12" x14ac:dyDescent="0.2">
      <c r="A299" s="39" t="s">
        <v>469</v>
      </c>
      <c r="B299" s="40" t="s">
        <v>468</v>
      </c>
      <c r="C299" s="40" t="s">
        <v>2745</v>
      </c>
      <c r="D299" s="41">
        <v>45834</v>
      </c>
      <c r="E299" s="41">
        <v>45864</v>
      </c>
      <c r="F299" s="41">
        <v>46091</v>
      </c>
      <c r="G299" s="42">
        <v>227</v>
      </c>
      <c r="H299" s="40" t="s">
        <v>530</v>
      </c>
      <c r="I299" s="39" t="s">
        <v>320</v>
      </c>
      <c r="J299" s="43">
        <v>5330.04</v>
      </c>
      <c r="K299" s="43">
        <v>0</v>
      </c>
      <c r="L299" s="43">
        <v>5330.04</v>
      </c>
      <c r="M299" s="44">
        <v>0</v>
      </c>
      <c r="N299" s="44">
        <f t="shared" si="4"/>
        <v>5330.04</v>
      </c>
      <c r="O299" s="44">
        <v>5330.04</v>
      </c>
      <c r="P299" s="40" t="s">
        <v>804</v>
      </c>
      <c r="Q299" s="40" t="s">
        <v>805</v>
      </c>
      <c r="R299" s="40" t="s">
        <v>494</v>
      </c>
      <c r="S299" s="40" t="s">
        <v>502</v>
      </c>
      <c r="T299" s="40" t="s">
        <v>280</v>
      </c>
      <c r="U299" s="40" t="s">
        <v>559</v>
      </c>
      <c r="V299" s="40" t="s">
        <v>3961</v>
      </c>
      <c r="W299" s="40" t="s">
        <v>806</v>
      </c>
    </row>
    <row r="300" spans="1:23" ht="12" x14ac:dyDescent="0.2">
      <c r="A300" s="39" t="s">
        <v>16</v>
      </c>
      <c r="B300" s="40" t="s">
        <v>414</v>
      </c>
      <c r="C300" s="40" t="s">
        <v>2741</v>
      </c>
      <c r="D300" s="41">
        <v>45834</v>
      </c>
      <c r="E300" s="41">
        <v>45864</v>
      </c>
      <c r="F300" s="41">
        <v>46091</v>
      </c>
      <c r="G300" s="42">
        <v>227</v>
      </c>
      <c r="H300" s="40" t="s">
        <v>530</v>
      </c>
      <c r="I300" s="39" t="s">
        <v>320</v>
      </c>
      <c r="J300" s="43">
        <v>4762.5</v>
      </c>
      <c r="K300" s="43">
        <v>0</v>
      </c>
      <c r="L300" s="43">
        <v>4762.5</v>
      </c>
      <c r="M300" s="44">
        <v>0</v>
      </c>
      <c r="N300" s="44">
        <f t="shared" si="4"/>
        <v>4762.5</v>
      </c>
      <c r="O300" s="44">
        <v>4762.5</v>
      </c>
      <c r="P300" s="40" t="s">
        <v>2742</v>
      </c>
      <c r="Q300" s="40" t="s">
        <v>2743</v>
      </c>
      <c r="R300" s="40" t="s">
        <v>494</v>
      </c>
      <c r="S300" s="40" t="s">
        <v>502</v>
      </c>
      <c r="T300" s="40" t="s">
        <v>280</v>
      </c>
      <c r="U300" s="40" t="s">
        <v>1878</v>
      </c>
      <c r="V300" s="40" t="s">
        <v>3962</v>
      </c>
      <c r="W300" s="40" t="s">
        <v>2744</v>
      </c>
    </row>
    <row r="301" spans="1:23" ht="12" x14ac:dyDescent="0.2">
      <c r="A301" s="39" t="s">
        <v>48</v>
      </c>
      <c r="B301" s="40" t="s">
        <v>389</v>
      </c>
      <c r="C301" s="40" t="s">
        <v>2750</v>
      </c>
      <c r="D301" s="41">
        <v>45834</v>
      </c>
      <c r="E301" s="41">
        <v>45864</v>
      </c>
      <c r="F301" s="41">
        <v>46091</v>
      </c>
      <c r="G301" s="42">
        <v>227</v>
      </c>
      <c r="H301" s="40" t="s">
        <v>530</v>
      </c>
      <c r="I301" s="39" t="s">
        <v>320</v>
      </c>
      <c r="J301" s="43">
        <v>44487.21</v>
      </c>
      <c r="K301" s="43">
        <v>0</v>
      </c>
      <c r="L301" s="43">
        <v>44487.21</v>
      </c>
      <c r="M301" s="44">
        <v>0</v>
      </c>
      <c r="N301" s="44">
        <f t="shared" si="4"/>
        <v>44487.21</v>
      </c>
      <c r="O301" s="44">
        <v>44487.21</v>
      </c>
      <c r="P301" s="40" t="s">
        <v>2751</v>
      </c>
      <c r="Q301" s="40" t="s">
        <v>2752</v>
      </c>
      <c r="R301" s="40" t="s">
        <v>494</v>
      </c>
      <c r="S301" s="40" t="s">
        <v>495</v>
      </c>
      <c r="T301" s="40" t="s">
        <v>362</v>
      </c>
      <c r="U301" s="40" t="s">
        <v>2753</v>
      </c>
      <c r="V301" s="40" t="s">
        <v>3963</v>
      </c>
      <c r="W301" s="40" t="s">
        <v>2754</v>
      </c>
    </row>
    <row r="302" spans="1:23" ht="12" x14ac:dyDescent="0.2">
      <c r="A302" s="39" t="s">
        <v>339</v>
      </c>
      <c r="B302" s="40" t="s">
        <v>338</v>
      </c>
      <c r="C302" s="40" t="s">
        <v>2746</v>
      </c>
      <c r="D302" s="41">
        <v>45834</v>
      </c>
      <c r="E302" s="41">
        <v>45864</v>
      </c>
      <c r="F302" s="41">
        <v>46091</v>
      </c>
      <c r="G302" s="42">
        <v>227</v>
      </c>
      <c r="H302" s="40" t="s">
        <v>530</v>
      </c>
      <c r="I302" s="39" t="s">
        <v>320</v>
      </c>
      <c r="J302" s="43">
        <v>162794.1</v>
      </c>
      <c r="K302" s="43">
        <v>0</v>
      </c>
      <c r="L302" s="43">
        <v>162794.1</v>
      </c>
      <c r="M302" s="44">
        <v>0</v>
      </c>
      <c r="N302" s="44">
        <f t="shared" si="4"/>
        <v>162794.1</v>
      </c>
      <c r="O302" s="44">
        <v>162794.1</v>
      </c>
      <c r="P302" s="40" t="s">
        <v>2747</v>
      </c>
      <c r="Q302" s="40" t="s">
        <v>2748</v>
      </c>
      <c r="R302" s="40" t="s">
        <v>494</v>
      </c>
      <c r="S302" s="40" t="s">
        <v>495</v>
      </c>
      <c r="T302" s="40" t="s">
        <v>273</v>
      </c>
      <c r="U302" s="40" t="s">
        <v>1147</v>
      </c>
      <c r="V302" s="40" t="s">
        <v>3964</v>
      </c>
      <c r="W302" s="40" t="s">
        <v>2749</v>
      </c>
    </row>
    <row r="303" spans="1:23" ht="12" x14ac:dyDescent="0.2">
      <c r="A303" s="39" t="s">
        <v>2763</v>
      </c>
      <c r="B303" s="40" t="s">
        <v>2764</v>
      </c>
      <c r="C303" s="40" t="s">
        <v>2765</v>
      </c>
      <c r="D303" s="41">
        <v>45835</v>
      </c>
      <c r="E303" s="41">
        <v>45865</v>
      </c>
      <c r="F303" s="41">
        <v>46091</v>
      </c>
      <c r="G303" s="42">
        <v>226</v>
      </c>
      <c r="H303" s="40" t="s">
        <v>530</v>
      </c>
      <c r="I303" s="39" t="s">
        <v>320</v>
      </c>
      <c r="J303" s="43">
        <v>154081.25</v>
      </c>
      <c r="K303" s="43">
        <v>0</v>
      </c>
      <c r="L303" s="43">
        <v>154081.25</v>
      </c>
      <c r="M303" s="44">
        <v>0</v>
      </c>
      <c r="N303" s="44">
        <f t="shared" si="4"/>
        <v>154081.25</v>
      </c>
      <c r="O303" s="44">
        <v>154081.25</v>
      </c>
      <c r="P303" s="40" t="s">
        <v>2766</v>
      </c>
      <c r="Q303" s="40" t="s">
        <v>2767</v>
      </c>
      <c r="R303" s="40" t="s">
        <v>494</v>
      </c>
      <c r="S303" s="40" t="s">
        <v>502</v>
      </c>
      <c r="T303" s="40" t="s">
        <v>284</v>
      </c>
      <c r="U303" s="40" t="s">
        <v>2608</v>
      </c>
      <c r="V303" s="40" t="s">
        <v>3965</v>
      </c>
      <c r="W303" s="40" t="s">
        <v>321</v>
      </c>
    </row>
    <row r="304" spans="1:23" ht="12" x14ac:dyDescent="0.2">
      <c r="A304" s="39" t="s">
        <v>467</v>
      </c>
      <c r="B304" s="40" t="s">
        <v>466</v>
      </c>
      <c r="C304" s="40" t="s">
        <v>2768</v>
      </c>
      <c r="D304" s="41">
        <v>45835</v>
      </c>
      <c r="E304" s="41">
        <v>45865</v>
      </c>
      <c r="F304" s="41">
        <v>46091</v>
      </c>
      <c r="G304" s="42">
        <v>226</v>
      </c>
      <c r="H304" s="40" t="s">
        <v>530</v>
      </c>
      <c r="I304" s="39" t="s">
        <v>320</v>
      </c>
      <c r="J304" s="43">
        <v>1689.38</v>
      </c>
      <c r="K304" s="43">
        <v>0</v>
      </c>
      <c r="L304" s="43">
        <v>1689.38</v>
      </c>
      <c r="M304" s="44">
        <v>0</v>
      </c>
      <c r="N304" s="44">
        <f t="shared" si="4"/>
        <v>1689.38</v>
      </c>
      <c r="O304" s="44">
        <v>1689.38</v>
      </c>
      <c r="P304" s="40" t="s">
        <v>2769</v>
      </c>
      <c r="Q304" s="40" t="s">
        <v>2770</v>
      </c>
      <c r="R304" s="40" t="s">
        <v>494</v>
      </c>
      <c r="S304" s="40" t="s">
        <v>495</v>
      </c>
      <c r="T304" s="40" t="s">
        <v>282</v>
      </c>
      <c r="U304" s="40" t="s">
        <v>2771</v>
      </c>
      <c r="V304" s="40" t="s">
        <v>3966</v>
      </c>
      <c r="W304" s="40" t="s">
        <v>2772</v>
      </c>
    </row>
    <row r="305" spans="1:23" ht="12" x14ac:dyDescent="0.2">
      <c r="A305" s="39" t="s">
        <v>357</v>
      </c>
      <c r="B305" s="40" t="s">
        <v>356</v>
      </c>
      <c r="C305" s="40" t="s">
        <v>2773</v>
      </c>
      <c r="D305" s="41">
        <v>45838</v>
      </c>
      <c r="E305" s="41">
        <v>45868</v>
      </c>
      <c r="F305" s="41">
        <v>46091</v>
      </c>
      <c r="G305" s="42">
        <v>223</v>
      </c>
      <c r="H305" s="40" t="s">
        <v>530</v>
      </c>
      <c r="I305" s="39" t="s">
        <v>341</v>
      </c>
      <c r="J305" s="43">
        <v>4125</v>
      </c>
      <c r="K305" s="43">
        <v>0</v>
      </c>
      <c r="L305" s="43">
        <v>93.42</v>
      </c>
      <c r="M305" s="44">
        <v>0</v>
      </c>
      <c r="N305" s="44">
        <f t="shared" si="4"/>
        <v>93.42</v>
      </c>
      <c r="O305" s="44">
        <v>93.42</v>
      </c>
      <c r="P305" s="40" t="s">
        <v>1685</v>
      </c>
      <c r="Q305" s="40" t="s">
        <v>1686</v>
      </c>
      <c r="R305" s="40" t="s">
        <v>494</v>
      </c>
      <c r="S305" s="40" t="s">
        <v>495</v>
      </c>
      <c r="T305" s="40" t="s">
        <v>218</v>
      </c>
      <c r="U305" s="40" t="s">
        <v>1687</v>
      </c>
      <c r="V305" s="40" t="s">
        <v>3791</v>
      </c>
      <c r="W305" s="40" t="s">
        <v>1688</v>
      </c>
    </row>
    <row r="306" spans="1:23" ht="12" x14ac:dyDescent="0.2">
      <c r="A306" s="39" t="s">
        <v>57</v>
      </c>
      <c r="B306" s="40" t="s">
        <v>397</v>
      </c>
      <c r="C306" s="40" t="s">
        <v>2774</v>
      </c>
      <c r="D306" s="41">
        <v>45838</v>
      </c>
      <c r="E306" s="41">
        <v>45868</v>
      </c>
      <c r="F306" s="41">
        <v>46091</v>
      </c>
      <c r="G306" s="42">
        <v>223</v>
      </c>
      <c r="H306" s="40" t="s">
        <v>530</v>
      </c>
      <c r="I306" s="39" t="s">
        <v>320</v>
      </c>
      <c r="J306" s="43">
        <v>27632.61</v>
      </c>
      <c r="K306" s="43">
        <v>0</v>
      </c>
      <c r="L306" s="43">
        <v>27632.61</v>
      </c>
      <c r="M306" s="44">
        <v>0</v>
      </c>
      <c r="N306" s="44">
        <f t="shared" si="4"/>
        <v>27632.61</v>
      </c>
      <c r="O306" s="44">
        <v>27632.61</v>
      </c>
      <c r="P306" s="40" t="s">
        <v>1481</v>
      </c>
      <c r="Q306" s="40" t="s">
        <v>1482</v>
      </c>
      <c r="R306" s="40" t="s">
        <v>494</v>
      </c>
      <c r="S306" s="40" t="s">
        <v>495</v>
      </c>
      <c r="T306" s="40" t="s">
        <v>280</v>
      </c>
      <c r="U306" s="40" t="s">
        <v>1483</v>
      </c>
      <c r="V306" s="40" t="s">
        <v>3834</v>
      </c>
      <c r="W306" s="40" t="s">
        <v>1484</v>
      </c>
    </row>
    <row r="307" spans="1:23" ht="12" x14ac:dyDescent="0.2">
      <c r="A307" s="39" t="s">
        <v>1314</v>
      </c>
      <c r="B307" s="40" t="s">
        <v>1315</v>
      </c>
      <c r="C307" s="40" t="s">
        <v>3967</v>
      </c>
      <c r="D307" s="41">
        <v>45838</v>
      </c>
      <c r="E307" s="41">
        <v>45868</v>
      </c>
      <c r="F307" s="41">
        <v>46091</v>
      </c>
      <c r="G307" s="42">
        <v>223</v>
      </c>
      <c r="H307" s="40" t="s">
        <v>530</v>
      </c>
      <c r="I307" s="39" t="s">
        <v>320</v>
      </c>
      <c r="J307" s="43">
        <v>21340.15</v>
      </c>
      <c r="K307" s="43">
        <v>0</v>
      </c>
      <c r="L307" s="43">
        <v>21340.15</v>
      </c>
      <c r="M307" s="44">
        <v>0</v>
      </c>
      <c r="N307" s="44">
        <f t="shared" si="4"/>
        <v>21340.15</v>
      </c>
      <c r="O307" s="44">
        <v>21340.15</v>
      </c>
      <c r="P307" s="40" t="s">
        <v>3007</v>
      </c>
      <c r="Q307" s="40" t="s">
        <v>3008</v>
      </c>
      <c r="R307" s="40" t="s">
        <v>494</v>
      </c>
      <c r="S307" s="40" t="s">
        <v>502</v>
      </c>
      <c r="T307" s="40" t="s">
        <v>282</v>
      </c>
      <c r="U307" s="40" t="s">
        <v>1233</v>
      </c>
      <c r="V307" s="40" t="s">
        <v>3968</v>
      </c>
      <c r="W307" s="40" t="s">
        <v>3009</v>
      </c>
    </row>
    <row r="308" spans="1:23" ht="12" x14ac:dyDescent="0.2">
      <c r="A308" s="39" t="s">
        <v>27</v>
      </c>
      <c r="B308" s="40" t="s">
        <v>476</v>
      </c>
      <c r="C308" s="40" t="s">
        <v>2776</v>
      </c>
      <c r="D308" s="41">
        <v>45839</v>
      </c>
      <c r="E308" s="41">
        <v>45869</v>
      </c>
      <c r="F308" s="41">
        <v>46091</v>
      </c>
      <c r="G308" s="42">
        <v>222</v>
      </c>
      <c r="H308" s="40" t="s">
        <v>530</v>
      </c>
      <c r="I308" s="39" t="s">
        <v>320</v>
      </c>
      <c r="J308" s="43">
        <v>72877.98</v>
      </c>
      <c r="K308" s="43">
        <v>0</v>
      </c>
      <c r="L308" s="43">
        <v>5081.5600000000004</v>
      </c>
      <c r="M308" s="44">
        <v>0</v>
      </c>
      <c r="N308" s="44">
        <f t="shared" si="4"/>
        <v>5081.5600000000004</v>
      </c>
      <c r="O308" s="44">
        <v>5081.5600000000004</v>
      </c>
      <c r="P308" s="40" t="s">
        <v>1973</v>
      </c>
      <c r="Q308" s="40" t="s">
        <v>1974</v>
      </c>
      <c r="R308" s="40" t="s">
        <v>494</v>
      </c>
      <c r="S308" s="40" t="s">
        <v>495</v>
      </c>
      <c r="T308" s="40" t="s">
        <v>178</v>
      </c>
      <c r="U308" s="40" t="s">
        <v>1975</v>
      </c>
      <c r="V308" s="40" t="s">
        <v>3969</v>
      </c>
      <c r="W308" s="40" t="s">
        <v>1976</v>
      </c>
    </row>
    <row r="309" spans="1:23" ht="12" x14ac:dyDescent="0.2">
      <c r="A309" s="39" t="s">
        <v>1585</v>
      </c>
      <c r="B309" s="40" t="s">
        <v>1713</v>
      </c>
      <c r="C309" s="40" t="s">
        <v>2817</v>
      </c>
      <c r="D309" s="41">
        <v>45839</v>
      </c>
      <c r="E309" s="41">
        <v>45869</v>
      </c>
      <c r="F309" s="41">
        <v>46091</v>
      </c>
      <c r="G309" s="42">
        <v>222</v>
      </c>
      <c r="H309" s="40" t="s">
        <v>530</v>
      </c>
      <c r="I309" s="39" t="s">
        <v>323</v>
      </c>
      <c r="J309" s="43">
        <v>97739.93</v>
      </c>
      <c r="K309" s="43">
        <v>0</v>
      </c>
      <c r="L309" s="43">
        <v>85626.07</v>
      </c>
      <c r="M309" s="44">
        <v>0</v>
      </c>
      <c r="N309" s="44">
        <f t="shared" si="4"/>
        <v>63426.720000000001</v>
      </c>
      <c r="O309" s="44">
        <v>63426.720000000001</v>
      </c>
      <c r="P309" s="40" t="s">
        <v>2818</v>
      </c>
      <c r="Q309" s="40" t="s">
        <v>2819</v>
      </c>
      <c r="R309" s="40" t="s">
        <v>494</v>
      </c>
      <c r="S309" s="40" t="s">
        <v>495</v>
      </c>
      <c r="T309" s="40" t="s">
        <v>178</v>
      </c>
      <c r="U309" s="40" t="s">
        <v>601</v>
      </c>
      <c r="V309" s="40" t="s">
        <v>3970</v>
      </c>
      <c r="W309" s="40" t="s">
        <v>2820</v>
      </c>
    </row>
    <row r="310" spans="1:23" ht="12" x14ac:dyDescent="0.2">
      <c r="A310" s="39" t="s">
        <v>357</v>
      </c>
      <c r="B310" s="40" t="s">
        <v>356</v>
      </c>
      <c r="C310" s="40" t="s">
        <v>2780</v>
      </c>
      <c r="D310" s="41">
        <v>45839</v>
      </c>
      <c r="E310" s="41">
        <v>45869</v>
      </c>
      <c r="F310" s="41">
        <v>46091</v>
      </c>
      <c r="G310" s="42">
        <v>222</v>
      </c>
      <c r="H310" s="40" t="s">
        <v>530</v>
      </c>
      <c r="I310" s="39" t="s">
        <v>341</v>
      </c>
      <c r="J310" s="43">
        <v>21789.18</v>
      </c>
      <c r="K310" s="43">
        <v>0</v>
      </c>
      <c r="L310" s="43">
        <v>21789.18</v>
      </c>
      <c r="M310" s="44">
        <v>0</v>
      </c>
      <c r="N310" s="44">
        <f t="shared" si="4"/>
        <v>18481.150000000001</v>
      </c>
      <c r="O310" s="44">
        <v>18481.150000000001</v>
      </c>
      <c r="P310" s="40" t="s">
        <v>1086</v>
      </c>
      <c r="Q310" s="40" t="s">
        <v>1087</v>
      </c>
      <c r="R310" s="40" t="s">
        <v>494</v>
      </c>
      <c r="S310" s="40" t="s">
        <v>502</v>
      </c>
      <c r="T310" s="40" t="s">
        <v>769</v>
      </c>
      <c r="U310" s="40" t="s">
        <v>1088</v>
      </c>
      <c r="V310" s="40" t="s">
        <v>3791</v>
      </c>
      <c r="W310" s="40" t="s">
        <v>1089</v>
      </c>
    </row>
    <row r="311" spans="1:23" ht="12" x14ac:dyDescent="0.2">
      <c r="A311" s="39" t="s">
        <v>27</v>
      </c>
      <c r="B311" s="40" t="s">
        <v>476</v>
      </c>
      <c r="C311" s="40" t="s">
        <v>2779</v>
      </c>
      <c r="D311" s="41">
        <v>45839</v>
      </c>
      <c r="E311" s="41">
        <v>45869</v>
      </c>
      <c r="F311" s="41">
        <v>46091</v>
      </c>
      <c r="G311" s="42">
        <v>222</v>
      </c>
      <c r="H311" s="40" t="s">
        <v>530</v>
      </c>
      <c r="I311" s="39" t="s">
        <v>320</v>
      </c>
      <c r="J311" s="43">
        <v>59884.34</v>
      </c>
      <c r="K311" s="43">
        <v>0</v>
      </c>
      <c r="L311" s="43">
        <v>22178.880000000001</v>
      </c>
      <c r="M311" s="44">
        <v>0</v>
      </c>
      <c r="N311" s="44">
        <f t="shared" si="4"/>
        <v>22178.880000000001</v>
      </c>
      <c r="O311" s="44">
        <v>22178.880000000001</v>
      </c>
      <c r="P311" s="40" t="s">
        <v>1956</v>
      </c>
      <c r="Q311" s="40" t="s">
        <v>1957</v>
      </c>
      <c r="R311" s="40" t="s">
        <v>494</v>
      </c>
      <c r="S311" s="40" t="s">
        <v>502</v>
      </c>
      <c r="T311" s="40" t="s">
        <v>507</v>
      </c>
      <c r="U311" s="40" t="s">
        <v>1958</v>
      </c>
      <c r="V311" s="40" t="s">
        <v>598</v>
      </c>
      <c r="W311" s="40" t="s">
        <v>1959</v>
      </c>
    </row>
    <row r="312" spans="1:23" ht="12" x14ac:dyDescent="0.2">
      <c r="A312" s="39" t="s">
        <v>27</v>
      </c>
      <c r="B312" s="40" t="s">
        <v>476</v>
      </c>
      <c r="C312" s="40" t="s">
        <v>2778</v>
      </c>
      <c r="D312" s="41">
        <v>45839</v>
      </c>
      <c r="E312" s="41">
        <v>45869</v>
      </c>
      <c r="F312" s="41">
        <v>46091</v>
      </c>
      <c r="G312" s="42">
        <v>222</v>
      </c>
      <c r="H312" s="40" t="s">
        <v>530</v>
      </c>
      <c r="I312" s="39" t="s">
        <v>320</v>
      </c>
      <c r="J312" s="43">
        <v>125251.52</v>
      </c>
      <c r="K312" s="43">
        <v>0</v>
      </c>
      <c r="L312" s="43">
        <v>83712.13</v>
      </c>
      <c r="M312" s="44">
        <v>0</v>
      </c>
      <c r="N312" s="44">
        <f t="shared" si="4"/>
        <v>83712.13</v>
      </c>
      <c r="O312" s="44">
        <v>83712.13</v>
      </c>
      <c r="P312" s="40" t="s">
        <v>1945</v>
      </c>
      <c r="Q312" s="40" t="s">
        <v>1946</v>
      </c>
      <c r="R312" s="40" t="s">
        <v>494</v>
      </c>
      <c r="S312" s="40" t="s">
        <v>502</v>
      </c>
      <c r="T312" s="40" t="s">
        <v>165</v>
      </c>
      <c r="U312" s="40" t="s">
        <v>1947</v>
      </c>
      <c r="V312" s="40" t="s">
        <v>598</v>
      </c>
      <c r="W312" s="40" t="s">
        <v>1948</v>
      </c>
    </row>
    <row r="313" spans="1:23" ht="12" x14ac:dyDescent="0.2">
      <c r="A313" s="39" t="s">
        <v>27</v>
      </c>
      <c r="B313" s="40" t="s">
        <v>476</v>
      </c>
      <c r="C313" s="40" t="s">
        <v>2775</v>
      </c>
      <c r="D313" s="41">
        <v>45839</v>
      </c>
      <c r="E313" s="41">
        <v>45869</v>
      </c>
      <c r="F313" s="41">
        <v>46091</v>
      </c>
      <c r="G313" s="42">
        <v>222</v>
      </c>
      <c r="H313" s="40" t="s">
        <v>530</v>
      </c>
      <c r="I313" s="39" t="s">
        <v>320</v>
      </c>
      <c r="J313" s="43">
        <v>12740.54</v>
      </c>
      <c r="K313" s="43">
        <v>0</v>
      </c>
      <c r="L313" s="43">
        <v>5260.84</v>
      </c>
      <c r="M313" s="44">
        <v>0</v>
      </c>
      <c r="N313" s="44">
        <f t="shared" si="4"/>
        <v>5260.84</v>
      </c>
      <c r="O313" s="44">
        <v>5260.84</v>
      </c>
      <c r="P313" s="40" t="s">
        <v>1942</v>
      </c>
      <c r="Q313" s="40" t="s">
        <v>1943</v>
      </c>
      <c r="R313" s="40" t="s">
        <v>494</v>
      </c>
      <c r="S313" s="40" t="s">
        <v>502</v>
      </c>
      <c r="T313" s="40" t="s">
        <v>542</v>
      </c>
      <c r="U313" s="40" t="s">
        <v>1015</v>
      </c>
      <c r="V313" s="40" t="s">
        <v>3971</v>
      </c>
      <c r="W313" s="40" t="s">
        <v>1944</v>
      </c>
    </row>
    <row r="314" spans="1:23" ht="12" x14ac:dyDescent="0.2">
      <c r="A314" s="39" t="s">
        <v>27</v>
      </c>
      <c r="B314" s="40" t="s">
        <v>476</v>
      </c>
      <c r="C314" s="40" t="s">
        <v>2777</v>
      </c>
      <c r="D314" s="41">
        <v>45839</v>
      </c>
      <c r="E314" s="41">
        <v>45869</v>
      </c>
      <c r="F314" s="41">
        <v>46091</v>
      </c>
      <c r="G314" s="42">
        <v>222</v>
      </c>
      <c r="H314" s="40" t="s">
        <v>530</v>
      </c>
      <c r="I314" s="39" t="s">
        <v>320</v>
      </c>
      <c r="J314" s="43">
        <v>46998.93</v>
      </c>
      <c r="K314" s="43">
        <v>0</v>
      </c>
      <c r="L314" s="43">
        <v>42812.86</v>
      </c>
      <c r="M314" s="44">
        <v>0</v>
      </c>
      <c r="N314" s="44">
        <f t="shared" si="4"/>
        <v>42812.86</v>
      </c>
      <c r="O314" s="44">
        <v>42812.86</v>
      </c>
      <c r="P314" s="40" t="s">
        <v>1986</v>
      </c>
      <c r="Q314" s="40" t="s">
        <v>1987</v>
      </c>
      <c r="R314" s="40" t="s">
        <v>494</v>
      </c>
      <c r="S314" s="40" t="s">
        <v>502</v>
      </c>
      <c r="T314" s="40" t="s">
        <v>169</v>
      </c>
      <c r="U314" s="40" t="s">
        <v>1385</v>
      </c>
      <c r="V314" s="40" t="s">
        <v>3972</v>
      </c>
      <c r="W314" s="40" t="s">
        <v>1988</v>
      </c>
    </row>
    <row r="315" spans="1:23" ht="12" x14ac:dyDescent="0.2">
      <c r="A315" s="39" t="s">
        <v>2178</v>
      </c>
      <c r="B315" s="40" t="s">
        <v>2179</v>
      </c>
      <c r="C315" s="40" t="s">
        <v>2825</v>
      </c>
      <c r="D315" s="41">
        <v>45840</v>
      </c>
      <c r="E315" s="41">
        <v>45870</v>
      </c>
      <c r="F315" s="41">
        <v>46091</v>
      </c>
      <c r="G315" s="42">
        <v>221</v>
      </c>
      <c r="H315" s="40" t="s">
        <v>530</v>
      </c>
      <c r="I315" s="39" t="s">
        <v>320</v>
      </c>
      <c r="J315" s="43">
        <v>96768.41</v>
      </c>
      <c r="K315" s="43">
        <v>0</v>
      </c>
      <c r="L315" s="43">
        <v>4941.53</v>
      </c>
      <c r="M315" s="44">
        <v>0</v>
      </c>
      <c r="N315" s="44">
        <f t="shared" si="4"/>
        <v>4941.53</v>
      </c>
      <c r="O315" s="44">
        <v>4941.53</v>
      </c>
      <c r="P315" s="40" t="s">
        <v>2826</v>
      </c>
      <c r="Q315" s="40" t="s">
        <v>2827</v>
      </c>
      <c r="R315" s="40" t="s">
        <v>494</v>
      </c>
      <c r="S315" s="40" t="s">
        <v>502</v>
      </c>
      <c r="T315" s="40" t="s">
        <v>218</v>
      </c>
      <c r="U315" s="40" t="s">
        <v>1751</v>
      </c>
      <c r="V315" s="40"/>
      <c r="W315" s="40" t="s">
        <v>2828</v>
      </c>
    </row>
    <row r="316" spans="1:23" ht="12" x14ac:dyDescent="0.2">
      <c r="A316" s="39" t="s">
        <v>724</v>
      </c>
      <c r="B316" s="40" t="s">
        <v>617</v>
      </c>
      <c r="C316" s="40" t="s">
        <v>2838</v>
      </c>
      <c r="D316" s="41">
        <v>45841</v>
      </c>
      <c r="E316" s="41">
        <v>45871</v>
      </c>
      <c r="F316" s="41">
        <v>46091</v>
      </c>
      <c r="G316" s="42">
        <v>220</v>
      </c>
      <c r="H316" s="40" t="s">
        <v>530</v>
      </c>
      <c r="I316" s="39" t="s">
        <v>320</v>
      </c>
      <c r="J316" s="43">
        <v>141196.26999999999</v>
      </c>
      <c r="K316" s="43">
        <v>0</v>
      </c>
      <c r="L316" s="43">
        <v>141196.26999999999</v>
      </c>
      <c r="M316" s="44">
        <v>0</v>
      </c>
      <c r="N316" s="44">
        <f t="shared" si="4"/>
        <v>141196.26999999999</v>
      </c>
      <c r="O316" s="44">
        <v>141196.26999999999</v>
      </c>
      <c r="P316" s="40" t="s">
        <v>19</v>
      </c>
      <c r="Q316" s="40" t="s">
        <v>1317</v>
      </c>
      <c r="R316" s="40" t="s">
        <v>494</v>
      </c>
      <c r="S316" s="40" t="s">
        <v>495</v>
      </c>
      <c r="T316" s="40" t="s">
        <v>284</v>
      </c>
      <c r="U316" s="40" t="s">
        <v>776</v>
      </c>
      <c r="V316" s="40" t="s">
        <v>3973</v>
      </c>
      <c r="W316" s="40" t="s">
        <v>1318</v>
      </c>
    </row>
    <row r="317" spans="1:23" ht="12" x14ac:dyDescent="0.2">
      <c r="A317" s="39" t="s">
        <v>357</v>
      </c>
      <c r="B317" s="40" t="s">
        <v>356</v>
      </c>
      <c r="C317" s="40" t="s">
        <v>2845</v>
      </c>
      <c r="D317" s="41">
        <v>45842</v>
      </c>
      <c r="E317" s="41">
        <v>45872</v>
      </c>
      <c r="F317" s="41">
        <v>46091</v>
      </c>
      <c r="G317" s="42">
        <v>219</v>
      </c>
      <c r="H317" s="40" t="s">
        <v>530</v>
      </c>
      <c r="I317" s="39" t="s">
        <v>341</v>
      </c>
      <c r="J317" s="43">
        <v>285345.59000000003</v>
      </c>
      <c r="K317" s="43">
        <v>0</v>
      </c>
      <c r="L317" s="43">
        <v>99251.75</v>
      </c>
      <c r="M317" s="44">
        <v>0</v>
      </c>
      <c r="N317" s="44">
        <f t="shared" si="4"/>
        <v>84317.34</v>
      </c>
      <c r="O317" s="44">
        <v>84317.34</v>
      </c>
      <c r="P317" s="40" t="s">
        <v>2846</v>
      </c>
      <c r="Q317" s="40" t="s">
        <v>2847</v>
      </c>
      <c r="R317" s="40" t="s">
        <v>494</v>
      </c>
      <c r="S317" s="40" t="s">
        <v>502</v>
      </c>
      <c r="T317" s="40" t="s">
        <v>243</v>
      </c>
      <c r="U317" s="40" t="s">
        <v>2848</v>
      </c>
      <c r="V317" s="40" t="s">
        <v>3791</v>
      </c>
      <c r="W317" s="40" t="s">
        <v>2849</v>
      </c>
    </row>
    <row r="318" spans="1:23" ht="12" x14ac:dyDescent="0.2">
      <c r="A318" s="39" t="s">
        <v>800</v>
      </c>
      <c r="B318" s="40" t="s">
        <v>808</v>
      </c>
      <c r="C318" s="40" t="s">
        <v>2853</v>
      </c>
      <c r="D318" s="41">
        <v>45845</v>
      </c>
      <c r="E318" s="41">
        <v>45875</v>
      </c>
      <c r="F318" s="41">
        <v>46091</v>
      </c>
      <c r="G318" s="42">
        <v>216</v>
      </c>
      <c r="H318" s="40" t="s">
        <v>530</v>
      </c>
      <c r="I318" s="39" t="s">
        <v>320</v>
      </c>
      <c r="J318" s="43">
        <v>31214.09</v>
      </c>
      <c r="K318" s="43">
        <v>0</v>
      </c>
      <c r="L318" s="43">
        <v>31214.09</v>
      </c>
      <c r="M318" s="44">
        <v>0</v>
      </c>
      <c r="N318" s="44">
        <f t="shared" si="4"/>
        <v>31214.09</v>
      </c>
      <c r="O318" s="44">
        <v>31214.09</v>
      </c>
      <c r="P318" s="40" t="s">
        <v>799</v>
      </c>
      <c r="Q318" s="40" t="s">
        <v>809</v>
      </c>
      <c r="R318" s="40" t="s">
        <v>494</v>
      </c>
      <c r="S318" s="40" t="s">
        <v>502</v>
      </c>
      <c r="T318" s="40" t="s">
        <v>282</v>
      </c>
      <c r="U318" s="40" t="s">
        <v>664</v>
      </c>
      <c r="V318" s="40" t="s">
        <v>3803</v>
      </c>
      <c r="W318" s="40" t="s">
        <v>810</v>
      </c>
    </row>
    <row r="319" spans="1:23" ht="12" x14ac:dyDescent="0.2">
      <c r="A319" s="39" t="s">
        <v>1539</v>
      </c>
      <c r="B319" s="40" t="s">
        <v>2854</v>
      </c>
      <c r="C319" s="40" t="s">
        <v>2855</v>
      </c>
      <c r="D319" s="41">
        <v>45845</v>
      </c>
      <c r="E319" s="41">
        <v>45875</v>
      </c>
      <c r="F319" s="41">
        <v>46091</v>
      </c>
      <c r="G319" s="42">
        <v>216</v>
      </c>
      <c r="H319" s="40" t="s">
        <v>530</v>
      </c>
      <c r="I319" s="39" t="s">
        <v>323</v>
      </c>
      <c r="J319" s="43">
        <v>47238.03</v>
      </c>
      <c r="K319" s="43">
        <v>0</v>
      </c>
      <c r="L319" s="43">
        <v>47238.03</v>
      </c>
      <c r="M319" s="44">
        <v>0</v>
      </c>
      <c r="N319" s="44">
        <f t="shared" si="4"/>
        <v>34991.129999999997</v>
      </c>
      <c r="O319" s="44">
        <v>34991.129999999997</v>
      </c>
      <c r="P319" s="40" t="s">
        <v>2856</v>
      </c>
      <c r="Q319" s="40" t="s">
        <v>2857</v>
      </c>
      <c r="R319" s="40" t="s">
        <v>494</v>
      </c>
      <c r="S319" s="40" t="s">
        <v>495</v>
      </c>
      <c r="T319" s="40" t="s">
        <v>709</v>
      </c>
      <c r="U319" s="40" t="s">
        <v>2858</v>
      </c>
      <c r="V319" s="40" t="s">
        <v>3974</v>
      </c>
      <c r="W319" s="40" t="s">
        <v>2859</v>
      </c>
    </row>
    <row r="320" spans="1:23" ht="12" x14ac:dyDescent="0.2">
      <c r="A320" s="39" t="s">
        <v>52</v>
      </c>
      <c r="B320" s="40" t="s">
        <v>472</v>
      </c>
      <c r="C320" s="40" t="s">
        <v>2850</v>
      </c>
      <c r="D320" s="41">
        <v>45845</v>
      </c>
      <c r="E320" s="41">
        <v>45875</v>
      </c>
      <c r="F320" s="41">
        <v>46091</v>
      </c>
      <c r="G320" s="42">
        <v>216</v>
      </c>
      <c r="H320" s="40" t="s">
        <v>530</v>
      </c>
      <c r="I320" s="39" t="s">
        <v>320</v>
      </c>
      <c r="J320" s="43">
        <v>612.36</v>
      </c>
      <c r="K320" s="43">
        <v>0</v>
      </c>
      <c r="L320" s="43">
        <v>612.36</v>
      </c>
      <c r="M320" s="44">
        <v>0</v>
      </c>
      <c r="N320" s="44">
        <f t="shared" si="4"/>
        <v>612.36</v>
      </c>
      <c r="O320" s="44">
        <v>612.36</v>
      </c>
      <c r="P320" s="40" t="s">
        <v>1561</v>
      </c>
      <c r="Q320" s="40" t="s">
        <v>1735</v>
      </c>
      <c r="R320" s="40" t="s">
        <v>494</v>
      </c>
      <c r="S320" s="40" t="s">
        <v>502</v>
      </c>
      <c r="T320" s="40" t="s">
        <v>280</v>
      </c>
      <c r="U320" s="40" t="s">
        <v>759</v>
      </c>
      <c r="V320" s="40" t="s">
        <v>3975</v>
      </c>
      <c r="W320" s="40" t="s">
        <v>1736</v>
      </c>
    </row>
    <row r="321" spans="1:23" ht="12" x14ac:dyDescent="0.2">
      <c r="A321" s="39" t="s">
        <v>374</v>
      </c>
      <c r="B321" s="40" t="s">
        <v>373</v>
      </c>
      <c r="C321" s="40" t="s">
        <v>2895</v>
      </c>
      <c r="D321" s="41">
        <v>45846</v>
      </c>
      <c r="E321" s="41">
        <v>45876</v>
      </c>
      <c r="F321" s="41">
        <v>46091</v>
      </c>
      <c r="G321" s="42">
        <v>215</v>
      </c>
      <c r="H321" s="40" t="s">
        <v>530</v>
      </c>
      <c r="I321" s="39" t="s">
        <v>323</v>
      </c>
      <c r="J321" s="43">
        <v>63664.52</v>
      </c>
      <c r="K321" s="43">
        <v>0</v>
      </c>
      <c r="L321" s="43">
        <v>63664.52</v>
      </c>
      <c r="M321" s="44">
        <v>0</v>
      </c>
      <c r="N321" s="44">
        <f t="shared" si="4"/>
        <v>47158.9</v>
      </c>
      <c r="O321" s="44">
        <v>47158.9</v>
      </c>
      <c r="P321" s="40" t="s">
        <v>2865</v>
      </c>
      <c r="Q321" s="40" t="s">
        <v>2896</v>
      </c>
      <c r="R321" s="40" t="s">
        <v>494</v>
      </c>
      <c r="S321" s="40" t="s">
        <v>502</v>
      </c>
      <c r="T321" s="40" t="s">
        <v>773</v>
      </c>
      <c r="U321" s="40" t="s">
        <v>969</v>
      </c>
      <c r="V321" s="40" t="s">
        <v>3976</v>
      </c>
      <c r="W321" s="40" t="s">
        <v>2897</v>
      </c>
    </row>
    <row r="322" spans="1:23" ht="12" x14ac:dyDescent="0.2">
      <c r="A322" s="39" t="s">
        <v>52</v>
      </c>
      <c r="B322" s="40" t="s">
        <v>472</v>
      </c>
      <c r="C322" s="40" t="s">
        <v>2910</v>
      </c>
      <c r="D322" s="41">
        <v>45846</v>
      </c>
      <c r="E322" s="41">
        <v>45876</v>
      </c>
      <c r="F322" s="41">
        <v>46091</v>
      </c>
      <c r="G322" s="42">
        <v>215</v>
      </c>
      <c r="H322" s="40" t="s">
        <v>530</v>
      </c>
      <c r="I322" s="39" t="s">
        <v>320</v>
      </c>
      <c r="J322" s="43">
        <v>9619.2999999999993</v>
      </c>
      <c r="K322" s="43">
        <v>0</v>
      </c>
      <c r="L322" s="43">
        <v>9619.2999999999993</v>
      </c>
      <c r="M322" s="44">
        <v>0</v>
      </c>
      <c r="N322" s="44">
        <f t="shared" si="4"/>
        <v>9619.2999999999993</v>
      </c>
      <c r="O322" s="44">
        <v>9619.2999999999993</v>
      </c>
      <c r="P322" s="40" t="s">
        <v>2602</v>
      </c>
      <c r="Q322" s="40" t="s">
        <v>2603</v>
      </c>
      <c r="R322" s="40" t="s">
        <v>494</v>
      </c>
      <c r="S322" s="40" t="s">
        <v>502</v>
      </c>
      <c r="T322" s="40" t="s">
        <v>191</v>
      </c>
      <c r="U322" s="40" t="s">
        <v>1392</v>
      </c>
      <c r="V322" s="40" t="s">
        <v>3975</v>
      </c>
      <c r="W322" s="40" t="s">
        <v>2604</v>
      </c>
    </row>
    <row r="323" spans="1:23" ht="12" x14ac:dyDescent="0.2">
      <c r="A323" s="39" t="s">
        <v>337</v>
      </c>
      <c r="B323" s="40" t="s">
        <v>336</v>
      </c>
      <c r="C323" s="40" t="s">
        <v>2909</v>
      </c>
      <c r="D323" s="41">
        <v>45846</v>
      </c>
      <c r="E323" s="41">
        <v>45876</v>
      </c>
      <c r="F323" s="41">
        <v>46091</v>
      </c>
      <c r="G323" s="42">
        <v>215</v>
      </c>
      <c r="H323" s="40" t="s">
        <v>530</v>
      </c>
      <c r="I323" s="39" t="s">
        <v>320</v>
      </c>
      <c r="J323" s="43">
        <v>31041.72</v>
      </c>
      <c r="K323" s="43">
        <v>0</v>
      </c>
      <c r="L323" s="43">
        <v>31041.72</v>
      </c>
      <c r="M323" s="44">
        <v>0</v>
      </c>
      <c r="N323" s="44">
        <f t="shared" ref="N323:N386" si="5">IF(I323="GBP",L323-K323,O323-K323)</f>
        <v>31041.72</v>
      </c>
      <c r="O323" s="44">
        <v>31041.72</v>
      </c>
      <c r="P323" s="40" t="s">
        <v>1080</v>
      </c>
      <c r="Q323" s="40" t="s">
        <v>1081</v>
      </c>
      <c r="R323" s="40" t="s">
        <v>494</v>
      </c>
      <c r="S323" s="40" t="s">
        <v>502</v>
      </c>
      <c r="T323" s="40" t="s">
        <v>289</v>
      </c>
      <c r="U323" s="40" t="s">
        <v>691</v>
      </c>
      <c r="V323" s="40" t="s">
        <v>3977</v>
      </c>
      <c r="W323" s="40" t="s">
        <v>1082</v>
      </c>
    </row>
    <row r="324" spans="1:23" ht="12" x14ac:dyDescent="0.2">
      <c r="A324" s="39" t="s">
        <v>52</v>
      </c>
      <c r="B324" s="40" t="s">
        <v>472</v>
      </c>
      <c r="C324" s="40" t="s">
        <v>2881</v>
      </c>
      <c r="D324" s="41">
        <v>45846</v>
      </c>
      <c r="E324" s="41">
        <v>45876</v>
      </c>
      <c r="F324" s="41">
        <v>46091</v>
      </c>
      <c r="G324" s="42">
        <v>215</v>
      </c>
      <c r="H324" s="40" t="s">
        <v>530</v>
      </c>
      <c r="I324" s="39" t="s">
        <v>320</v>
      </c>
      <c r="J324" s="43">
        <v>35269.699999999997</v>
      </c>
      <c r="K324" s="43">
        <v>0</v>
      </c>
      <c r="L324" s="43">
        <v>35269.699999999997</v>
      </c>
      <c r="M324" s="44">
        <v>0</v>
      </c>
      <c r="N324" s="44">
        <f t="shared" si="5"/>
        <v>35269.699999999997</v>
      </c>
      <c r="O324" s="44">
        <v>35269.699999999997</v>
      </c>
      <c r="P324" s="40" t="s">
        <v>1567</v>
      </c>
      <c r="Q324" s="40" t="s">
        <v>2882</v>
      </c>
      <c r="R324" s="40" t="s">
        <v>494</v>
      </c>
      <c r="S324" s="40" t="s">
        <v>502</v>
      </c>
      <c r="T324" s="40" t="s">
        <v>191</v>
      </c>
      <c r="U324" s="40" t="s">
        <v>1392</v>
      </c>
      <c r="V324" s="40" t="s">
        <v>3978</v>
      </c>
      <c r="W324" s="40" t="s">
        <v>2883</v>
      </c>
    </row>
    <row r="325" spans="1:23" ht="12" x14ac:dyDescent="0.2">
      <c r="A325" s="39" t="s">
        <v>69</v>
      </c>
      <c r="B325" s="40" t="s">
        <v>453</v>
      </c>
      <c r="C325" s="40" t="s">
        <v>2911</v>
      </c>
      <c r="D325" s="41">
        <v>45846</v>
      </c>
      <c r="E325" s="41">
        <v>45876</v>
      </c>
      <c r="F325" s="41">
        <v>46091</v>
      </c>
      <c r="G325" s="42">
        <v>215</v>
      </c>
      <c r="H325" s="40" t="s">
        <v>530</v>
      </c>
      <c r="I325" s="39" t="s">
        <v>320</v>
      </c>
      <c r="J325" s="43">
        <v>1763.51</v>
      </c>
      <c r="K325" s="43">
        <v>0</v>
      </c>
      <c r="L325" s="43">
        <v>1763.51</v>
      </c>
      <c r="M325" s="44">
        <v>0</v>
      </c>
      <c r="N325" s="44">
        <f t="shared" si="5"/>
        <v>1763.51</v>
      </c>
      <c r="O325" s="44">
        <v>1763.51</v>
      </c>
      <c r="P325" s="40" t="s">
        <v>62</v>
      </c>
      <c r="Q325" s="40" t="s">
        <v>644</v>
      </c>
      <c r="R325" s="40" t="s">
        <v>494</v>
      </c>
      <c r="S325" s="40" t="s">
        <v>495</v>
      </c>
      <c r="T325" s="40" t="s">
        <v>512</v>
      </c>
      <c r="U325" s="40" t="s">
        <v>645</v>
      </c>
      <c r="V325" s="40" t="s">
        <v>3851</v>
      </c>
      <c r="W325" s="40" t="s">
        <v>1249</v>
      </c>
    </row>
    <row r="326" spans="1:23" ht="12" x14ac:dyDescent="0.2">
      <c r="A326" s="39" t="s">
        <v>2080</v>
      </c>
      <c r="B326" s="40" t="s">
        <v>2899</v>
      </c>
      <c r="C326" s="40" t="s">
        <v>2900</v>
      </c>
      <c r="D326" s="41">
        <v>45846</v>
      </c>
      <c r="E326" s="41">
        <v>45876</v>
      </c>
      <c r="F326" s="41">
        <v>46091</v>
      </c>
      <c r="G326" s="42">
        <v>215</v>
      </c>
      <c r="H326" s="40" t="s">
        <v>530</v>
      </c>
      <c r="I326" s="39" t="s">
        <v>323</v>
      </c>
      <c r="J326" s="43">
        <v>20256.2</v>
      </c>
      <c r="K326" s="43">
        <v>0</v>
      </c>
      <c r="L326" s="43">
        <v>20256.2</v>
      </c>
      <c r="M326" s="44">
        <v>0</v>
      </c>
      <c r="N326" s="44">
        <f t="shared" si="5"/>
        <v>13969.79</v>
      </c>
      <c r="O326" s="44">
        <v>13969.79</v>
      </c>
      <c r="P326" s="40" t="s">
        <v>2072</v>
      </c>
      <c r="Q326" s="40" t="s">
        <v>2901</v>
      </c>
      <c r="R326" s="40" t="s">
        <v>494</v>
      </c>
      <c r="S326" s="40" t="s">
        <v>502</v>
      </c>
      <c r="T326" s="40" t="s">
        <v>508</v>
      </c>
      <c r="U326" s="40" t="s">
        <v>2902</v>
      </c>
      <c r="V326" s="40" t="s">
        <v>3979</v>
      </c>
      <c r="W326" s="40" t="s">
        <v>2903</v>
      </c>
    </row>
    <row r="327" spans="1:23" ht="12" x14ac:dyDescent="0.2">
      <c r="A327" s="39" t="s">
        <v>337</v>
      </c>
      <c r="B327" s="40" t="s">
        <v>336</v>
      </c>
      <c r="C327" s="40" t="s">
        <v>2920</v>
      </c>
      <c r="D327" s="41">
        <v>45847</v>
      </c>
      <c r="E327" s="41">
        <v>45877</v>
      </c>
      <c r="F327" s="41">
        <v>46091</v>
      </c>
      <c r="G327" s="42">
        <v>214</v>
      </c>
      <c r="H327" s="40" t="s">
        <v>530</v>
      </c>
      <c r="I327" s="39" t="s">
        <v>320</v>
      </c>
      <c r="J327" s="43">
        <v>30410.79</v>
      </c>
      <c r="K327" s="43">
        <v>0</v>
      </c>
      <c r="L327" s="43">
        <v>30410.79</v>
      </c>
      <c r="M327" s="44">
        <v>0</v>
      </c>
      <c r="N327" s="44">
        <f t="shared" si="5"/>
        <v>30410.79</v>
      </c>
      <c r="O327" s="44">
        <v>30410.79</v>
      </c>
      <c r="P327" s="40" t="s">
        <v>1005</v>
      </c>
      <c r="Q327" s="40" t="s">
        <v>1006</v>
      </c>
      <c r="R327" s="40" t="s">
        <v>494</v>
      </c>
      <c r="S327" s="40" t="s">
        <v>502</v>
      </c>
      <c r="T327" s="40" t="s">
        <v>289</v>
      </c>
      <c r="U327" s="40" t="s">
        <v>571</v>
      </c>
      <c r="V327" s="40" t="s">
        <v>3980</v>
      </c>
      <c r="W327" s="40" t="s">
        <v>1007</v>
      </c>
    </row>
    <row r="328" spans="1:23" ht="12" x14ac:dyDescent="0.2">
      <c r="A328" s="39" t="s">
        <v>819</v>
      </c>
      <c r="B328" s="40" t="s">
        <v>1400</v>
      </c>
      <c r="C328" s="40" t="s">
        <v>2918</v>
      </c>
      <c r="D328" s="41">
        <v>45847</v>
      </c>
      <c r="E328" s="41">
        <v>45877</v>
      </c>
      <c r="F328" s="41">
        <v>46091</v>
      </c>
      <c r="G328" s="42">
        <v>214</v>
      </c>
      <c r="H328" s="40" t="s">
        <v>530</v>
      </c>
      <c r="I328" s="39" t="s">
        <v>320</v>
      </c>
      <c r="J328" s="43">
        <v>4961.59</v>
      </c>
      <c r="K328" s="43">
        <v>0</v>
      </c>
      <c r="L328" s="43">
        <v>4961.59</v>
      </c>
      <c r="M328" s="44">
        <v>0</v>
      </c>
      <c r="N328" s="44">
        <f t="shared" si="5"/>
        <v>4961.59</v>
      </c>
      <c r="O328" s="44">
        <v>4961.59</v>
      </c>
      <c r="P328" s="40" t="s">
        <v>818</v>
      </c>
      <c r="Q328" s="40" t="s">
        <v>1401</v>
      </c>
      <c r="R328" s="40" t="s">
        <v>494</v>
      </c>
      <c r="S328" s="40" t="s">
        <v>495</v>
      </c>
      <c r="T328" s="40" t="s">
        <v>733</v>
      </c>
      <c r="U328" s="40" t="s">
        <v>853</v>
      </c>
      <c r="V328" s="40" t="s">
        <v>3921</v>
      </c>
      <c r="W328" s="40" t="s">
        <v>1711</v>
      </c>
    </row>
    <row r="329" spans="1:23" ht="12" x14ac:dyDescent="0.2">
      <c r="A329" s="39" t="s">
        <v>337</v>
      </c>
      <c r="B329" s="40" t="s">
        <v>336</v>
      </c>
      <c r="C329" s="40" t="s">
        <v>2936</v>
      </c>
      <c r="D329" s="41">
        <v>45852</v>
      </c>
      <c r="E329" s="41">
        <v>45882</v>
      </c>
      <c r="F329" s="41">
        <v>46091</v>
      </c>
      <c r="G329" s="42">
        <v>209</v>
      </c>
      <c r="H329" s="40" t="s">
        <v>530</v>
      </c>
      <c r="I329" s="39" t="s">
        <v>320</v>
      </c>
      <c r="J329" s="43">
        <v>46870.9</v>
      </c>
      <c r="K329" s="43">
        <v>0</v>
      </c>
      <c r="L329" s="43">
        <v>46870.9</v>
      </c>
      <c r="M329" s="44">
        <v>0</v>
      </c>
      <c r="N329" s="44">
        <f t="shared" si="5"/>
        <v>46870.9</v>
      </c>
      <c r="O329" s="44">
        <v>46870.9</v>
      </c>
      <c r="P329" s="40" t="s">
        <v>983</v>
      </c>
      <c r="Q329" s="40" t="s">
        <v>984</v>
      </c>
      <c r="R329" s="40" t="s">
        <v>494</v>
      </c>
      <c r="S329" s="40" t="s">
        <v>502</v>
      </c>
      <c r="T329" s="40" t="s">
        <v>507</v>
      </c>
      <c r="U329" s="40" t="s">
        <v>985</v>
      </c>
      <c r="V329" s="40" t="s">
        <v>3981</v>
      </c>
      <c r="W329" s="40" t="s">
        <v>986</v>
      </c>
    </row>
    <row r="330" spans="1:23" ht="12" x14ac:dyDescent="0.2">
      <c r="A330" s="39" t="s">
        <v>2928</v>
      </c>
      <c r="B330" s="40" t="s">
        <v>2929</v>
      </c>
      <c r="C330" s="40" t="s">
        <v>2930</v>
      </c>
      <c r="D330" s="41">
        <v>45852</v>
      </c>
      <c r="E330" s="41">
        <v>45882</v>
      </c>
      <c r="F330" s="41">
        <v>46091</v>
      </c>
      <c r="G330" s="42">
        <v>209</v>
      </c>
      <c r="H330" s="40" t="s">
        <v>530</v>
      </c>
      <c r="I330" s="39" t="s">
        <v>320</v>
      </c>
      <c r="J330" s="43">
        <v>20400</v>
      </c>
      <c r="K330" s="43">
        <v>3400</v>
      </c>
      <c r="L330" s="43">
        <v>20400</v>
      </c>
      <c r="M330" s="44">
        <v>3400</v>
      </c>
      <c r="N330" s="44">
        <f t="shared" si="5"/>
        <v>17000</v>
      </c>
      <c r="O330" s="44">
        <v>20400</v>
      </c>
      <c r="P330" s="40" t="s">
        <v>2931</v>
      </c>
      <c r="Q330" s="40" t="s">
        <v>2932</v>
      </c>
      <c r="R330" s="40" t="s">
        <v>494</v>
      </c>
      <c r="S330" s="40" t="s">
        <v>502</v>
      </c>
      <c r="T330" s="40" t="s">
        <v>280</v>
      </c>
      <c r="U330" s="40" t="s">
        <v>2451</v>
      </c>
      <c r="V330" s="40" t="s">
        <v>3982</v>
      </c>
      <c r="W330" s="40" t="s">
        <v>2933</v>
      </c>
    </row>
    <row r="331" spans="1:23" ht="12" x14ac:dyDescent="0.2">
      <c r="A331" s="39" t="s">
        <v>2262</v>
      </c>
      <c r="B331" s="40" t="s">
        <v>2263</v>
      </c>
      <c r="C331" s="40" t="s">
        <v>2941</v>
      </c>
      <c r="D331" s="41">
        <v>45854</v>
      </c>
      <c r="E331" s="41">
        <v>45884</v>
      </c>
      <c r="F331" s="41">
        <v>46091</v>
      </c>
      <c r="G331" s="42">
        <v>207</v>
      </c>
      <c r="H331" s="40" t="s">
        <v>530</v>
      </c>
      <c r="I331" s="39" t="s">
        <v>323</v>
      </c>
      <c r="J331" s="43">
        <v>3660.11</v>
      </c>
      <c r="K331" s="43">
        <v>0</v>
      </c>
      <c r="L331" s="43">
        <v>3660.11</v>
      </c>
      <c r="M331" s="44">
        <v>0</v>
      </c>
      <c r="N331" s="44">
        <f t="shared" si="5"/>
        <v>2711.19</v>
      </c>
      <c r="O331" s="44">
        <v>2711.19</v>
      </c>
      <c r="P331" s="40" t="s">
        <v>2265</v>
      </c>
      <c r="Q331" s="40" t="s">
        <v>2266</v>
      </c>
      <c r="R331" s="40" t="s">
        <v>494</v>
      </c>
      <c r="S331" s="40" t="s">
        <v>495</v>
      </c>
      <c r="T331" s="40" t="s">
        <v>542</v>
      </c>
      <c r="U331" s="40" t="s">
        <v>1090</v>
      </c>
      <c r="V331" s="40" t="s">
        <v>3983</v>
      </c>
      <c r="W331" s="40" t="s">
        <v>2267</v>
      </c>
    </row>
    <row r="332" spans="1:23" ht="12" x14ac:dyDescent="0.2">
      <c r="A332" s="39" t="s">
        <v>357</v>
      </c>
      <c r="B332" s="40" t="s">
        <v>356</v>
      </c>
      <c r="C332" s="40" t="s">
        <v>2950</v>
      </c>
      <c r="D332" s="41">
        <v>45855</v>
      </c>
      <c r="E332" s="41">
        <v>45885</v>
      </c>
      <c r="F332" s="41">
        <v>46091</v>
      </c>
      <c r="G332" s="42">
        <v>206</v>
      </c>
      <c r="H332" s="40" t="s">
        <v>530</v>
      </c>
      <c r="I332" s="39" t="s">
        <v>341</v>
      </c>
      <c r="J332" s="43">
        <v>53698.34</v>
      </c>
      <c r="K332" s="43">
        <v>0</v>
      </c>
      <c r="L332" s="43">
        <v>14221.56</v>
      </c>
      <c r="M332" s="44">
        <v>0</v>
      </c>
      <c r="N332" s="44">
        <f t="shared" si="5"/>
        <v>12225</v>
      </c>
      <c r="O332" s="44">
        <v>12225</v>
      </c>
      <c r="P332" s="40" t="s">
        <v>2951</v>
      </c>
      <c r="Q332" s="40" t="s">
        <v>2952</v>
      </c>
      <c r="R332" s="40" t="s">
        <v>494</v>
      </c>
      <c r="S332" s="40" t="s">
        <v>495</v>
      </c>
      <c r="T332" s="40" t="s">
        <v>363</v>
      </c>
      <c r="U332" s="40" t="s">
        <v>1414</v>
      </c>
      <c r="V332" s="40" t="s">
        <v>3914</v>
      </c>
      <c r="W332" s="40" t="s">
        <v>2953</v>
      </c>
    </row>
    <row r="333" spans="1:23" ht="12" x14ac:dyDescent="0.2">
      <c r="A333" s="39" t="s">
        <v>357</v>
      </c>
      <c r="B333" s="40" t="s">
        <v>356</v>
      </c>
      <c r="C333" s="40" t="s">
        <v>2984</v>
      </c>
      <c r="D333" s="41">
        <v>45855</v>
      </c>
      <c r="E333" s="41">
        <v>45885</v>
      </c>
      <c r="F333" s="41">
        <v>46091</v>
      </c>
      <c r="G333" s="42">
        <v>206</v>
      </c>
      <c r="H333" s="40" t="s">
        <v>530</v>
      </c>
      <c r="I333" s="39" t="s">
        <v>341</v>
      </c>
      <c r="J333" s="43">
        <v>159882.74</v>
      </c>
      <c r="K333" s="43">
        <v>0</v>
      </c>
      <c r="L333" s="43">
        <v>90437.27</v>
      </c>
      <c r="M333" s="44">
        <v>0</v>
      </c>
      <c r="N333" s="44">
        <f t="shared" si="5"/>
        <v>78173.070000000007</v>
      </c>
      <c r="O333" s="44">
        <v>78173.070000000007</v>
      </c>
      <c r="P333" s="40" t="s">
        <v>2985</v>
      </c>
      <c r="Q333" s="40" t="s">
        <v>2986</v>
      </c>
      <c r="R333" s="40" t="s">
        <v>494</v>
      </c>
      <c r="S333" s="40" t="s">
        <v>495</v>
      </c>
      <c r="T333" s="40" t="s">
        <v>496</v>
      </c>
      <c r="U333" s="40" t="s">
        <v>2987</v>
      </c>
      <c r="V333" s="40" t="s">
        <v>3914</v>
      </c>
      <c r="W333" s="40" t="s">
        <v>2988</v>
      </c>
    </row>
    <row r="334" spans="1:23" ht="12" x14ac:dyDescent="0.2">
      <c r="A334" s="39" t="s">
        <v>339</v>
      </c>
      <c r="B334" s="40" t="s">
        <v>338</v>
      </c>
      <c r="C334" s="40" t="s">
        <v>2945</v>
      </c>
      <c r="D334" s="41">
        <v>45855</v>
      </c>
      <c r="E334" s="41">
        <v>45885</v>
      </c>
      <c r="F334" s="41">
        <v>46091</v>
      </c>
      <c r="G334" s="42">
        <v>206</v>
      </c>
      <c r="H334" s="40" t="s">
        <v>530</v>
      </c>
      <c r="I334" s="39" t="s">
        <v>320</v>
      </c>
      <c r="J334" s="43">
        <v>220331.96</v>
      </c>
      <c r="K334" s="43">
        <v>0</v>
      </c>
      <c r="L334" s="43">
        <v>220331.96</v>
      </c>
      <c r="M334" s="44">
        <v>0</v>
      </c>
      <c r="N334" s="44">
        <f t="shared" si="5"/>
        <v>220331.96</v>
      </c>
      <c r="O334" s="44">
        <v>220331.96</v>
      </c>
      <c r="P334" s="40" t="s">
        <v>2946</v>
      </c>
      <c r="Q334" s="40" t="s">
        <v>2947</v>
      </c>
      <c r="R334" s="40" t="s">
        <v>494</v>
      </c>
      <c r="S334" s="40" t="s">
        <v>495</v>
      </c>
      <c r="T334" s="40" t="s">
        <v>273</v>
      </c>
      <c r="U334" s="40" t="s">
        <v>2948</v>
      </c>
      <c r="V334" s="40" t="s">
        <v>3984</v>
      </c>
      <c r="W334" s="40" t="s">
        <v>2949</v>
      </c>
    </row>
    <row r="335" spans="1:23" ht="12" x14ac:dyDescent="0.2">
      <c r="A335" s="39" t="s">
        <v>778</v>
      </c>
      <c r="B335" s="40" t="s">
        <v>779</v>
      </c>
      <c r="C335" s="40" t="s">
        <v>2954</v>
      </c>
      <c r="D335" s="41">
        <v>45856</v>
      </c>
      <c r="E335" s="41">
        <v>45886</v>
      </c>
      <c r="F335" s="41">
        <v>46091</v>
      </c>
      <c r="G335" s="42">
        <v>205</v>
      </c>
      <c r="H335" s="40" t="s">
        <v>530</v>
      </c>
      <c r="I335" s="39" t="s">
        <v>320</v>
      </c>
      <c r="J335" s="43">
        <v>15242.36</v>
      </c>
      <c r="K335" s="43">
        <v>0</v>
      </c>
      <c r="L335" s="43">
        <v>15242.36</v>
      </c>
      <c r="M335" s="44">
        <v>0</v>
      </c>
      <c r="N335" s="44">
        <f t="shared" si="5"/>
        <v>15242.36</v>
      </c>
      <c r="O335" s="44">
        <v>15242.36</v>
      </c>
      <c r="P335" s="40" t="s">
        <v>2955</v>
      </c>
      <c r="Q335" s="40" t="s">
        <v>2956</v>
      </c>
      <c r="R335" s="40" t="s">
        <v>494</v>
      </c>
      <c r="S335" s="40" t="s">
        <v>495</v>
      </c>
      <c r="T335" s="40" t="s">
        <v>514</v>
      </c>
      <c r="U335" s="40" t="s">
        <v>884</v>
      </c>
      <c r="V335" s="40" t="s">
        <v>3985</v>
      </c>
      <c r="W335" s="40" t="s">
        <v>2957</v>
      </c>
    </row>
    <row r="336" spans="1:23" ht="12" x14ac:dyDescent="0.2">
      <c r="A336" s="39" t="s">
        <v>788</v>
      </c>
      <c r="B336" s="40" t="s">
        <v>789</v>
      </c>
      <c r="C336" s="40" t="s">
        <v>2964</v>
      </c>
      <c r="D336" s="41">
        <v>45859</v>
      </c>
      <c r="E336" s="41">
        <v>45889</v>
      </c>
      <c r="F336" s="41">
        <v>46091</v>
      </c>
      <c r="G336" s="42">
        <v>202</v>
      </c>
      <c r="H336" s="40" t="s">
        <v>530</v>
      </c>
      <c r="I336" s="39" t="s">
        <v>323</v>
      </c>
      <c r="J336" s="43">
        <v>81331.929999999993</v>
      </c>
      <c r="K336" s="43">
        <v>0</v>
      </c>
      <c r="L336" s="43">
        <v>81331.929999999993</v>
      </c>
      <c r="M336" s="44">
        <v>0</v>
      </c>
      <c r="N336" s="44">
        <f t="shared" si="5"/>
        <v>65065.54</v>
      </c>
      <c r="O336" s="44">
        <v>65065.54</v>
      </c>
      <c r="P336" s="40" t="s">
        <v>2965</v>
      </c>
      <c r="Q336" s="40" t="s">
        <v>2966</v>
      </c>
      <c r="R336" s="40" t="s">
        <v>494</v>
      </c>
      <c r="S336" s="40" t="s">
        <v>495</v>
      </c>
      <c r="T336" s="40" t="s">
        <v>218</v>
      </c>
      <c r="U336" s="40" t="s">
        <v>2967</v>
      </c>
      <c r="V336" s="40" t="s">
        <v>3986</v>
      </c>
      <c r="W336" s="40" t="s">
        <v>2968</v>
      </c>
    </row>
    <row r="337" spans="1:23" ht="12" x14ac:dyDescent="0.2">
      <c r="A337" s="39" t="s">
        <v>1805</v>
      </c>
      <c r="B337" s="40" t="s">
        <v>1806</v>
      </c>
      <c r="C337" s="40" t="s">
        <v>2963</v>
      </c>
      <c r="D337" s="41">
        <v>45859</v>
      </c>
      <c r="E337" s="41">
        <v>45889</v>
      </c>
      <c r="F337" s="41">
        <v>46091</v>
      </c>
      <c r="G337" s="42">
        <v>202</v>
      </c>
      <c r="H337" s="40" t="s">
        <v>530</v>
      </c>
      <c r="I337" s="39" t="s">
        <v>323</v>
      </c>
      <c r="J337" s="43">
        <v>188801.5</v>
      </c>
      <c r="K337" s="43">
        <v>0</v>
      </c>
      <c r="L337" s="43">
        <v>75545.600000000006</v>
      </c>
      <c r="M337" s="44">
        <v>0</v>
      </c>
      <c r="N337" s="44">
        <f t="shared" si="5"/>
        <v>55959.7</v>
      </c>
      <c r="O337" s="44">
        <v>55959.7</v>
      </c>
      <c r="P337" s="40" t="s">
        <v>2168</v>
      </c>
      <c r="Q337" s="40" t="s">
        <v>2169</v>
      </c>
      <c r="R337" s="40" t="s">
        <v>494</v>
      </c>
      <c r="S337" s="40" t="s">
        <v>495</v>
      </c>
      <c r="T337" s="40" t="s">
        <v>178</v>
      </c>
      <c r="U337" s="40" t="s">
        <v>1373</v>
      </c>
      <c r="V337" s="40" t="s">
        <v>3987</v>
      </c>
      <c r="W337" s="40" t="s">
        <v>2170</v>
      </c>
    </row>
    <row r="338" spans="1:23" ht="12" x14ac:dyDescent="0.2">
      <c r="A338" s="39" t="s">
        <v>10</v>
      </c>
      <c r="B338" s="40" t="s">
        <v>393</v>
      </c>
      <c r="C338" s="40" t="s">
        <v>2969</v>
      </c>
      <c r="D338" s="41">
        <v>45859</v>
      </c>
      <c r="E338" s="41">
        <v>45889</v>
      </c>
      <c r="F338" s="41">
        <v>46091</v>
      </c>
      <c r="G338" s="42">
        <v>202</v>
      </c>
      <c r="H338" s="40" t="s">
        <v>530</v>
      </c>
      <c r="I338" s="39" t="s">
        <v>320</v>
      </c>
      <c r="J338" s="43">
        <v>11789</v>
      </c>
      <c r="K338" s="43">
        <v>0</v>
      </c>
      <c r="L338" s="43">
        <v>11789</v>
      </c>
      <c r="M338" s="44">
        <v>0</v>
      </c>
      <c r="N338" s="44">
        <f t="shared" si="5"/>
        <v>11789</v>
      </c>
      <c r="O338" s="44">
        <v>11789</v>
      </c>
      <c r="P338" s="40" t="s">
        <v>2300</v>
      </c>
      <c r="Q338" s="40" t="s">
        <v>2301</v>
      </c>
      <c r="R338" s="40" t="s">
        <v>494</v>
      </c>
      <c r="S338" s="40" t="s">
        <v>502</v>
      </c>
      <c r="T338" s="40" t="s">
        <v>327</v>
      </c>
      <c r="U338" s="40" t="s">
        <v>537</v>
      </c>
      <c r="V338" s="40" t="s">
        <v>3904</v>
      </c>
      <c r="W338" s="40" t="s">
        <v>2302</v>
      </c>
    </row>
    <row r="339" spans="1:23" ht="12" x14ac:dyDescent="0.2">
      <c r="A339" s="39" t="s">
        <v>1032</v>
      </c>
      <c r="B339" s="40" t="s">
        <v>1033</v>
      </c>
      <c r="C339" s="40" t="s">
        <v>2989</v>
      </c>
      <c r="D339" s="41">
        <v>45860</v>
      </c>
      <c r="E339" s="41">
        <v>45890</v>
      </c>
      <c r="F339" s="41">
        <v>46091</v>
      </c>
      <c r="G339" s="42">
        <v>201</v>
      </c>
      <c r="H339" s="40" t="s">
        <v>530</v>
      </c>
      <c r="I339" s="39" t="s">
        <v>320</v>
      </c>
      <c r="J339" s="43">
        <v>90000</v>
      </c>
      <c r="K339" s="43">
        <v>0</v>
      </c>
      <c r="L339" s="43">
        <v>90000</v>
      </c>
      <c r="M339" s="44">
        <v>0</v>
      </c>
      <c r="N339" s="44">
        <f t="shared" si="5"/>
        <v>90000</v>
      </c>
      <c r="O339" s="44">
        <v>90000</v>
      </c>
      <c r="P339" s="40" t="s">
        <v>2871</v>
      </c>
      <c r="Q339" s="40" t="s">
        <v>2990</v>
      </c>
      <c r="R339" s="40" t="s">
        <v>494</v>
      </c>
      <c r="S339" s="40" t="s">
        <v>502</v>
      </c>
      <c r="T339" s="40" t="s">
        <v>164</v>
      </c>
      <c r="U339" s="40" t="s">
        <v>2991</v>
      </c>
      <c r="V339" s="40" t="s">
        <v>3988</v>
      </c>
      <c r="W339" s="40" t="s">
        <v>3989</v>
      </c>
    </row>
    <row r="340" spans="1:23" ht="12" x14ac:dyDescent="0.2">
      <c r="A340" s="39" t="s">
        <v>1843</v>
      </c>
      <c r="B340" s="40" t="s">
        <v>1844</v>
      </c>
      <c r="C340" s="40" t="s">
        <v>2992</v>
      </c>
      <c r="D340" s="41">
        <v>45860</v>
      </c>
      <c r="E340" s="41">
        <v>45890</v>
      </c>
      <c r="F340" s="41">
        <v>46091</v>
      </c>
      <c r="G340" s="42">
        <v>201</v>
      </c>
      <c r="H340" s="40" t="s">
        <v>530</v>
      </c>
      <c r="I340" s="39" t="s">
        <v>320</v>
      </c>
      <c r="J340" s="43">
        <v>300000</v>
      </c>
      <c r="K340" s="43">
        <v>0</v>
      </c>
      <c r="L340" s="43">
        <v>285385.71000000002</v>
      </c>
      <c r="M340" s="44">
        <v>0</v>
      </c>
      <c r="N340" s="44">
        <f t="shared" si="5"/>
        <v>285385.71000000002</v>
      </c>
      <c r="O340" s="44">
        <v>285385.71000000002</v>
      </c>
      <c r="P340" s="40" t="s">
        <v>1846</v>
      </c>
      <c r="Q340" s="40" t="s">
        <v>1847</v>
      </c>
      <c r="R340" s="40" t="s">
        <v>494</v>
      </c>
      <c r="S340" s="40" t="s">
        <v>502</v>
      </c>
      <c r="T340" s="40" t="s">
        <v>203</v>
      </c>
      <c r="U340" s="40" t="s">
        <v>638</v>
      </c>
      <c r="V340" s="40" t="s">
        <v>3862</v>
      </c>
      <c r="W340" s="40" t="s">
        <v>1848</v>
      </c>
    </row>
    <row r="341" spans="1:23" ht="12" x14ac:dyDescent="0.2">
      <c r="A341" s="39" t="s">
        <v>337</v>
      </c>
      <c r="B341" s="40" t="s">
        <v>336</v>
      </c>
      <c r="C341" s="40" t="s">
        <v>3020</v>
      </c>
      <c r="D341" s="41">
        <v>45861</v>
      </c>
      <c r="E341" s="41">
        <v>45891</v>
      </c>
      <c r="F341" s="41">
        <v>46091</v>
      </c>
      <c r="G341" s="42">
        <v>200</v>
      </c>
      <c r="H341" s="40" t="s">
        <v>530</v>
      </c>
      <c r="I341" s="39" t="s">
        <v>320</v>
      </c>
      <c r="J341" s="43">
        <v>30598.13</v>
      </c>
      <c r="K341" s="43">
        <v>0</v>
      </c>
      <c r="L341" s="43">
        <v>30598.13</v>
      </c>
      <c r="M341" s="44">
        <v>0</v>
      </c>
      <c r="N341" s="44">
        <f t="shared" si="5"/>
        <v>30598.13</v>
      </c>
      <c r="O341" s="44">
        <v>30598.13</v>
      </c>
      <c r="P341" s="40" t="s">
        <v>1001</v>
      </c>
      <c r="Q341" s="40" t="s">
        <v>1002</v>
      </c>
      <c r="R341" s="40" t="s">
        <v>494</v>
      </c>
      <c r="S341" s="40" t="s">
        <v>502</v>
      </c>
      <c r="T341" s="40" t="s">
        <v>289</v>
      </c>
      <c r="U341" s="40" t="s">
        <v>1003</v>
      </c>
      <c r="V341" s="40" t="s">
        <v>3823</v>
      </c>
      <c r="W341" s="40" t="s">
        <v>1004</v>
      </c>
    </row>
    <row r="342" spans="1:23" ht="12" x14ac:dyDescent="0.2">
      <c r="A342" s="39" t="s">
        <v>467</v>
      </c>
      <c r="B342" s="40" t="s">
        <v>466</v>
      </c>
      <c r="C342" s="40" t="s">
        <v>2993</v>
      </c>
      <c r="D342" s="41">
        <v>45861</v>
      </c>
      <c r="E342" s="41">
        <v>45891</v>
      </c>
      <c r="F342" s="41">
        <v>46091</v>
      </c>
      <c r="G342" s="42">
        <v>200</v>
      </c>
      <c r="H342" s="40" t="s">
        <v>530</v>
      </c>
      <c r="I342" s="39" t="s">
        <v>320</v>
      </c>
      <c r="J342" s="43">
        <v>5303.28</v>
      </c>
      <c r="K342" s="43">
        <v>0</v>
      </c>
      <c r="L342" s="43">
        <v>5303.28</v>
      </c>
      <c r="M342" s="44">
        <v>0</v>
      </c>
      <c r="N342" s="44">
        <f t="shared" si="5"/>
        <v>5303.28</v>
      </c>
      <c r="O342" s="44">
        <v>5303.28</v>
      </c>
      <c r="P342" s="40" t="s">
        <v>2994</v>
      </c>
      <c r="Q342" s="40" t="s">
        <v>2995</v>
      </c>
      <c r="R342" s="40" t="s">
        <v>494</v>
      </c>
      <c r="S342" s="40" t="s">
        <v>495</v>
      </c>
      <c r="T342" s="40" t="s">
        <v>282</v>
      </c>
      <c r="U342" s="40" t="s">
        <v>2439</v>
      </c>
      <c r="V342" s="40" t="s">
        <v>3990</v>
      </c>
      <c r="W342" s="40" t="s">
        <v>2996</v>
      </c>
    </row>
    <row r="343" spans="1:23" ht="12" x14ac:dyDescent="0.2">
      <c r="A343" s="39" t="s">
        <v>54</v>
      </c>
      <c r="B343" s="40" t="s">
        <v>455</v>
      </c>
      <c r="C343" s="40" t="s">
        <v>3022</v>
      </c>
      <c r="D343" s="41">
        <v>45862</v>
      </c>
      <c r="E343" s="41">
        <v>45892</v>
      </c>
      <c r="F343" s="41">
        <v>46091</v>
      </c>
      <c r="G343" s="42">
        <v>199</v>
      </c>
      <c r="H343" s="40" t="s">
        <v>530</v>
      </c>
      <c r="I343" s="39" t="s">
        <v>320</v>
      </c>
      <c r="J343" s="43">
        <v>106933.31</v>
      </c>
      <c r="K343" s="43">
        <v>0</v>
      </c>
      <c r="L343" s="43">
        <v>106933.31</v>
      </c>
      <c r="M343" s="44">
        <v>0</v>
      </c>
      <c r="N343" s="44">
        <f t="shared" si="5"/>
        <v>106933.31</v>
      </c>
      <c r="O343" s="44">
        <v>106933.31</v>
      </c>
      <c r="P343" s="40" t="s">
        <v>1313</v>
      </c>
      <c r="Q343" s="40" t="s">
        <v>3023</v>
      </c>
      <c r="R343" s="40" t="s">
        <v>494</v>
      </c>
      <c r="S343" s="40" t="s">
        <v>495</v>
      </c>
      <c r="T343" s="40" t="s">
        <v>327</v>
      </c>
      <c r="U343" s="40" t="s">
        <v>2913</v>
      </c>
      <c r="V343" s="40" t="s">
        <v>3991</v>
      </c>
      <c r="W343" s="40" t="s">
        <v>3024</v>
      </c>
    </row>
    <row r="344" spans="1:23" ht="12" x14ac:dyDescent="0.2">
      <c r="A344" s="39" t="s">
        <v>339</v>
      </c>
      <c r="B344" s="40" t="s">
        <v>338</v>
      </c>
      <c r="C344" s="40" t="s">
        <v>3025</v>
      </c>
      <c r="D344" s="41">
        <v>45862</v>
      </c>
      <c r="E344" s="41">
        <v>45892</v>
      </c>
      <c r="F344" s="41">
        <v>46091</v>
      </c>
      <c r="G344" s="42">
        <v>199</v>
      </c>
      <c r="H344" s="40" t="s">
        <v>530</v>
      </c>
      <c r="I344" s="39" t="s">
        <v>320</v>
      </c>
      <c r="J344" s="43">
        <v>10202.51</v>
      </c>
      <c r="K344" s="43">
        <v>0</v>
      </c>
      <c r="L344" s="43">
        <v>10202.51</v>
      </c>
      <c r="M344" s="44">
        <v>0</v>
      </c>
      <c r="N344" s="44">
        <f t="shared" si="5"/>
        <v>10202.51</v>
      </c>
      <c r="O344" s="44">
        <v>10202.51</v>
      </c>
      <c r="P344" s="40" t="s">
        <v>3026</v>
      </c>
      <c r="Q344" s="40" t="s">
        <v>3027</v>
      </c>
      <c r="R344" s="40" t="s">
        <v>494</v>
      </c>
      <c r="S344" s="40" t="s">
        <v>495</v>
      </c>
      <c r="T344" s="40" t="s">
        <v>181</v>
      </c>
      <c r="U344" s="40" t="s">
        <v>3028</v>
      </c>
      <c r="V344" s="40" t="s">
        <v>3992</v>
      </c>
      <c r="W344" s="40" t="s">
        <v>3029</v>
      </c>
    </row>
    <row r="345" spans="1:23" ht="12" x14ac:dyDescent="0.2">
      <c r="A345" s="39" t="s">
        <v>469</v>
      </c>
      <c r="B345" s="40" t="s">
        <v>468</v>
      </c>
      <c r="C345" s="40" t="s">
        <v>3035</v>
      </c>
      <c r="D345" s="41">
        <v>45866</v>
      </c>
      <c r="E345" s="41">
        <v>45896</v>
      </c>
      <c r="F345" s="41">
        <v>46091</v>
      </c>
      <c r="G345" s="42">
        <v>195</v>
      </c>
      <c r="H345" s="40" t="s">
        <v>530</v>
      </c>
      <c r="I345" s="39" t="s">
        <v>320</v>
      </c>
      <c r="J345" s="43">
        <v>5330.06</v>
      </c>
      <c r="K345" s="43">
        <v>0</v>
      </c>
      <c r="L345" s="43">
        <v>5330.06</v>
      </c>
      <c r="M345" s="44">
        <v>0</v>
      </c>
      <c r="N345" s="44">
        <f t="shared" si="5"/>
        <v>5330.06</v>
      </c>
      <c r="O345" s="44">
        <v>5330.06</v>
      </c>
      <c r="P345" s="40" t="s">
        <v>804</v>
      </c>
      <c r="Q345" s="40" t="s">
        <v>805</v>
      </c>
      <c r="R345" s="40" t="s">
        <v>494</v>
      </c>
      <c r="S345" s="40" t="s">
        <v>502</v>
      </c>
      <c r="T345" s="40" t="s">
        <v>280</v>
      </c>
      <c r="U345" s="40" t="s">
        <v>559</v>
      </c>
      <c r="V345" s="40" t="s">
        <v>3993</v>
      </c>
      <c r="W345" s="40" t="s">
        <v>806</v>
      </c>
    </row>
    <row r="346" spans="1:23" ht="12" x14ac:dyDescent="0.2">
      <c r="A346" s="39" t="s">
        <v>339</v>
      </c>
      <c r="B346" s="40" t="s">
        <v>338</v>
      </c>
      <c r="C346" s="40" t="s">
        <v>3036</v>
      </c>
      <c r="D346" s="41">
        <v>45866</v>
      </c>
      <c r="E346" s="41">
        <v>45896</v>
      </c>
      <c r="F346" s="41">
        <v>46091</v>
      </c>
      <c r="G346" s="42">
        <v>195</v>
      </c>
      <c r="H346" s="40" t="s">
        <v>530</v>
      </c>
      <c r="I346" s="39" t="s">
        <v>320</v>
      </c>
      <c r="J346" s="43">
        <v>88939.59</v>
      </c>
      <c r="K346" s="43">
        <v>0</v>
      </c>
      <c r="L346" s="43">
        <v>88939.59</v>
      </c>
      <c r="M346" s="44">
        <v>0</v>
      </c>
      <c r="N346" s="44">
        <f t="shared" si="5"/>
        <v>88939.59</v>
      </c>
      <c r="O346" s="44">
        <v>88939.59</v>
      </c>
      <c r="P346" s="40" t="s">
        <v>3037</v>
      </c>
      <c r="Q346" s="40" t="s">
        <v>3038</v>
      </c>
      <c r="R346" s="40" t="s">
        <v>494</v>
      </c>
      <c r="S346" s="40" t="s">
        <v>495</v>
      </c>
      <c r="T346" s="40" t="s">
        <v>497</v>
      </c>
      <c r="U346" s="40" t="s">
        <v>3039</v>
      </c>
      <c r="V346" s="40" t="s">
        <v>3994</v>
      </c>
      <c r="W346" s="40" t="s">
        <v>3040</v>
      </c>
    </row>
    <row r="347" spans="1:23" ht="12" x14ac:dyDescent="0.2">
      <c r="A347" s="39" t="s">
        <v>1070</v>
      </c>
      <c r="B347" s="40" t="s">
        <v>364</v>
      </c>
      <c r="C347" s="40" t="s">
        <v>3045</v>
      </c>
      <c r="D347" s="41">
        <v>45867</v>
      </c>
      <c r="E347" s="41">
        <v>45897</v>
      </c>
      <c r="F347" s="41">
        <v>46091</v>
      </c>
      <c r="G347" s="42">
        <v>194</v>
      </c>
      <c r="H347" s="40" t="s">
        <v>530</v>
      </c>
      <c r="I347" s="39" t="s">
        <v>320</v>
      </c>
      <c r="J347" s="43">
        <v>18212.97</v>
      </c>
      <c r="K347" s="43">
        <v>0</v>
      </c>
      <c r="L347" s="43">
        <v>18212.97</v>
      </c>
      <c r="M347" s="44">
        <v>0</v>
      </c>
      <c r="N347" s="44">
        <f t="shared" si="5"/>
        <v>18212.97</v>
      </c>
      <c r="O347" s="44">
        <v>18212.97</v>
      </c>
      <c r="P347" s="40" t="s">
        <v>3046</v>
      </c>
      <c r="Q347" s="40" t="s">
        <v>3047</v>
      </c>
      <c r="R347" s="40" t="s">
        <v>494</v>
      </c>
      <c r="S347" s="40" t="s">
        <v>502</v>
      </c>
      <c r="T347" s="40" t="s">
        <v>299</v>
      </c>
      <c r="U347" s="40" t="s">
        <v>3048</v>
      </c>
      <c r="V347" s="40" t="s">
        <v>3995</v>
      </c>
      <c r="W347" s="40" t="s">
        <v>322</v>
      </c>
    </row>
    <row r="348" spans="1:23" ht="12" x14ac:dyDescent="0.2">
      <c r="A348" s="39" t="s">
        <v>2736</v>
      </c>
      <c r="B348" s="40" t="s">
        <v>2737</v>
      </c>
      <c r="C348" s="40" t="s">
        <v>3044</v>
      </c>
      <c r="D348" s="41">
        <v>45867</v>
      </c>
      <c r="E348" s="41">
        <v>45897</v>
      </c>
      <c r="F348" s="41">
        <v>46091</v>
      </c>
      <c r="G348" s="42">
        <v>194</v>
      </c>
      <c r="H348" s="40" t="s">
        <v>530</v>
      </c>
      <c r="I348" s="39" t="s">
        <v>320</v>
      </c>
      <c r="J348" s="43">
        <v>50444.82</v>
      </c>
      <c r="K348" s="43">
        <v>0</v>
      </c>
      <c r="L348" s="43">
        <v>50444.82</v>
      </c>
      <c r="M348" s="44">
        <v>0</v>
      </c>
      <c r="N348" s="44">
        <f t="shared" si="5"/>
        <v>50444.82</v>
      </c>
      <c r="O348" s="44">
        <v>50444.82</v>
      </c>
      <c r="P348" s="40" t="s">
        <v>2738</v>
      </c>
      <c r="Q348" s="40" t="s">
        <v>2739</v>
      </c>
      <c r="R348" s="40" t="s">
        <v>494</v>
      </c>
      <c r="S348" s="40" t="s">
        <v>502</v>
      </c>
      <c r="T348" s="40" t="s">
        <v>280</v>
      </c>
      <c r="U348" s="40" t="s">
        <v>1109</v>
      </c>
      <c r="V348" s="40" t="s">
        <v>3996</v>
      </c>
      <c r="W348" s="40" t="s">
        <v>2740</v>
      </c>
    </row>
    <row r="349" spans="1:23" ht="12" x14ac:dyDescent="0.2">
      <c r="A349" s="39" t="s">
        <v>27</v>
      </c>
      <c r="B349" s="40" t="s">
        <v>476</v>
      </c>
      <c r="C349" s="40" t="s">
        <v>3077</v>
      </c>
      <c r="D349" s="41">
        <v>45868</v>
      </c>
      <c r="E349" s="41">
        <v>45898</v>
      </c>
      <c r="F349" s="41">
        <v>46091</v>
      </c>
      <c r="G349" s="42">
        <v>193</v>
      </c>
      <c r="H349" s="40" t="s">
        <v>530</v>
      </c>
      <c r="I349" s="39" t="s">
        <v>320</v>
      </c>
      <c r="J349" s="43">
        <v>300000</v>
      </c>
      <c r="K349" s="43">
        <v>0</v>
      </c>
      <c r="L349" s="43">
        <v>300000</v>
      </c>
      <c r="M349" s="44">
        <v>0</v>
      </c>
      <c r="N349" s="44">
        <f t="shared" si="5"/>
        <v>300000</v>
      </c>
      <c r="O349" s="44">
        <v>300000</v>
      </c>
      <c r="P349" s="40" t="s">
        <v>3078</v>
      </c>
      <c r="Q349" s="40" t="s">
        <v>3079</v>
      </c>
      <c r="R349" s="40" t="s">
        <v>494</v>
      </c>
      <c r="S349" s="40" t="s">
        <v>502</v>
      </c>
      <c r="T349" s="40" t="s">
        <v>278</v>
      </c>
      <c r="U349" s="40" t="s">
        <v>564</v>
      </c>
      <c r="V349" s="40" t="s">
        <v>3997</v>
      </c>
      <c r="W349" s="40" t="s">
        <v>3080</v>
      </c>
    </row>
    <row r="350" spans="1:23" ht="12" x14ac:dyDescent="0.2">
      <c r="A350" s="39" t="s">
        <v>657</v>
      </c>
      <c r="B350" s="40" t="s">
        <v>913</v>
      </c>
      <c r="C350" s="40" t="s">
        <v>3071</v>
      </c>
      <c r="D350" s="41">
        <v>45868</v>
      </c>
      <c r="E350" s="41">
        <v>45898</v>
      </c>
      <c r="F350" s="41">
        <v>46091</v>
      </c>
      <c r="G350" s="42">
        <v>193</v>
      </c>
      <c r="H350" s="40" t="s">
        <v>530</v>
      </c>
      <c r="I350" s="39" t="s">
        <v>323</v>
      </c>
      <c r="J350" s="43">
        <v>73451.88</v>
      </c>
      <c r="K350" s="43">
        <v>0</v>
      </c>
      <c r="L350" s="43">
        <v>73451.88</v>
      </c>
      <c r="M350" s="44">
        <v>0</v>
      </c>
      <c r="N350" s="44">
        <f t="shared" si="5"/>
        <v>50656.47</v>
      </c>
      <c r="O350" s="44">
        <v>50656.47</v>
      </c>
      <c r="P350" s="40" t="s">
        <v>1187</v>
      </c>
      <c r="Q350" s="40" t="s">
        <v>1188</v>
      </c>
      <c r="R350" s="40" t="s">
        <v>494</v>
      </c>
      <c r="S350" s="40" t="s">
        <v>495</v>
      </c>
      <c r="T350" s="40" t="s">
        <v>225</v>
      </c>
      <c r="U350" s="40" t="s">
        <v>914</v>
      </c>
      <c r="V350" s="40" t="s">
        <v>3928</v>
      </c>
      <c r="W350" s="40" t="s">
        <v>1189</v>
      </c>
    </row>
    <row r="351" spans="1:23" ht="12" x14ac:dyDescent="0.2">
      <c r="A351" s="39" t="s">
        <v>1136</v>
      </c>
      <c r="B351" s="40" t="s">
        <v>1137</v>
      </c>
      <c r="C351" s="40" t="s">
        <v>3098</v>
      </c>
      <c r="D351" s="41">
        <v>45869</v>
      </c>
      <c r="E351" s="41">
        <v>45899</v>
      </c>
      <c r="F351" s="41">
        <v>46091</v>
      </c>
      <c r="G351" s="42">
        <v>192</v>
      </c>
      <c r="H351" s="40" t="s">
        <v>530</v>
      </c>
      <c r="I351" s="39" t="s">
        <v>320</v>
      </c>
      <c r="J351" s="43">
        <v>35627.769999999997</v>
      </c>
      <c r="K351" s="43">
        <v>0</v>
      </c>
      <c r="L351" s="43">
        <v>35627.769999999997</v>
      </c>
      <c r="M351" s="44">
        <v>0</v>
      </c>
      <c r="N351" s="44">
        <f t="shared" si="5"/>
        <v>35627.769999999997</v>
      </c>
      <c r="O351" s="44">
        <v>35627.769999999997</v>
      </c>
      <c r="P351" s="40" t="s">
        <v>3099</v>
      </c>
      <c r="Q351" s="40" t="s">
        <v>3100</v>
      </c>
      <c r="R351" s="40" t="s">
        <v>494</v>
      </c>
      <c r="S351" s="40" t="s">
        <v>502</v>
      </c>
      <c r="T351" s="40" t="s">
        <v>280</v>
      </c>
      <c r="U351" s="40" t="s">
        <v>1427</v>
      </c>
      <c r="V351" s="40" t="s">
        <v>3998</v>
      </c>
      <c r="W351" s="40" t="s">
        <v>3101</v>
      </c>
    </row>
    <row r="352" spans="1:23" ht="12" x14ac:dyDescent="0.2">
      <c r="A352" s="39" t="s">
        <v>337</v>
      </c>
      <c r="B352" s="40" t="s">
        <v>336</v>
      </c>
      <c r="C352" s="40" t="s">
        <v>3999</v>
      </c>
      <c r="D352" s="41">
        <v>45869</v>
      </c>
      <c r="E352" s="41">
        <v>45899</v>
      </c>
      <c r="F352" s="41">
        <v>46091</v>
      </c>
      <c r="G352" s="42">
        <v>192</v>
      </c>
      <c r="H352" s="40" t="s">
        <v>530</v>
      </c>
      <c r="I352" s="39" t="s">
        <v>320</v>
      </c>
      <c r="J352" s="43">
        <v>-481.87</v>
      </c>
      <c r="K352" s="43">
        <v>0</v>
      </c>
      <c r="L352" s="43">
        <v>-481.87</v>
      </c>
      <c r="M352" s="44">
        <v>0</v>
      </c>
      <c r="N352" s="44">
        <f t="shared" si="5"/>
        <v>-481.87</v>
      </c>
      <c r="O352" s="44">
        <v>-481.87</v>
      </c>
      <c r="P352" s="40" t="s">
        <v>1177</v>
      </c>
      <c r="Q352" s="40" t="s">
        <v>1178</v>
      </c>
      <c r="R352" s="40" t="s">
        <v>494</v>
      </c>
      <c r="S352" s="40" t="s">
        <v>502</v>
      </c>
      <c r="T352" s="40" t="s">
        <v>289</v>
      </c>
      <c r="U352" s="40" t="s">
        <v>1179</v>
      </c>
      <c r="V352" s="40"/>
      <c r="W352" s="40" t="s">
        <v>1180</v>
      </c>
    </row>
    <row r="353" spans="1:23" ht="12" x14ac:dyDescent="0.2">
      <c r="A353" s="39" t="s">
        <v>55</v>
      </c>
      <c r="B353" s="40" t="s">
        <v>371</v>
      </c>
      <c r="C353" s="40" t="s">
        <v>3086</v>
      </c>
      <c r="D353" s="41">
        <v>45869</v>
      </c>
      <c r="E353" s="41">
        <v>45899</v>
      </c>
      <c r="F353" s="41">
        <v>46091</v>
      </c>
      <c r="G353" s="42">
        <v>192</v>
      </c>
      <c r="H353" s="40" t="s">
        <v>530</v>
      </c>
      <c r="I353" s="39" t="s">
        <v>320</v>
      </c>
      <c r="J353" s="43">
        <v>44057.98</v>
      </c>
      <c r="K353" s="43">
        <v>0</v>
      </c>
      <c r="L353" s="43">
        <v>44057.98</v>
      </c>
      <c r="M353" s="44">
        <v>0</v>
      </c>
      <c r="N353" s="44">
        <f t="shared" si="5"/>
        <v>44057.98</v>
      </c>
      <c r="O353" s="44">
        <v>44057.98</v>
      </c>
      <c r="P353" s="40" t="s">
        <v>3087</v>
      </c>
      <c r="Q353" s="40" t="s">
        <v>3088</v>
      </c>
      <c r="R353" s="40" t="s">
        <v>494</v>
      </c>
      <c r="S353" s="40" t="s">
        <v>502</v>
      </c>
      <c r="T353" s="40" t="s">
        <v>287</v>
      </c>
      <c r="U353" s="40" t="s">
        <v>568</v>
      </c>
      <c r="V353" s="40" t="s">
        <v>4000</v>
      </c>
      <c r="W353" s="40" t="s">
        <v>3089</v>
      </c>
    </row>
    <row r="354" spans="1:23" ht="12" x14ac:dyDescent="0.2">
      <c r="A354" s="39" t="s">
        <v>742</v>
      </c>
      <c r="B354" s="40" t="s">
        <v>743</v>
      </c>
      <c r="C354" s="40" t="s">
        <v>3091</v>
      </c>
      <c r="D354" s="41">
        <v>45869</v>
      </c>
      <c r="E354" s="41">
        <v>45899</v>
      </c>
      <c r="F354" s="41">
        <v>46091</v>
      </c>
      <c r="G354" s="42">
        <v>192</v>
      </c>
      <c r="H354" s="40" t="s">
        <v>530</v>
      </c>
      <c r="I354" s="39" t="s">
        <v>323</v>
      </c>
      <c r="J354" s="43">
        <v>78298.03</v>
      </c>
      <c r="K354" s="43">
        <v>0</v>
      </c>
      <c r="L354" s="43">
        <v>35957.93</v>
      </c>
      <c r="M354" s="44">
        <v>0</v>
      </c>
      <c r="N354" s="44">
        <f t="shared" si="5"/>
        <v>28149.53</v>
      </c>
      <c r="O354" s="44">
        <v>28149.53</v>
      </c>
      <c r="P354" s="40" t="s">
        <v>3092</v>
      </c>
      <c r="Q354" s="40" t="s">
        <v>3093</v>
      </c>
      <c r="R354" s="40" t="s">
        <v>494</v>
      </c>
      <c r="S354" s="40" t="s">
        <v>502</v>
      </c>
      <c r="T354" s="40" t="s">
        <v>284</v>
      </c>
      <c r="U354" s="40" t="s">
        <v>803</v>
      </c>
      <c r="V354" s="40" t="s">
        <v>4001</v>
      </c>
      <c r="W354" s="40" t="s">
        <v>321</v>
      </c>
    </row>
    <row r="355" spans="1:23" ht="12" x14ac:dyDescent="0.2">
      <c r="A355" s="39" t="s">
        <v>2924</v>
      </c>
      <c r="B355" s="40" t="s">
        <v>2925</v>
      </c>
      <c r="C355" s="40" t="s">
        <v>3094</v>
      </c>
      <c r="D355" s="41">
        <v>45869</v>
      </c>
      <c r="E355" s="41">
        <v>45899</v>
      </c>
      <c r="F355" s="41">
        <v>46091</v>
      </c>
      <c r="G355" s="42">
        <v>192</v>
      </c>
      <c r="H355" s="40" t="s">
        <v>530</v>
      </c>
      <c r="I355" s="39" t="s">
        <v>320</v>
      </c>
      <c r="J355" s="43">
        <v>128500</v>
      </c>
      <c r="K355" s="43">
        <v>0</v>
      </c>
      <c r="L355" s="43">
        <v>128500</v>
      </c>
      <c r="M355" s="44">
        <v>0</v>
      </c>
      <c r="N355" s="44">
        <f t="shared" si="5"/>
        <v>128500</v>
      </c>
      <c r="O355" s="44">
        <v>128500</v>
      </c>
      <c r="P355" s="40" t="s">
        <v>2926</v>
      </c>
      <c r="Q355" s="40" t="s">
        <v>2927</v>
      </c>
      <c r="R355" s="40" t="s">
        <v>494</v>
      </c>
      <c r="S355" s="40" t="s">
        <v>495</v>
      </c>
      <c r="T355" s="40" t="s">
        <v>189</v>
      </c>
      <c r="U355" s="40" t="s">
        <v>2470</v>
      </c>
      <c r="V355" s="40" t="s">
        <v>4002</v>
      </c>
      <c r="W355" s="40" t="s">
        <v>321</v>
      </c>
    </row>
    <row r="356" spans="1:23" ht="12" x14ac:dyDescent="0.2">
      <c r="A356" s="39" t="s">
        <v>911</v>
      </c>
      <c r="B356" s="40" t="s">
        <v>912</v>
      </c>
      <c r="C356" s="40" t="s">
        <v>4003</v>
      </c>
      <c r="D356" s="41">
        <v>45869</v>
      </c>
      <c r="E356" s="41">
        <v>45899</v>
      </c>
      <c r="F356" s="41">
        <v>46091</v>
      </c>
      <c r="G356" s="42">
        <v>192</v>
      </c>
      <c r="H356" s="40" t="s">
        <v>530</v>
      </c>
      <c r="I356" s="39" t="s">
        <v>323</v>
      </c>
      <c r="J356" s="43">
        <v>15339.74</v>
      </c>
      <c r="K356" s="43">
        <v>0</v>
      </c>
      <c r="L356" s="43">
        <v>15339.74</v>
      </c>
      <c r="M356" s="44">
        <v>0</v>
      </c>
      <c r="N356" s="44">
        <f t="shared" si="5"/>
        <v>11362.77</v>
      </c>
      <c r="O356" s="44">
        <v>11362.77</v>
      </c>
      <c r="P356" s="40" t="s">
        <v>4004</v>
      </c>
      <c r="Q356" s="40" t="s">
        <v>4005</v>
      </c>
      <c r="R356" s="40" t="s">
        <v>494</v>
      </c>
      <c r="S356" s="40" t="s">
        <v>502</v>
      </c>
      <c r="T356" s="40" t="s">
        <v>513</v>
      </c>
      <c r="U356" s="40" t="s">
        <v>4006</v>
      </c>
      <c r="V356" s="40"/>
      <c r="W356" s="40" t="s">
        <v>4007</v>
      </c>
    </row>
    <row r="357" spans="1:23" ht="12" x14ac:dyDescent="0.2">
      <c r="A357" s="39" t="s">
        <v>2185</v>
      </c>
      <c r="B357" s="40" t="s">
        <v>2186</v>
      </c>
      <c r="C357" s="40" t="s">
        <v>3108</v>
      </c>
      <c r="D357" s="41">
        <v>45873</v>
      </c>
      <c r="E357" s="41">
        <v>45903</v>
      </c>
      <c r="F357" s="41">
        <v>46091</v>
      </c>
      <c r="G357" s="42">
        <v>188</v>
      </c>
      <c r="H357" s="40" t="s">
        <v>530</v>
      </c>
      <c r="I357" s="39" t="s">
        <v>320</v>
      </c>
      <c r="J357" s="43">
        <v>21513.599999999999</v>
      </c>
      <c r="K357" s="43">
        <v>0</v>
      </c>
      <c r="L357" s="43">
        <v>21513.599999999999</v>
      </c>
      <c r="M357" s="44">
        <v>0</v>
      </c>
      <c r="N357" s="44">
        <f t="shared" si="5"/>
        <v>21513.599999999999</v>
      </c>
      <c r="O357" s="44">
        <v>21513.599999999999</v>
      </c>
      <c r="P357" s="40" t="s">
        <v>3109</v>
      </c>
      <c r="Q357" s="40" t="s">
        <v>3110</v>
      </c>
      <c r="R357" s="40" t="s">
        <v>494</v>
      </c>
      <c r="S357" s="40" t="s">
        <v>495</v>
      </c>
      <c r="T357" s="40" t="s">
        <v>280</v>
      </c>
      <c r="U357" s="40" t="s">
        <v>2242</v>
      </c>
      <c r="V357" s="40" t="s">
        <v>4008</v>
      </c>
      <c r="W357" s="40" t="s">
        <v>321</v>
      </c>
    </row>
    <row r="358" spans="1:23" ht="12" x14ac:dyDescent="0.2">
      <c r="A358" s="39" t="s">
        <v>357</v>
      </c>
      <c r="B358" s="40" t="s">
        <v>356</v>
      </c>
      <c r="C358" s="40" t="s">
        <v>3111</v>
      </c>
      <c r="D358" s="41">
        <v>45875</v>
      </c>
      <c r="E358" s="41">
        <v>45905</v>
      </c>
      <c r="F358" s="41">
        <v>46091</v>
      </c>
      <c r="G358" s="42">
        <v>186</v>
      </c>
      <c r="H358" s="40" t="s">
        <v>530</v>
      </c>
      <c r="I358" s="39" t="s">
        <v>341</v>
      </c>
      <c r="J358" s="43">
        <v>386388.13</v>
      </c>
      <c r="K358" s="43">
        <v>0</v>
      </c>
      <c r="L358" s="43">
        <v>90678.21</v>
      </c>
      <c r="M358" s="44">
        <v>0</v>
      </c>
      <c r="N358" s="44">
        <f t="shared" si="5"/>
        <v>76741.88</v>
      </c>
      <c r="O358" s="44">
        <v>76741.88</v>
      </c>
      <c r="P358" s="40" t="s">
        <v>3112</v>
      </c>
      <c r="Q358" s="40" t="s">
        <v>3113</v>
      </c>
      <c r="R358" s="40" t="s">
        <v>494</v>
      </c>
      <c r="S358" s="40" t="s">
        <v>502</v>
      </c>
      <c r="T358" s="40" t="s">
        <v>209</v>
      </c>
      <c r="U358" s="40" t="s">
        <v>3114</v>
      </c>
      <c r="V358" s="40" t="s">
        <v>4009</v>
      </c>
      <c r="W358" s="40" t="s">
        <v>3115</v>
      </c>
    </row>
    <row r="359" spans="1:23" ht="12" x14ac:dyDescent="0.2">
      <c r="A359" s="39" t="s">
        <v>1488</v>
      </c>
      <c r="B359" s="40" t="s">
        <v>3116</v>
      </c>
      <c r="C359" s="40" t="s">
        <v>3117</v>
      </c>
      <c r="D359" s="41">
        <v>45877</v>
      </c>
      <c r="E359" s="41">
        <v>45907</v>
      </c>
      <c r="F359" s="41">
        <v>46091</v>
      </c>
      <c r="G359" s="42">
        <v>184</v>
      </c>
      <c r="H359" s="40" t="s">
        <v>530</v>
      </c>
      <c r="I359" s="39" t="s">
        <v>320</v>
      </c>
      <c r="J359" s="43">
        <v>119999.75</v>
      </c>
      <c r="K359" s="43">
        <v>19999.96</v>
      </c>
      <c r="L359" s="43">
        <v>19999.96</v>
      </c>
      <c r="M359" s="44">
        <v>3333.33</v>
      </c>
      <c r="N359" s="44">
        <f t="shared" si="5"/>
        <v>0</v>
      </c>
      <c r="O359" s="44">
        <v>19999.96</v>
      </c>
      <c r="P359" s="40" t="s">
        <v>1489</v>
      </c>
      <c r="Q359" s="40" t="s">
        <v>3118</v>
      </c>
      <c r="R359" s="40" t="s">
        <v>494</v>
      </c>
      <c r="S359" s="40" t="s">
        <v>502</v>
      </c>
      <c r="T359" s="40" t="s">
        <v>888</v>
      </c>
      <c r="U359" s="40" t="s">
        <v>3119</v>
      </c>
      <c r="V359" s="40" t="s">
        <v>4010</v>
      </c>
      <c r="W359" s="40"/>
    </row>
    <row r="360" spans="1:23" ht="12" x14ac:dyDescent="0.2">
      <c r="A360" s="39" t="s">
        <v>357</v>
      </c>
      <c r="B360" s="40" t="s">
        <v>356</v>
      </c>
      <c r="C360" s="40" t="s">
        <v>3133</v>
      </c>
      <c r="D360" s="41">
        <v>45880</v>
      </c>
      <c r="E360" s="41">
        <v>45910</v>
      </c>
      <c r="F360" s="41">
        <v>46091</v>
      </c>
      <c r="G360" s="42">
        <v>181</v>
      </c>
      <c r="H360" s="40" t="s">
        <v>530</v>
      </c>
      <c r="I360" s="39" t="s">
        <v>341</v>
      </c>
      <c r="J360" s="43">
        <v>18697.86</v>
      </c>
      <c r="K360" s="43">
        <v>0</v>
      </c>
      <c r="L360" s="43">
        <v>18697.86</v>
      </c>
      <c r="M360" s="44">
        <v>0</v>
      </c>
      <c r="N360" s="44">
        <f t="shared" si="5"/>
        <v>16518.060000000001</v>
      </c>
      <c r="O360" s="44">
        <v>16518.060000000001</v>
      </c>
      <c r="P360" s="40" t="s">
        <v>3134</v>
      </c>
      <c r="Q360" s="40" t="s">
        <v>3135</v>
      </c>
      <c r="R360" s="40" t="s">
        <v>494</v>
      </c>
      <c r="S360" s="40" t="s">
        <v>495</v>
      </c>
      <c r="T360" s="40" t="s">
        <v>218</v>
      </c>
      <c r="U360" s="40" t="s">
        <v>3136</v>
      </c>
      <c r="V360" s="40" t="s">
        <v>3914</v>
      </c>
      <c r="W360" s="40" t="s">
        <v>3137</v>
      </c>
    </row>
    <row r="361" spans="1:23" ht="12" x14ac:dyDescent="0.2">
      <c r="A361" s="39" t="s">
        <v>357</v>
      </c>
      <c r="B361" s="40" t="s">
        <v>356</v>
      </c>
      <c r="C361" s="40" t="s">
        <v>3138</v>
      </c>
      <c r="D361" s="41">
        <v>45880</v>
      </c>
      <c r="E361" s="41">
        <v>45910</v>
      </c>
      <c r="F361" s="41">
        <v>46091</v>
      </c>
      <c r="G361" s="42">
        <v>181</v>
      </c>
      <c r="H361" s="40" t="s">
        <v>530</v>
      </c>
      <c r="I361" s="39" t="s">
        <v>341</v>
      </c>
      <c r="J361" s="43">
        <v>40990.06</v>
      </c>
      <c r="K361" s="43">
        <v>0</v>
      </c>
      <c r="L361" s="43">
        <v>19291.560000000001</v>
      </c>
      <c r="M361" s="44">
        <v>0</v>
      </c>
      <c r="N361" s="44">
        <f t="shared" si="5"/>
        <v>16939.34</v>
      </c>
      <c r="O361" s="44">
        <v>16939.34</v>
      </c>
      <c r="P361" s="40" t="s">
        <v>3139</v>
      </c>
      <c r="Q361" s="40" t="s">
        <v>3140</v>
      </c>
      <c r="R361" s="40" t="s">
        <v>494</v>
      </c>
      <c r="S361" s="40" t="s">
        <v>495</v>
      </c>
      <c r="T361" s="40" t="s">
        <v>218</v>
      </c>
      <c r="U361" s="40" t="s">
        <v>3141</v>
      </c>
      <c r="V361" s="40" t="s">
        <v>3914</v>
      </c>
      <c r="W361" s="40" t="s">
        <v>3142</v>
      </c>
    </row>
    <row r="362" spans="1:23" ht="12" x14ac:dyDescent="0.2">
      <c r="A362" s="39" t="s">
        <v>1700</v>
      </c>
      <c r="B362" s="40" t="s">
        <v>1701</v>
      </c>
      <c r="C362" s="40" t="s">
        <v>3143</v>
      </c>
      <c r="D362" s="41">
        <v>45880</v>
      </c>
      <c r="E362" s="41">
        <v>45910</v>
      </c>
      <c r="F362" s="41">
        <v>46091</v>
      </c>
      <c r="G362" s="42">
        <v>181</v>
      </c>
      <c r="H362" s="40" t="s">
        <v>530</v>
      </c>
      <c r="I362" s="39" t="s">
        <v>323</v>
      </c>
      <c r="J362" s="43">
        <v>516406.15</v>
      </c>
      <c r="K362" s="43">
        <v>0</v>
      </c>
      <c r="L362" s="43">
        <v>189984.45</v>
      </c>
      <c r="M362" s="44">
        <v>0</v>
      </c>
      <c r="N362" s="44">
        <f t="shared" si="5"/>
        <v>147475.97</v>
      </c>
      <c r="O362" s="44">
        <v>147475.97</v>
      </c>
      <c r="P362" s="40" t="s">
        <v>1702</v>
      </c>
      <c r="Q362" s="40" t="s">
        <v>1703</v>
      </c>
      <c r="R362" s="40" t="s">
        <v>494</v>
      </c>
      <c r="S362" s="40" t="s">
        <v>502</v>
      </c>
      <c r="T362" s="40" t="s">
        <v>198</v>
      </c>
      <c r="U362" s="40" t="s">
        <v>1487</v>
      </c>
      <c r="V362" s="40" t="s">
        <v>4011</v>
      </c>
      <c r="W362" s="40"/>
    </row>
    <row r="363" spans="1:23" ht="12" x14ac:dyDescent="0.2">
      <c r="A363" s="39" t="s">
        <v>337</v>
      </c>
      <c r="B363" s="40" t="s">
        <v>336</v>
      </c>
      <c r="C363" s="40" t="s">
        <v>3129</v>
      </c>
      <c r="D363" s="41">
        <v>45880</v>
      </c>
      <c r="E363" s="41">
        <v>45910</v>
      </c>
      <c r="F363" s="41">
        <v>46091</v>
      </c>
      <c r="G363" s="42">
        <v>181</v>
      </c>
      <c r="H363" s="40" t="s">
        <v>530</v>
      </c>
      <c r="I363" s="39" t="s">
        <v>320</v>
      </c>
      <c r="J363" s="43">
        <v>7952.89</v>
      </c>
      <c r="K363" s="43">
        <v>0</v>
      </c>
      <c r="L363" s="43">
        <v>7952.89</v>
      </c>
      <c r="M363" s="44">
        <v>0</v>
      </c>
      <c r="N363" s="44">
        <f t="shared" si="5"/>
        <v>7952.89</v>
      </c>
      <c r="O363" s="44">
        <v>7952.89</v>
      </c>
      <c r="P363" s="40" t="s">
        <v>3130</v>
      </c>
      <c r="Q363" s="40" t="s">
        <v>3131</v>
      </c>
      <c r="R363" s="40" t="s">
        <v>494</v>
      </c>
      <c r="S363" s="40" t="s">
        <v>502</v>
      </c>
      <c r="T363" s="40" t="s">
        <v>507</v>
      </c>
      <c r="U363" s="40" t="s">
        <v>1232</v>
      </c>
      <c r="V363" s="40" t="s">
        <v>4012</v>
      </c>
      <c r="W363" s="40" t="s">
        <v>3132</v>
      </c>
    </row>
    <row r="364" spans="1:23" ht="12" x14ac:dyDescent="0.2">
      <c r="A364" s="39" t="s">
        <v>742</v>
      </c>
      <c r="B364" s="40" t="s">
        <v>743</v>
      </c>
      <c r="C364" s="40" t="s">
        <v>3148</v>
      </c>
      <c r="D364" s="41">
        <v>45881</v>
      </c>
      <c r="E364" s="41">
        <v>45911</v>
      </c>
      <c r="F364" s="41">
        <v>46091</v>
      </c>
      <c r="G364" s="42">
        <v>180</v>
      </c>
      <c r="H364" s="40" t="s">
        <v>536</v>
      </c>
      <c r="I364" s="39" t="s">
        <v>323</v>
      </c>
      <c r="J364" s="43">
        <v>217991.73</v>
      </c>
      <c r="K364" s="43">
        <v>0</v>
      </c>
      <c r="L364" s="43">
        <v>217991.73</v>
      </c>
      <c r="M364" s="44">
        <v>0</v>
      </c>
      <c r="N364" s="44">
        <f t="shared" si="5"/>
        <v>171431.06</v>
      </c>
      <c r="O364" s="44">
        <v>171431.06</v>
      </c>
      <c r="P364" s="40" t="s">
        <v>2621</v>
      </c>
      <c r="Q364" s="40" t="s">
        <v>2622</v>
      </c>
      <c r="R364" s="40" t="s">
        <v>494</v>
      </c>
      <c r="S364" s="40" t="s">
        <v>502</v>
      </c>
      <c r="T364" s="40" t="s">
        <v>773</v>
      </c>
      <c r="U364" s="40" t="s">
        <v>708</v>
      </c>
      <c r="V364" s="40" t="s">
        <v>3944</v>
      </c>
      <c r="W364" s="40" t="s">
        <v>321</v>
      </c>
    </row>
    <row r="365" spans="1:23" ht="12" x14ac:dyDescent="0.2">
      <c r="A365" s="39" t="s">
        <v>442</v>
      </c>
      <c r="B365" s="40" t="s">
        <v>441</v>
      </c>
      <c r="C365" s="40" t="s">
        <v>3170</v>
      </c>
      <c r="D365" s="41">
        <v>45882</v>
      </c>
      <c r="E365" s="41">
        <v>45912</v>
      </c>
      <c r="F365" s="41">
        <v>46091</v>
      </c>
      <c r="G365" s="42">
        <v>179</v>
      </c>
      <c r="H365" s="40" t="s">
        <v>536</v>
      </c>
      <c r="I365" s="39" t="s">
        <v>320</v>
      </c>
      <c r="J365" s="43">
        <v>-493653.21</v>
      </c>
      <c r="K365" s="43">
        <v>0</v>
      </c>
      <c r="L365" s="43">
        <v>-493653.21</v>
      </c>
      <c r="M365" s="44">
        <v>0</v>
      </c>
      <c r="N365" s="44">
        <f t="shared" si="5"/>
        <v>-493653.21</v>
      </c>
      <c r="O365" s="44">
        <v>-493653.21</v>
      </c>
      <c r="P365" s="40" t="s">
        <v>3171</v>
      </c>
      <c r="Q365" s="40" t="s">
        <v>3172</v>
      </c>
      <c r="R365" s="40" t="s">
        <v>494</v>
      </c>
      <c r="S365" s="40" t="s">
        <v>495</v>
      </c>
      <c r="T365" s="40" t="s">
        <v>224</v>
      </c>
      <c r="U365" s="40" t="s">
        <v>3173</v>
      </c>
      <c r="V365" s="40" t="s">
        <v>4013</v>
      </c>
      <c r="W365" s="40" t="s">
        <v>3174</v>
      </c>
    </row>
    <row r="366" spans="1:23" ht="12" x14ac:dyDescent="0.2">
      <c r="A366" s="39" t="s">
        <v>3163</v>
      </c>
      <c r="B366" s="40" t="s">
        <v>3164</v>
      </c>
      <c r="C366" s="40" t="s">
        <v>3165</v>
      </c>
      <c r="D366" s="41">
        <v>45882</v>
      </c>
      <c r="E366" s="41">
        <v>45912</v>
      </c>
      <c r="F366" s="41">
        <v>46091</v>
      </c>
      <c r="G366" s="42">
        <v>179</v>
      </c>
      <c r="H366" s="40" t="s">
        <v>536</v>
      </c>
      <c r="I366" s="39" t="s">
        <v>341</v>
      </c>
      <c r="J366" s="43">
        <v>10852</v>
      </c>
      <c r="K366" s="43">
        <v>0</v>
      </c>
      <c r="L366" s="43">
        <v>10852</v>
      </c>
      <c r="M366" s="44">
        <v>0</v>
      </c>
      <c r="N366" s="44">
        <f t="shared" si="5"/>
        <v>8681.6</v>
      </c>
      <c r="O366" s="44">
        <v>8681.6</v>
      </c>
      <c r="P366" s="40" t="s">
        <v>3166</v>
      </c>
      <c r="Q366" s="40" t="s">
        <v>3167</v>
      </c>
      <c r="R366" s="40" t="s">
        <v>494</v>
      </c>
      <c r="S366" s="40" t="s">
        <v>502</v>
      </c>
      <c r="T366" s="40" t="s">
        <v>219</v>
      </c>
      <c r="U366" s="40" t="s">
        <v>3168</v>
      </c>
      <c r="V366" s="40" t="s">
        <v>4014</v>
      </c>
      <c r="W366" s="40" t="s">
        <v>3169</v>
      </c>
    </row>
    <row r="367" spans="1:23" ht="12" x14ac:dyDescent="0.2">
      <c r="A367" s="39" t="s">
        <v>52</v>
      </c>
      <c r="B367" s="40" t="s">
        <v>472</v>
      </c>
      <c r="C367" s="40" t="s">
        <v>3183</v>
      </c>
      <c r="D367" s="41">
        <v>45883</v>
      </c>
      <c r="E367" s="41">
        <v>45913</v>
      </c>
      <c r="F367" s="41">
        <v>46091</v>
      </c>
      <c r="G367" s="42">
        <v>178</v>
      </c>
      <c r="H367" s="40" t="s">
        <v>536</v>
      </c>
      <c r="I367" s="39" t="s">
        <v>320</v>
      </c>
      <c r="J367" s="43">
        <v>277.14</v>
      </c>
      <c r="K367" s="43">
        <v>0</v>
      </c>
      <c r="L367" s="43">
        <v>277.14</v>
      </c>
      <c r="M367" s="44">
        <v>0</v>
      </c>
      <c r="N367" s="44">
        <f t="shared" si="5"/>
        <v>277.14</v>
      </c>
      <c r="O367" s="44">
        <v>277.14</v>
      </c>
      <c r="P367" s="40" t="s">
        <v>3184</v>
      </c>
      <c r="Q367" s="40" t="s">
        <v>3185</v>
      </c>
      <c r="R367" s="40" t="s">
        <v>494</v>
      </c>
      <c r="S367" s="40" t="s">
        <v>502</v>
      </c>
      <c r="T367" s="40" t="s">
        <v>280</v>
      </c>
      <c r="U367" s="40" t="s">
        <v>759</v>
      </c>
      <c r="V367" s="40" t="s">
        <v>4015</v>
      </c>
      <c r="W367" s="40" t="s">
        <v>3186</v>
      </c>
    </row>
    <row r="368" spans="1:23" ht="12" x14ac:dyDescent="0.2">
      <c r="A368" s="39" t="s">
        <v>454</v>
      </c>
      <c r="B368" s="40" t="s">
        <v>1202</v>
      </c>
      <c r="C368" s="40" t="s">
        <v>3202</v>
      </c>
      <c r="D368" s="41">
        <v>45887</v>
      </c>
      <c r="E368" s="41">
        <v>45917</v>
      </c>
      <c r="F368" s="41">
        <v>46091</v>
      </c>
      <c r="G368" s="42">
        <v>174</v>
      </c>
      <c r="H368" s="40" t="s">
        <v>536</v>
      </c>
      <c r="I368" s="39" t="s">
        <v>320</v>
      </c>
      <c r="J368" s="43">
        <v>16453.29</v>
      </c>
      <c r="K368" s="43">
        <v>0</v>
      </c>
      <c r="L368" s="43">
        <v>16453.29</v>
      </c>
      <c r="M368" s="44">
        <v>0</v>
      </c>
      <c r="N368" s="44">
        <f t="shared" si="5"/>
        <v>16453.29</v>
      </c>
      <c r="O368" s="44">
        <v>16453.29</v>
      </c>
      <c r="P368" s="40" t="s">
        <v>2152</v>
      </c>
      <c r="Q368" s="40" t="s">
        <v>2153</v>
      </c>
      <c r="R368" s="40" t="s">
        <v>494</v>
      </c>
      <c r="S368" s="40" t="s">
        <v>495</v>
      </c>
      <c r="T368" s="40" t="s">
        <v>280</v>
      </c>
      <c r="U368" s="40" t="s">
        <v>759</v>
      </c>
      <c r="V368" s="40" t="s">
        <v>3875</v>
      </c>
      <c r="W368" s="40" t="s">
        <v>2154</v>
      </c>
    </row>
    <row r="369" spans="1:23" ht="12" x14ac:dyDescent="0.2">
      <c r="A369" s="39" t="s">
        <v>1411</v>
      </c>
      <c r="B369" s="40" t="s">
        <v>1412</v>
      </c>
      <c r="C369" s="40" t="s">
        <v>3198</v>
      </c>
      <c r="D369" s="41">
        <v>45887</v>
      </c>
      <c r="E369" s="41">
        <v>45917</v>
      </c>
      <c r="F369" s="41">
        <v>46091</v>
      </c>
      <c r="G369" s="42">
        <v>174</v>
      </c>
      <c r="H369" s="40" t="s">
        <v>536</v>
      </c>
      <c r="I369" s="39" t="s">
        <v>320</v>
      </c>
      <c r="J369" s="43">
        <v>2381</v>
      </c>
      <c r="K369" s="43">
        <v>0</v>
      </c>
      <c r="L369" s="43">
        <v>2381</v>
      </c>
      <c r="M369" s="44">
        <v>0</v>
      </c>
      <c r="N369" s="44">
        <f t="shared" si="5"/>
        <v>2381</v>
      </c>
      <c r="O369" s="44">
        <v>2381</v>
      </c>
      <c r="P369" s="40" t="s">
        <v>3199</v>
      </c>
      <c r="Q369" s="40" t="s">
        <v>3200</v>
      </c>
      <c r="R369" s="40" t="s">
        <v>494</v>
      </c>
      <c r="S369" s="40" t="s">
        <v>502</v>
      </c>
      <c r="T369" s="40" t="s">
        <v>287</v>
      </c>
      <c r="U369" s="40" t="s">
        <v>1413</v>
      </c>
      <c r="V369" s="40" t="s">
        <v>4016</v>
      </c>
      <c r="W369" s="40" t="s">
        <v>3201</v>
      </c>
    </row>
    <row r="370" spans="1:23" ht="12" x14ac:dyDescent="0.2">
      <c r="A370" s="39" t="s">
        <v>442</v>
      </c>
      <c r="B370" s="40" t="s">
        <v>441</v>
      </c>
      <c r="C370" s="40" t="s">
        <v>3194</v>
      </c>
      <c r="D370" s="41">
        <v>45887</v>
      </c>
      <c r="E370" s="41">
        <v>45917</v>
      </c>
      <c r="F370" s="41">
        <v>46091</v>
      </c>
      <c r="G370" s="42">
        <v>174</v>
      </c>
      <c r="H370" s="40" t="s">
        <v>536</v>
      </c>
      <c r="I370" s="39" t="s">
        <v>320</v>
      </c>
      <c r="J370" s="43">
        <v>-4475.28</v>
      </c>
      <c r="K370" s="43">
        <v>0</v>
      </c>
      <c r="L370" s="43">
        <v>-4475.28</v>
      </c>
      <c r="M370" s="44">
        <v>0</v>
      </c>
      <c r="N370" s="44">
        <f t="shared" si="5"/>
        <v>-4475.28</v>
      </c>
      <c r="O370" s="44">
        <v>-4475.28</v>
      </c>
      <c r="P370" s="40" t="s">
        <v>3195</v>
      </c>
      <c r="Q370" s="40" t="s">
        <v>3196</v>
      </c>
      <c r="R370" s="40" t="s">
        <v>494</v>
      </c>
      <c r="S370" s="40" t="s">
        <v>495</v>
      </c>
      <c r="T370" s="40" t="s">
        <v>219</v>
      </c>
      <c r="U370" s="40" t="s">
        <v>1305</v>
      </c>
      <c r="V370" s="40" t="s">
        <v>4017</v>
      </c>
      <c r="W370" s="40" t="s">
        <v>3197</v>
      </c>
    </row>
    <row r="371" spans="1:23" ht="12" x14ac:dyDescent="0.2">
      <c r="A371" s="39" t="s">
        <v>3210</v>
      </c>
      <c r="B371" s="40" t="s">
        <v>3211</v>
      </c>
      <c r="C371" s="40" t="s">
        <v>3212</v>
      </c>
      <c r="D371" s="41">
        <v>45888</v>
      </c>
      <c r="E371" s="41">
        <v>45918</v>
      </c>
      <c r="F371" s="41">
        <v>46091</v>
      </c>
      <c r="G371" s="42">
        <v>173</v>
      </c>
      <c r="H371" s="40" t="s">
        <v>536</v>
      </c>
      <c r="I371" s="39" t="s">
        <v>320</v>
      </c>
      <c r="J371" s="43">
        <v>4000</v>
      </c>
      <c r="K371" s="43">
        <v>0</v>
      </c>
      <c r="L371" s="43">
        <v>4000</v>
      </c>
      <c r="M371" s="44">
        <v>0</v>
      </c>
      <c r="N371" s="44">
        <f t="shared" si="5"/>
        <v>4000</v>
      </c>
      <c r="O371" s="44">
        <v>4000</v>
      </c>
      <c r="P371" s="40" t="s">
        <v>3213</v>
      </c>
      <c r="Q371" s="40" t="s">
        <v>3214</v>
      </c>
      <c r="R371" s="40" t="s">
        <v>494</v>
      </c>
      <c r="S371" s="40" t="s">
        <v>502</v>
      </c>
      <c r="T371" s="40" t="s">
        <v>363</v>
      </c>
      <c r="U371" s="40" t="s">
        <v>3215</v>
      </c>
      <c r="V371" s="40" t="s">
        <v>4018</v>
      </c>
      <c r="W371" s="40" t="s">
        <v>321</v>
      </c>
    </row>
    <row r="372" spans="1:23" ht="12" x14ac:dyDescent="0.2">
      <c r="A372" s="39" t="s">
        <v>1131</v>
      </c>
      <c r="B372" s="40" t="s">
        <v>1132</v>
      </c>
      <c r="C372" s="40" t="s">
        <v>3234</v>
      </c>
      <c r="D372" s="41">
        <v>45889</v>
      </c>
      <c r="E372" s="41">
        <v>45919</v>
      </c>
      <c r="F372" s="41">
        <v>46091</v>
      </c>
      <c r="G372" s="42">
        <v>172</v>
      </c>
      <c r="H372" s="40" t="s">
        <v>536</v>
      </c>
      <c r="I372" s="39" t="s">
        <v>320</v>
      </c>
      <c r="J372" s="43">
        <v>52853.72</v>
      </c>
      <c r="K372" s="43">
        <v>0</v>
      </c>
      <c r="L372" s="43">
        <v>52279.03</v>
      </c>
      <c r="M372" s="44">
        <v>0</v>
      </c>
      <c r="N372" s="44">
        <f t="shared" si="5"/>
        <v>52279.03</v>
      </c>
      <c r="O372" s="44">
        <v>52279.03</v>
      </c>
      <c r="P372" s="40" t="s">
        <v>3235</v>
      </c>
      <c r="Q372" s="40" t="s">
        <v>3236</v>
      </c>
      <c r="R372" s="40" t="s">
        <v>494</v>
      </c>
      <c r="S372" s="40" t="s">
        <v>502</v>
      </c>
      <c r="T372" s="40" t="s">
        <v>209</v>
      </c>
      <c r="U372" s="40" t="s">
        <v>3237</v>
      </c>
      <c r="V372" s="40" t="s">
        <v>4019</v>
      </c>
      <c r="W372" s="40" t="s">
        <v>3238</v>
      </c>
    </row>
    <row r="373" spans="1:23" ht="12" x14ac:dyDescent="0.2">
      <c r="A373" s="39" t="s">
        <v>357</v>
      </c>
      <c r="B373" s="40" t="s">
        <v>356</v>
      </c>
      <c r="C373" s="40" t="s">
        <v>3239</v>
      </c>
      <c r="D373" s="41">
        <v>45889</v>
      </c>
      <c r="E373" s="41">
        <v>45919</v>
      </c>
      <c r="F373" s="41">
        <v>46091</v>
      </c>
      <c r="G373" s="42">
        <v>172</v>
      </c>
      <c r="H373" s="40" t="s">
        <v>536</v>
      </c>
      <c r="I373" s="39" t="s">
        <v>341</v>
      </c>
      <c r="J373" s="43">
        <v>404440.83</v>
      </c>
      <c r="K373" s="43">
        <v>0</v>
      </c>
      <c r="L373" s="43">
        <v>10854.89</v>
      </c>
      <c r="M373" s="44">
        <v>0</v>
      </c>
      <c r="N373" s="44">
        <f t="shared" si="5"/>
        <v>9238.16</v>
      </c>
      <c r="O373" s="44">
        <v>9238.16</v>
      </c>
      <c r="P373" s="40" t="s">
        <v>3240</v>
      </c>
      <c r="Q373" s="40" t="s">
        <v>3241</v>
      </c>
      <c r="R373" s="40" t="s">
        <v>494</v>
      </c>
      <c r="S373" s="40" t="s">
        <v>502</v>
      </c>
      <c r="T373" s="40" t="s">
        <v>169</v>
      </c>
      <c r="U373" s="40" t="s">
        <v>3242</v>
      </c>
      <c r="V373" s="40" t="s">
        <v>3791</v>
      </c>
      <c r="W373" s="40" t="s">
        <v>3243</v>
      </c>
    </row>
    <row r="374" spans="1:23" ht="12" x14ac:dyDescent="0.2">
      <c r="A374" s="39" t="s">
        <v>1763</v>
      </c>
      <c r="B374" s="40" t="s">
        <v>1764</v>
      </c>
      <c r="C374" s="40" t="s">
        <v>3244</v>
      </c>
      <c r="D374" s="41">
        <v>45889</v>
      </c>
      <c r="E374" s="41">
        <v>45919</v>
      </c>
      <c r="F374" s="41">
        <v>46091</v>
      </c>
      <c r="G374" s="42">
        <v>172</v>
      </c>
      <c r="H374" s="40" t="s">
        <v>536</v>
      </c>
      <c r="I374" s="39" t="s">
        <v>320</v>
      </c>
      <c r="J374" s="43">
        <v>18137.22</v>
      </c>
      <c r="K374" s="43">
        <v>0</v>
      </c>
      <c r="L374" s="43">
        <v>18137.22</v>
      </c>
      <c r="M374" s="44">
        <v>0</v>
      </c>
      <c r="N374" s="44">
        <f t="shared" si="5"/>
        <v>18137.22</v>
      </c>
      <c r="O374" s="44">
        <v>18137.22</v>
      </c>
      <c r="P374" s="40" t="s">
        <v>1765</v>
      </c>
      <c r="Q374" s="40" t="s">
        <v>1766</v>
      </c>
      <c r="R374" s="40" t="s">
        <v>494</v>
      </c>
      <c r="S374" s="40" t="s">
        <v>502</v>
      </c>
      <c r="T374" s="40" t="s">
        <v>282</v>
      </c>
      <c r="U374" s="40" t="s">
        <v>1767</v>
      </c>
      <c r="V374" s="40" t="s">
        <v>4020</v>
      </c>
      <c r="W374" s="40" t="s">
        <v>1768</v>
      </c>
    </row>
    <row r="375" spans="1:23" ht="12" x14ac:dyDescent="0.2">
      <c r="A375" s="39" t="s">
        <v>3245</v>
      </c>
      <c r="B375" s="40" t="s">
        <v>3246</v>
      </c>
      <c r="C375" s="40" t="s">
        <v>3247</v>
      </c>
      <c r="D375" s="41">
        <v>45889</v>
      </c>
      <c r="E375" s="41">
        <v>45919</v>
      </c>
      <c r="F375" s="41">
        <v>46091</v>
      </c>
      <c r="G375" s="42">
        <v>172</v>
      </c>
      <c r="H375" s="40" t="s">
        <v>536</v>
      </c>
      <c r="I375" s="39" t="s">
        <v>323</v>
      </c>
      <c r="J375" s="43">
        <v>55368.3</v>
      </c>
      <c r="K375" s="43">
        <v>0</v>
      </c>
      <c r="L375" s="43">
        <v>55368.3</v>
      </c>
      <c r="M375" s="44">
        <v>0</v>
      </c>
      <c r="N375" s="44">
        <f t="shared" si="5"/>
        <v>36912.199999999997</v>
      </c>
      <c r="O375" s="44">
        <v>36912.199999999997</v>
      </c>
      <c r="P375" s="40" t="s">
        <v>3248</v>
      </c>
      <c r="Q375" s="40" t="s">
        <v>3249</v>
      </c>
      <c r="R375" s="40" t="s">
        <v>494</v>
      </c>
      <c r="S375" s="40" t="s">
        <v>495</v>
      </c>
      <c r="T375" s="40" t="s">
        <v>327</v>
      </c>
      <c r="U375" s="40" t="s">
        <v>635</v>
      </c>
      <c r="V375" s="40" t="s">
        <v>4021</v>
      </c>
      <c r="W375" s="40" t="s">
        <v>3250</v>
      </c>
    </row>
    <row r="376" spans="1:23" ht="12" x14ac:dyDescent="0.2">
      <c r="A376" s="39" t="s">
        <v>10</v>
      </c>
      <c r="B376" s="40" t="s">
        <v>393</v>
      </c>
      <c r="C376" s="40" t="s">
        <v>3257</v>
      </c>
      <c r="D376" s="41">
        <v>45890</v>
      </c>
      <c r="E376" s="41">
        <v>45920</v>
      </c>
      <c r="F376" s="41">
        <v>46091</v>
      </c>
      <c r="G376" s="42">
        <v>171</v>
      </c>
      <c r="H376" s="40" t="s">
        <v>536</v>
      </c>
      <c r="I376" s="39" t="s">
        <v>320</v>
      </c>
      <c r="J376" s="43">
        <v>3894</v>
      </c>
      <c r="K376" s="43">
        <v>0</v>
      </c>
      <c r="L376" s="43">
        <v>3894</v>
      </c>
      <c r="M376" s="44">
        <v>0</v>
      </c>
      <c r="N376" s="44">
        <f t="shared" si="5"/>
        <v>3894</v>
      </c>
      <c r="O376" s="44">
        <v>3894</v>
      </c>
      <c r="P376" s="40" t="s">
        <v>1416</v>
      </c>
      <c r="Q376" s="40" t="s">
        <v>1417</v>
      </c>
      <c r="R376" s="40" t="s">
        <v>494</v>
      </c>
      <c r="S376" s="40" t="s">
        <v>495</v>
      </c>
      <c r="T376" s="40" t="s">
        <v>287</v>
      </c>
      <c r="U376" s="40" t="s">
        <v>1013</v>
      </c>
      <c r="V376" s="40" t="s">
        <v>4022</v>
      </c>
      <c r="W376" s="40" t="s">
        <v>2125</v>
      </c>
    </row>
    <row r="377" spans="1:23" ht="12" x14ac:dyDescent="0.2">
      <c r="A377" s="39" t="s">
        <v>395</v>
      </c>
      <c r="B377" s="40" t="s">
        <v>701</v>
      </c>
      <c r="C377" s="40" t="s">
        <v>3258</v>
      </c>
      <c r="D377" s="41">
        <v>45891</v>
      </c>
      <c r="E377" s="41">
        <v>45921</v>
      </c>
      <c r="F377" s="41">
        <v>46091</v>
      </c>
      <c r="G377" s="42">
        <v>170</v>
      </c>
      <c r="H377" s="40" t="s">
        <v>536</v>
      </c>
      <c r="I377" s="39" t="s">
        <v>320</v>
      </c>
      <c r="J377" s="43">
        <v>1133.48</v>
      </c>
      <c r="K377" s="43">
        <v>0</v>
      </c>
      <c r="L377" s="43">
        <v>1133.48</v>
      </c>
      <c r="M377" s="44">
        <v>0</v>
      </c>
      <c r="N377" s="44">
        <f t="shared" si="5"/>
        <v>1133.48</v>
      </c>
      <c r="O377" s="44">
        <v>1133.48</v>
      </c>
      <c r="P377" s="40" t="s">
        <v>1560</v>
      </c>
      <c r="Q377" s="40" t="s">
        <v>3259</v>
      </c>
      <c r="R377" s="40" t="s">
        <v>494</v>
      </c>
      <c r="S377" s="40" t="s">
        <v>495</v>
      </c>
      <c r="T377" s="40" t="s">
        <v>280</v>
      </c>
      <c r="U377" s="40" t="s">
        <v>3260</v>
      </c>
      <c r="V377" s="40" t="s">
        <v>4023</v>
      </c>
      <c r="W377" s="40" t="s">
        <v>321</v>
      </c>
    </row>
    <row r="378" spans="1:23" ht="12" x14ac:dyDescent="0.2">
      <c r="A378" s="39" t="s">
        <v>1807</v>
      </c>
      <c r="B378" s="40" t="s">
        <v>1808</v>
      </c>
      <c r="C378" s="40" t="s">
        <v>3288</v>
      </c>
      <c r="D378" s="41">
        <v>45895</v>
      </c>
      <c r="E378" s="41">
        <v>45925</v>
      </c>
      <c r="F378" s="41">
        <v>46091</v>
      </c>
      <c r="G378" s="42">
        <v>166</v>
      </c>
      <c r="H378" s="40" t="s">
        <v>536</v>
      </c>
      <c r="I378" s="39" t="s">
        <v>320</v>
      </c>
      <c r="J378" s="43">
        <v>9802.4</v>
      </c>
      <c r="K378" s="43">
        <v>0</v>
      </c>
      <c r="L378" s="43">
        <v>9802.4</v>
      </c>
      <c r="M378" s="44">
        <v>0</v>
      </c>
      <c r="N378" s="44">
        <f t="shared" si="5"/>
        <v>9802.4</v>
      </c>
      <c r="O378" s="44">
        <v>9802.4</v>
      </c>
      <c r="P378" s="40" t="s">
        <v>1809</v>
      </c>
      <c r="Q378" s="40" t="s">
        <v>1810</v>
      </c>
      <c r="R378" s="40" t="s">
        <v>494</v>
      </c>
      <c r="S378" s="40" t="s">
        <v>495</v>
      </c>
      <c r="T378" s="40" t="s">
        <v>514</v>
      </c>
      <c r="U378" s="40" t="s">
        <v>1811</v>
      </c>
      <c r="V378" s="40" t="s">
        <v>4024</v>
      </c>
      <c r="W378" s="40" t="s">
        <v>1812</v>
      </c>
    </row>
    <row r="379" spans="1:23" ht="12" x14ac:dyDescent="0.2">
      <c r="A379" s="39" t="s">
        <v>10</v>
      </c>
      <c r="B379" s="40" t="s">
        <v>393</v>
      </c>
      <c r="C379" s="40" t="s">
        <v>3293</v>
      </c>
      <c r="D379" s="41">
        <v>45895</v>
      </c>
      <c r="E379" s="41">
        <v>45925</v>
      </c>
      <c r="F379" s="41">
        <v>46091</v>
      </c>
      <c r="G379" s="42">
        <v>166</v>
      </c>
      <c r="H379" s="40" t="s">
        <v>536</v>
      </c>
      <c r="I379" s="39" t="s">
        <v>320</v>
      </c>
      <c r="J379" s="43">
        <v>13239.53</v>
      </c>
      <c r="K379" s="43">
        <v>0</v>
      </c>
      <c r="L379" s="43">
        <v>13239.53</v>
      </c>
      <c r="M379" s="44">
        <v>0</v>
      </c>
      <c r="N379" s="44">
        <f t="shared" si="5"/>
        <v>13239.53</v>
      </c>
      <c r="O379" s="44">
        <v>13239.53</v>
      </c>
      <c r="P379" s="40" t="s">
        <v>3294</v>
      </c>
      <c r="Q379" s="40" t="s">
        <v>3295</v>
      </c>
      <c r="R379" s="40" t="s">
        <v>494</v>
      </c>
      <c r="S379" s="40" t="s">
        <v>495</v>
      </c>
      <c r="T379" s="40" t="s">
        <v>284</v>
      </c>
      <c r="U379" s="40" t="s">
        <v>3296</v>
      </c>
      <c r="V379" s="40" t="s">
        <v>4025</v>
      </c>
      <c r="W379" s="40" t="s">
        <v>3297</v>
      </c>
    </row>
    <row r="380" spans="1:23" ht="12" x14ac:dyDescent="0.2">
      <c r="A380" s="39" t="s">
        <v>2659</v>
      </c>
      <c r="B380" s="40" t="s">
        <v>2660</v>
      </c>
      <c r="C380" s="40" t="s">
        <v>3262</v>
      </c>
      <c r="D380" s="41">
        <v>45895</v>
      </c>
      <c r="E380" s="41">
        <v>45925</v>
      </c>
      <c r="F380" s="41">
        <v>46091</v>
      </c>
      <c r="G380" s="42">
        <v>166</v>
      </c>
      <c r="H380" s="40" t="s">
        <v>536</v>
      </c>
      <c r="I380" s="39" t="s">
        <v>320</v>
      </c>
      <c r="J380" s="43">
        <v>19636.62</v>
      </c>
      <c r="K380" s="43">
        <v>0</v>
      </c>
      <c r="L380" s="43">
        <v>19636.62</v>
      </c>
      <c r="M380" s="44">
        <v>0</v>
      </c>
      <c r="N380" s="44">
        <f t="shared" si="5"/>
        <v>19636.62</v>
      </c>
      <c r="O380" s="44">
        <v>19636.62</v>
      </c>
      <c r="P380" s="40" t="s">
        <v>3263</v>
      </c>
      <c r="Q380" s="40" t="s">
        <v>3264</v>
      </c>
      <c r="R380" s="40" t="s">
        <v>494</v>
      </c>
      <c r="S380" s="40" t="s">
        <v>495</v>
      </c>
      <c r="T380" s="40" t="s">
        <v>514</v>
      </c>
      <c r="U380" s="40" t="s">
        <v>3265</v>
      </c>
      <c r="V380" s="40" t="s">
        <v>4026</v>
      </c>
      <c r="W380" s="40" t="s">
        <v>3266</v>
      </c>
    </row>
    <row r="381" spans="1:23" ht="12" x14ac:dyDescent="0.2">
      <c r="A381" s="39" t="s">
        <v>815</v>
      </c>
      <c r="B381" s="40" t="s">
        <v>1119</v>
      </c>
      <c r="C381" s="40" t="s">
        <v>3261</v>
      </c>
      <c r="D381" s="41">
        <v>45895</v>
      </c>
      <c r="E381" s="41">
        <v>45925</v>
      </c>
      <c r="F381" s="41">
        <v>46091</v>
      </c>
      <c r="G381" s="42">
        <v>166</v>
      </c>
      <c r="H381" s="40" t="s">
        <v>536</v>
      </c>
      <c r="I381" s="39" t="s">
        <v>320</v>
      </c>
      <c r="J381" s="43">
        <v>53120.51</v>
      </c>
      <c r="K381" s="43">
        <v>0</v>
      </c>
      <c r="L381" s="43">
        <v>53120.51</v>
      </c>
      <c r="M381" s="44">
        <v>0</v>
      </c>
      <c r="N381" s="44">
        <f t="shared" si="5"/>
        <v>53120.51</v>
      </c>
      <c r="O381" s="44">
        <v>53120.51</v>
      </c>
      <c r="P381" s="40" t="s">
        <v>2551</v>
      </c>
      <c r="Q381" s="40" t="s">
        <v>2552</v>
      </c>
      <c r="R381" s="40" t="s">
        <v>494</v>
      </c>
      <c r="S381" s="40" t="s">
        <v>502</v>
      </c>
      <c r="T381" s="40" t="s">
        <v>284</v>
      </c>
      <c r="U381" s="40" t="s">
        <v>1505</v>
      </c>
      <c r="V381" s="40" t="s">
        <v>3933</v>
      </c>
      <c r="W381" s="40" t="s">
        <v>2553</v>
      </c>
    </row>
    <row r="382" spans="1:23" ht="12" x14ac:dyDescent="0.2">
      <c r="A382" s="39" t="s">
        <v>395</v>
      </c>
      <c r="B382" s="40" t="s">
        <v>701</v>
      </c>
      <c r="C382" s="40" t="s">
        <v>3289</v>
      </c>
      <c r="D382" s="41">
        <v>45895</v>
      </c>
      <c r="E382" s="41">
        <v>45925</v>
      </c>
      <c r="F382" s="41">
        <v>46091</v>
      </c>
      <c r="G382" s="42">
        <v>166</v>
      </c>
      <c r="H382" s="40" t="s">
        <v>536</v>
      </c>
      <c r="I382" s="39" t="s">
        <v>320</v>
      </c>
      <c r="J382" s="43">
        <v>46874.76</v>
      </c>
      <c r="K382" s="43">
        <v>0</v>
      </c>
      <c r="L382" s="43">
        <v>46874.76</v>
      </c>
      <c r="M382" s="44">
        <v>0</v>
      </c>
      <c r="N382" s="44">
        <f t="shared" si="5"/>
        <v>46874.76</v>
      </c>
      <c r="O382" s="44">
        <v>46874.76</v>
      </c>
      <c r="P382" s="40" t="s">
        <v>2172</v>
      </c>
      <c r="Q382" s="40" t="s">
        <v>2173</v>
      </c>
      <c r="R382" s="40" t="s">
        <v>494</v>
      </c>
      <c r="S382" s="40" t="s">
        <v>502</v>
      </c>
      <c r="T382" s="40" t="s">
        <v>280</v>
      </c>
      <c r="U382" s="40" t="s">
        <v>559</v>
      </c>
      <c r="V382" s="40" t="s">
        <v>3881</v>
      </c>
      <c r="W382" s="40" t="s">
        <v>2174</v>
      </c>
    </row>
    <row r="383" spans="1:23" ht="12" x14ac:dyDescent="0.2">
      <c r="A383" s="39" t="s">
        <v>3298</v>
      </c>
      <c r="B383" s="40" t="s">
        <v>3299</v>
      </c>
      <c r="C383" s="40" t="s">
        <v>3300</v>
      </c>
      <c r="D383" s="41">
        <v>45895</v>
      </c>
      <c r="E383" s="41">
        <v>45925</v>
      </c>
      <c r="F383" s="41">
        <v>46091</v>
      </c>
      <c r="G383" s="42">
        <v>166</v>
      </c>
      <c r="H383" s="40" t="s">
        <v>536</v>
      </c>
      <c r="I383" s="39" t="s">
        <v>320</v>
      </c>
      <c r="J383" s="43">
        <v>6200.92</v>
      </c>
      <c r="K383" s="43">
        <v>0</v>
      </c>
      <c r="L383" s="43">
        <v>6200.92</v>
      </c>
      <c r="M383" s="44">
        <v>0</v>
      </c>
      <c r="N383" s="44">
        <f t="shared" si="5"/>
        <v>6200.92</v>
      </c>
      <c r="O383" s="44">
        <v>6200.92</v>
      </c>
      <c r="P383" s="40" t="s">
        <v>3301</v>
      </c>
      <c r="Q383" s="40" t="s">
        <v>3302</v>
      </c>
      <c r="R383" s="40" t="s">
        <v>494</v>
      </c>
      <c r="S383" s="40" t="s">
        <v>502</v>
      </c>
      <c r="T383" s="40" t="s">
        <v>191</v>
      </c>
      <c r="U383" s="40" t="s">
        <v>3303</v>
      </c>
      <c r="V383" s="40" t="s">
        <v>4027</v>
      </c>
      <c r="W383" s="40" t="s">
        <v>3304</v>
      </c>
    </row>
    <row r="384" spans="1:23" ht="12" x14ac:dyDescent="0.2">
      <c r="A384" s="39" t="s">
        <v>357</v>
      </c>
      <c r="B384" s="40" t="s">
        <v>356</v>
      </c>
      <c r="C384" s="40" t="s">
        <v>3328</v>
      </c>
      <c r="D384" s="41">
        <v>45897</v>
      </c>
      <c r="E384" s="41">
        <v>45927</v>
      </c>
      <c r="F384" s="41">
        <v>46091</v>
      </c>
      <c r="G384" s="42">
        <v>164</v>
      </c>
      <c r="H384" s="40" t="s">
        <v>536</v>
      </c>
      <c r="I384" s="39" t="s">
        <v>341</v>
      </c>
      <c r="J384" s="43">
        <v>333921.71000000002</v>
      </c>
      <c r="K384" s="43">
        <v>0</v>
      </c>
      <c r="L384" s="43">
        <v>63874.61</v>
      </c>
      <c r="M384" s="44">
        <v>0</v>
      </c>
      <c r="N384" s="44">
        <f t="shared" si="5"/>
        <v>53847.57</v>
      </c>
      <c r="O384" s="44">
        <v>53847.57</v>
      </c>
      <c r="P384" s="40" t="s">
        <v>3329</v>
      </c>
      <c r="Q384" s="40" t="s">
        <v>3330</v>
      </c>
      <c r="R384" s="40" t="s">
        <v>494</v>
      </c>
      <c r="S384" s="40" t="s">
        <v>502</v>
      </c>
      <c r="T384" s="40" t="s">
        <v>243</v>
      </c>
      <c r="U384" s="40" t="s">
        <v>3331</v>
      </c>
      <c r="V384" s="40" t="s">
        <v>4009</v>
      </c>
      <c r="W384" s="40" t="s">
        <v>3332</v>
      </c>
    </row>
    <row r="385" spans="1:23" ht="12" x14ac:dyDescent="0.2">
      <c r="A385" s="39" t="s">
        <v>1590</v>
      </c>
      <c r="B385" s="40" t="s">
        <v>2682</v>
      </c>
      <c r="C385" s="40" t="s">
        <v>3333</v>
      </c>
      <c r="D385" s="41">
        <v>45897</v>
      </c>
      <c r="E385" s="41">
        <v>45927</v>
      </c>
      <c r="F385" s="41">
        <v>46091</v>
      </c>
      <c r="G385" s="42">
        <v>164</v>
      </c>
      <c r="H385" s="40" t="s">
        <v>536</v>
      </c>
      <c r="I385" s="39" t="s">
        <v>320</v>
      </c>
      <c r="J385" s="43">
        <v>7603.06</v>
      </c>
      <c r="K385" s="43">
        <v>0</v>
      </c>
      <c r="L385" s="43">
        <v>7603.06</v>
      </c>
      <c r="M385" s="44">
        <v>0</v>
      </c>
      <c r="N385" s="44">
        <f t="shared" si="5"/>
        <v>7603.06</v>
      </c>
      <c r="O385" s="44">
        <v>7603.06</v>
      </c>
      <c r="P385" s="40" t="s">
        <v>2872</v>
      </c>
      <c r="Q385" s="40" t="s">
        <v>2873</v>
      </c>
      <c r="R385" s="40" t="s">
        <v>494</v>
      </c>
      <c r="S385" s="40" t="s">
        <v>502</v>
      </c>
      <c r="T385" s="40" t="s">
        <v>514</v>
      </c>
      <c r="U385" s="40" t="s">
        <v>2874</v>
      </c>
      <c r="V385" s="40" t="s">
        <v>4028</v>
      </c>
      <c r="W385" s="40" t="s">
        <v>322</v>
      </c>
    </row>
    <row r="386" spans="1:23" ht="12" x14ac:dyDescent="0.2">
      <c r="A386" s="39" t="s">
        <v>357</v>
      </c>
      <c r="B386" s="40" t="s">
        <v>356</v>
      </c>
      <c r="C386" s="40" t="s">
        <v>3338</v>
      </c>
      <c r="D386" s="41">
        <v>45898</v>
      </c>
      <c r="E386" s="41">
        <v>45928</v>
      </c>
      <c r="F386" s="41">
        <v>46091</v>
      </c>
      <c r="G386" s="42">
        <v>163</v>
      </c>
      <c r="H386" s="40" t="s">
        <v>536</v>
      </c>
      <c r="I386" s="39" t="s">
        <v>341</v>
      </c>
      <c r="J386" s="43">
        <v>132491.82999999999</v>
      </c>
      <c r="K386" s="43">
        <v>0</v>
      </c>
      <c r="L386" s="43">
        <v>10054.92</v>
      </c>
      <c r="M386" s="44">
        <v>0</v>
      </c>
      <c r="N386" s="44">
        <f t="shared" si="5"/>
        <v>8616.56</v>
      </c>
      <c r="O386" s="44">
        <v>8616.56</v>
      </c>
      <c r="P386" s="40" t="s">
        <v>3339</v>
      </c>
      <c r="Q386" s="40" t="s">
        <v>3340</v>
      </c>
      <c r="R386" s="40" t="s">
        <v>494</v>
      </c>
      <c r="S386" s="40" t="s">
        <v>495</v>
      </c>
      <c r="T386" s="40" t="s">
        <v>1669</v>
      </c>
      <c r="U386" s="40" t="s">
        <v>1670</v>
      </c>
      <c r="V386" s="40" t="s">
        <v>4029</v>
      </c>
      <c r="W386" s="40" t="s">
        <v>3341</v>
      </c>
    </row>
    <row r="387" spans="1:23" ht="12" x14ac:dyDescent="0.2">
      <c r="A387" s="39" t="s">
        <v>26</v>
      </c>
      <c r="B387" s="40" t="s">
        <v>457</v>
      </c>
      <c r="C387" s="40" t="s">
        <v>3352</v>
      </c>
      <c r="D387" s="41">
        <v>45898</v>
      </c>
      <c r="E387" s="41">
        <v>45928</v>
      </c>
      <c r="F387" s="41">
        <v>46091</v>
      </c>
      <c r="G387" s="42">
        <v>163</v>
      </c>
      <c r="H387" s="40" t="s">
        <v>536</v>
      </c>
      <c r="I387" s="39" t="s">
        <v>320</v>
      </c>
      <c r="J387" s="43">
        <v>3031.48</v>
      </c>
      <c r="K387" s="43">
        <v>0</v>
      </c>
      <c r="L387" s="43">
        <v>3031.48</v>
      </c>
      <c r="M387" s="44">
        <v>0</v>
      </c>
      <c r="N387" s="44">
        <f t="shared" ref="N387:N450" si="6">IF(I387="GBP",L387-K387,O387-K387)</f>
        <v>3031.48</v>
      </c>
      <c r="O387" s="44">
        <v>3031.48</v>
      </c>
      <c r="P387" s="40" t="s">
        <v>3353</v>
      </c>
      <c r="Q387" s="40" t="s">
        <v>3354</v>
      </c>
      <c r="R387" s="40" t="s">
        <v>494</v>
      </c>
      <c r="S387" s="40" t="s">
        <v>502</v>
      </c>
      <c r="T387" s="40" t="s">
        <v>287</v>
      </c>
      <c r="U387" s="40" t="s">
        <v>3355</v>
      </c>
      <c r="V387" s="40" t="s">
        <v>4030</v>
      </c>
      <c r="W387" s="40" t="s">
        <v>4031</v>
      </c>
    </row>
    <row r="388" spans="1:23" ht="12" x14ac:dyDescent="0.2">
      <c r="A388" s="39" t="s">
        <v>366</v>
      </c>
      <c r="B388" s="40" t="s">
        <v>365</v>
      </c>
      <c r="C388" s="40" t="s">
        <v>3346</v>
      </c>
      <c r="D388" s="41">
        <v>45898</v>
      </c>
      <c r="E388" s="41">
        <v>45928</v>
      </c>
      <c r="F388" s="41">
        <v>46091</v>
      </c>
      <c r="G388" s="42">
        <v>163</v>
      </c>
      <c r="H388" s="40" t="s">
        <v>536</v>
      </c>
      <c r="I388" s="39" t="s">
        <v>320</v>
      </c>
      <c r="J388" s="43">
        <v>-1466.66</v>
      </c>
      <c r="K388" s="43">
        <v>0</v>
      </c>
      <c r="L388" s="43">
        <v>-1466.66</v>
      </c>
      <c r="M388" s="44">
        <v>0</v>
      </c>
      <c r="N388" s="44">
        <f t="shared" si="6"/>
        <v>-1466.66</v>
      </c>
      <c r="O388" s="44">
        <v>-1466.66</v>
      </c>
      <c r="P388" s="40" t="s">
        <v>3347</v>
      </c>
      <c r="Q388" s="40" t="s">
        <v>3348</v>
      </c>
      <c r="R388" s="40" t="s">
        <v>494</v>
      </c>
      <c r="S388" s="40" t="s">
        <v>495</v>
      </c>
      <c r="T388" s="40" t="s">
        <v>222</v>
      </c>
      <c r="U388" s="40" t="s">
        <v>3349</v>
      </c>
      <c r="V388" s="40" t="s">
        <v>4032</v>
      </c>
      <c r="W388" s="40" t="s">
        <v>3351</v>
      </c>
    </row>
    <row r="389" spans="1:23" ht="12" x14ac:dyDescent="0.2">
      <c r="A389" s="39" t="s">
        <v>66</v>
      </c>
      <c r="B389" s="40" t="s">
        <v>945</v>
      </c>
      <c r="C389" s="40" t="s">
        <v>3360</v>
      </c>
      <c r="D389" s="41">
        <v>45898</v>
      </c>
      <c r="E389" s="41">
        <v>45928</v>
      </c>
      <c r="F389" s="41">
        <v>46091</v>
      </c>
      <c r="G389" s="42">
        <v>163</v>
      </c>
      <c r="H389" s="40" t="s">
        <v>536</v>
      </c>
      <c r="I389" s="39" t="s">
        <v>320</v>
      </c>
      <c r="J389" s="43">
        <v>15000</v>
      </c>
      <c r="K389" s="43">
        <v>0</v>
      </c>
      <c r="L389" s="43">
        <v>10384.549999999999</v>
      </c>
      <c r="M389" s="44">
        <v>0</v>
      </c>
      <c r="N389" s="44">
        <f t="shared" si="6"/>
        <v>10384.549999999999</v>
      </c>
      <c r="O389" s="44">
        <v>10384.549999999999</v>
      </c>
      <c r="P389" s="40" t="s">
        <v>3361</v>
      </c>
      <c r="Q389" s="40" t="s">
        <v>3362</v>
      </c>
      <c r="R389" s="40" t="s">
        <v>494</v>
      </c>
      <c r="S389" s="40" t="s">
        <v>495</v>
      </c>
      <c r="T389" s="40" t="s">
        <v>513</v>
      </c>
      <c r="U389" s="40" t="s">
        <v>3363</v>
      </c>
      <c r="V389" s="40" t="s">
        <v>4033</v>
      </c>
      <c r="W389" s="40" t="s">
        <v>3364</v>
      </c>
    </row>
    <row r="390" spans="1:23" ht="12" x14ac:dyDescent="0.2">
      <c r="A390" s="39" t="s">
        <v>55</v>
      </c>
      <c r="B390" s="40" t="s">
        <v>371</v>
      </c>
      <c r="C390" s="40" t="s">
        <v>3383</v>
      </c>
      <c r="D390" s="41">
        <v>45901</v>
      </c>
      <c r="E390" s="41">
        <v>45931</v>
      </c>
      <c r="F390" s="41">
        <v>46091</v>
      </c>
      <c r="G390" s="42">
        <v>160</v>
      </c>
      <c r="H390" s="40" t="s">
        <v>536</v>
      </c>
      <c r="I390" s="39" t="s">
        <v>320</v>
      </c>
      <c r="J390" s="43">
        <v>125429.01</v>
      </c>
      <c r="K390" s="43">
        <v>0</v>
      </c>
      <c r="L390" s="43">
        <v>125429.01</v>
      </c>
      <c r="M390" s="44">
        <v>0</v>
      </c>
      <c r="N390" s="44">
        <f t="shared" si="6"/>
        <v>125429.01</v>
      </c>
      <c r="O390" s="44">
        <v>125429.01</v>
      </c>
      <c r="P390" s="40" t="s">
        <v>964</v>
      </c>
      <c r="Q390" s="40" t="s">
        <v>1311</v>
      </c>
      <c r="R390" s="40" t="s">
        <v>494</v>
      </c>
      <c r="S390" s="40" t="s">
        <v>502</v>
      </c>
      <c r="T390" s="40" t="s">
        <v>330</v>
      </c>
      <c r="U390" s="40" t="s">
        <v>498</v>
      </c>
      <c r="V390" s="40" t="s">
        <v>4034</v>
      </c>
      <c r="W390" s="40" t="s">
        <v>1312</v>
      </c>
    </row>
    <row r="391" spans="1:23" ht="12" x14ac:dyDescent="0.2">
      <c r="A391" s="39" t="s">
        <v>3387</v>
      </c>
      <c r="B391" s="40" t="s">
        <v>3388</v>
      </c>
      <c r="C391" s="40" t="s">
        <v>3389</v>
      </c>
      <c r="D391" s="41">
        <v>45903</v>
      </c>
      <c r="E391" s="41">
        <v>45933</v>
      </c>
      <c r="F391" s="41">
        <v>46091</v>
      </c>
      <c r="G391" s="42">
        <v>158</v>
      </c>
      <c r="H391" s="40" t="s">
        <v>536</v>
      </c>
      <c r="I391" s="39" t="s">
        <v>320</v>
      </c>
      <c r="J391" s="43">
        <v>78899.38</v>
      </c>
      <c r="K391" s="43">
        <v>0</v>
      </c>
      <c r="L391" s="43">
        <v>76198.009999999995</v>
      </c>
      <c r="M391" s="44">
        <v>0</v>
      </c>
      <c r="N391" s="44">
        <f t="shared" si="6"/>
        <v>76198.009999999995</v>
      </c>
      <c r="O391" s="44">
        <v>76198.009999999995</v>
      </c>
      <c r="P391" s="40" t="s">
        <v>3390</v>
      </c>
      <c r="Q391" s="40" t="s">
        <v>3391</v>
      </c>
      <c r="R391" s="40" t="s">
        <v>494</v>
      </c>
      <c r="S391" s="40" t="s">
        <v>502</v>
      </c>
      <c r="T391" s="40" t="s">
        <v>225</v>
      </c>
      <c r="U391" s="40" t="s">
        <v>574</v>
      </c>
      <c r="V391" s="40" t="s">
        <v>4035</v>
      </c>
      <c r="W391" s="40"/>
    </row>
    <row r="392" spans="1:23" ht="12" x14ac:dyDescent="0.2">
      <c r="A392" s="39" t="s">
        <v>1593</v>
      </c>
      <c r="B392" s="40" t="s">
        <v>3400</v>
      </c>
      <c r="C392" s="40" t="s">
        <v>3401</v>
      </c>
      <c r="D392" s="41">
        <v>45904</v>
      </c>
      <c r="E392" s="41">
        <v>45934</v>
      </c>
      <c r="F392" s="41">
        <v>46091</v>
      </c>
      <c r="G392" s="42">
        <v>157</v>
      </c>
      <c r="H392" s="40" t="s">
        <v>536</v>
      </c>
      <c r="I392" s="39" t="s">
        <v>320</v>
      </c>
      <c r="J392" s="43">
        <v>15000</v>
      </c>
      <c r="K392" s="43">
        <v>0</v>
      </c>
      <c r="L392" s="43">
        <v>15000</v>
      </c>
      <c r="M392" s="44">
        <v>0</v>
      </c>
      <c r="N392" s="44">
        <f t="shared" si="6"/>
        <v>15000</v>
      </c>
      <c r="O392" s="44">
        <v>15000</v>
      </c>
      <c r="P392" s="40" t="s">
        <v>3402</v>
      </c>
      <c r="Q392" s="40" t="s">
        <v>3403</v>
      </c>
      <c r="R392" s="40" t="s">
        <v>494</v>
      </c>
      <c r="S392" s="40" t="s">
        <v>502</v>
      </c>
      <c r="T392" s="40" t="s">
        <v>215</v>
      </c>
      <c r="U392" s="40" t="s">
        <v>3404</v>
      </c>
      <c r="V392" s="40" t="s">
        <v>4036</v>
      </c>
      <c r="W392" s="40" t="s">
        <v>3405</v>
      </c>
    </row>
    <row r="393" spans="1:23" ht="12" x14ac:dyDescent="0.2">
      <c r="A393" s="39" t="s">
        <v>357</v>
      </c>
      <c r="B393" s="40" t="s">
        <v>356</v>
      </c>
      <c r="C393" s="40" t="s">
        <v>3392</v>
      </c>
      <c r="D393" s="41">
        <v>45904</v>
      </c>
      <c r="E393" s="41">
        <v>45934</v>
      </c>
      <c r="F393" s="41">
        <v>46091</v>
      </c>
      <c r="G393" s="42">
        <v>157</v>
      </c>
      <c r="H393" s="40" t="s">
        <v>536</v>
      </c>
      <c r="I393" s="39" t="s">
        <v>341</v>
      </c>
      <c r="J393" s="43">
        <v>172615.85</v>
      </c>
      <c r="K393" s="43">
        <v>0</v>
      </c>
      <c r="L393" s="43">
        <v>41079.629999999997</v>
      </c>
      <c r="M393" s="44">
        <v>0</v>
      </c>
      <c r="N393" s="44">
        <f t="shared" si="6"/>
        <v>35149.79</v>
      </c>
      <c r="O393" s="44">
        <v>35149.79</v>
      </c>
      <c r="P393" s="40" t="s">
        <v>3393</v>
      </c>
      <c r="Q393" s="40" t="s">
        <v>3394</v>
      </c>
      <c r="R393" s="40" t="s">
        <v>494</v>
      </c>
      <c r="S393" s="40" t="s">
        <v>495</v>
      </c>
      <c r="T393" s="40" t="s">
        <v>189</v>
      </c>
      <c r="U393" s="40" t="s">
        <v>3395</v>
      </c>
      <c r="V393" s="40" t="s">
        <v>4037</v>
      </c>
      <c r="W393" s="40" t="s">
        <v>3396</v>
      </c>
    </row>
    <row r="394" spans="1:23" ht="12" x14ac:dyDescent="0.2">
      <c r="A394" s="39" t="s">
        <v>1065</v>
      </c>
      <c r="B394" s="40" t="s">
        <v>1110</v>
      </c>
      <c r="C394" s="40" t="s">
        <v>3406</v>
      </c>
      <c r="D394" s="41">
        <v>45905</v>
      </c>
      <c r="E394" s="41">
        <v>45935</v>
      </c>
      <c r="F394" s="41">
        <v>46091</v>
      </c>
      <c r="G394" s="42">
        <v>156</v>
      </c>
      <c r="H394" s="40" t="s">
        <v>536</v>
      </c>
      <c r="I394" s="39" t="s">
        <v>320</v>
      </c>
      <c r="J394" s="43">
        <v>215.11</v>
      </c>
      <c r="K394" s="43">
        <v>0</v>
      </c>
      <c r="L394" s="43">
        <v>215.11</v>
      </c>
      <c r="M394" s="44">
        <v>0</v>
      </c>
      <c r="N394" s="44">
        <f t="shared" si="6"/>
        <v>215.11</v>
      </c>
      <c r="O394" s="44">
        <v>215.11</v>
      </c>
      <c r="P394" s="40" t="s">
        <v>3407</v>
      </c>
      <c r="Q394" s="40" t="s">
        <v>3408</v>
      </c>
      <c r="R394" s="40" t="s">
        <v>494</v>
      </c>
      <c r="S394" s="40" t="s">
        <v>502</v>
      </c>
      <c r="T394" s="40" t="s">
        <v>178</v>
      </c>
      <c r="U394" s="40" t="s">
        <v>2893</v>
      </c>
      <c r="V394" s="40" t="s">
        <v>4038</v>
      </c>
      <c r="W394" s="40" t="s">
        <v>1112</v>
      </c>
    </row>
    <row r="395" spans="1:23" ht="12" x14ac:dyDescent="0.2">
      <c r="A395" s="39" t="s">
        <v>1065</v>
      </c>
      <c r="B395" s="40" t="s">
        <v>1110</v>
      </c>
      <c r="C395" s="40" t="s">
        <v>3419</v>
      </c>
      <c r="D395" s="41">
        <v>45908</v>
      </c>
      <c r="E395" s="41">
        <v>45938</v>
      </c>
      <c r="F395" s="41">
        <v>46091</v>
      </c>
      <c r="G395" s="42">
        <v>153</v>
      </c>
      <c r="H395" s="40" t="s">
        <v>536</v>
      </c>
      <c r="I395" s="39" t="s">
        <v>320</v>
      </c>
      <c r="J395" s="43">
        <v>973.4</v>
      </c>
      <c r="K395" s="43">
        <v>0</v>
      </c>
      <c r="L395" s="43">
        <v>973.4</v>
      </c>
      <c r="M395" s="44">
        <v>0</v>
      </c>
      <c r="N395" s="44">
        <f t="shared" si="6"/>
        <v>973.4</v>
      </c>
      <c r="O395" s="44">
        <v>973.4</v>
      </c>
      <c r="P395" s="40" t="s">
        <v>3420</v>
      </c>
      <c r="Q395" s="40" t="s">
        <v>3421</v>
      </c>
      <c r="R395" s="40" t="s">
        <v>494</v>
      </c>
      <c r="S395" s="40" t="s">
        <v>502</v>
      </c>
      <c r="T395" s="40" t="s">
        <v>178</v>
      </c>
      <c r="U395" s="40" t="s">
        <v>2893</v>
      </c>
      <c r="V395" s="40" t="s">
        <v>4038</v>
      </c>
      <c r="W395" s="40" t="s">
        <v>1112</v>
      </c>
    </row>
    <row r="396" spans="1:23" ht="12" x14ac:dyDescent="0.2">
      <c r="A396" s="39" t="s">
        <v>1261</v>
      </c>
      <c r="B396" s="40" t="s">
        <v>1262</v>
      </c>
      <c r="C396" s="40" t="s">
        <v>3422</v>
      </c>
      <c r="D396" s="41">
        <v>45909</v>
      </c>
      <c r="E396" s="41">
        <v>45939</v>
      </c>
      <c r="F396" s="41">
        <v>46091</v>
      </c>
      <c r="G396" s="42">
        <v>152</v>
      </c>
      <c r="H396" s="40" t="s">
        <v>536</v>
      </c>
      <c r="I396" s="39" t="s">
        <v>323</v>
      </c>
      <c r="J396" s="43">
        <v>43729.52</v>
      </c>
      <c r="K396" s="43">
        <v>0</v>
      </c>
      <c r="L396" s="43">
        <v>43729.52</v>
      </c>
      <c r="M396" s="44">
        <v>0</v>
      </c>
      <c r="N396" s="44">
        <f t="shared" si="6"/>
        <v>32392.240000000002</v>
      </c>
      <c r="O396" s="44">
        <v>32392.240000000002</v>
      </c>
      <c r="P396" s="40" t="s">
        <v>1263</v>
      </c>
      <c r="Q396" s="40" t="s">
        <v>1264</v>
      </c>
      <c r="R396" s="40" t="s">
        <v>494</v>
      </c>
      <c r="S396" s="40" t="s">
        <v>502</v>
      </c>
      <c r="T396" s="40" t="s">
        <v>733</v>
      </c>
      <c r="U396" s="40" t="s">
        <v>1265</v>
      </c>
      <c r="V396" s="40" t="s">
        <v>3863</v>
      </c>
      <c r="W396" s="40" t="s">
        <v>1266</v>
      </c>
    </row>
    <row r="397" spans="1:23" ht="12" x14ac:dyDescent="0.2">
      <c r="A397" s="39" t="s">
        <v>357</v>
      </c>
      <c r="B397" s="40" t="s">
        <v>356</v>
      </c>
      <c r="C397" s="40" t="s">
        <v>3435</v>
      </c>
      <c r="D397" s="41">
        <v>45909</v>
      </c>
      <c r="E397" s="41">
        <v>45939</v>
      </c>
      <c r="F397" s="41">
        <v>46091</v>
      </c>
      <c r="G397" s="42">
        <v>152</v>
      </c>
      <c r="H397" s="40" t="s">
        <v>536</v>
      </c>
      <c r="I397" s="39" t="s">
        <v>341</v>
      </c>
      <c r="J397" s="43">
        <v>465997.48</v>
      </c>
      <c r="K397" s="43">
        <v>0</v>
      </c>
      <c r="L397" s="43">
        <v>137848.98000000001</v>
      </c>
      <c r="M397" s="44">
        <v>0</v>
      </c>
      <c r="N397" s="44">
        <f t="shared" si="6"/>
        <v>117106.84</v>
      </c>
      <c r="O397" s="44">
        <v>117106.84</v>
      </c>
      <c r="P397" s="40" t="s">
        <v>3436</v>
      </c>
      <c r="Q397" s="40" t="s">
        <v>3437</v>
      </c>
      <c r="R397" s="40" t="s">
        <v>494</v>
      </c>
      <c r="S397" s="40" t="s">
        <v>502</v>
      </c>
      <c r="T397" s="40" t="s">
        <v>219</v>
      </c>
      <c r="U397" s="40" t="s">
        <v>3438</v>
      </c>
      <c r="V397" s="40" t="s">
        <v>4009</v>
      </c>
      <c r="W397" s="40" t="s">
        <v>3439</v>
      </c>
    </row>
    <row r="398" spans="1:23" ht="12" x14ac:dyDescent="0.2">
      <c r="A398" s="39" t="s">
        <v>415</v>
      </c>
      <c r="B398" s="40" t="s">
        <v>2934</v>
      </c>
      <c r="C398" s="40" t="s">
        <v>3450</v>
      </c>
      <c r="D398" s="41">
        <v>45910</v>
      </c>
      <c r="E398" s="41">
        <v>45940</v>
      </c>
      <c r="F398" s="41">
        <v>46091</v>
      </c>
      <c r="G398" s="42">
        <v>151</v>
      </c>
      <c r="H398" s="40" t="s">
        <v>536</v>
      </c>
      <c r="I398" s="39" t="s">
        <v>320</v>
      </c>
      <c r="J398" s="43">
        <v>800</v>
      </c>
      <c r="K398" s="43">
        <v>0</v>
      </c>
      <c r="L398" s="43">
        <v>800</v>
      </c>
      <c r="M398" s="44">
        <v>0</v>
      </c>
      <c r="N398" s="44">
        <f t="shared" si="6"/>
        <v>800</v>
      </c>
      <c r="O398" s="44">
        <v>800</v>
      </c>
      <c r="P398" s="40" t="s">
        <v>3451</v>
      </c>
      <c r="Q398" s="40" t="s">
        <v>3452</v>
      </c>
      <c r="R398" s="40" t="s">
        <v>494</v>
      </c>
      <c r="S398" s="40" t="s">
        <v>502</v>
      </c>
      <c r="T398" s="40" t="s">
        <v>282</v>
      </c>
      <c r="U398" s="40" t="s">
        <v>3453</v>
      </c>
      <c r="V398" s="40" t="s">
        <v>4039</v>
      </c>
      <c r="W398" s="40" t="s">
        <v>3454</v>
      </c>
    </row>
    <row r="399" spans="1:23" ht="12" x14ac:dyDescent="0.2">
      <c r="A399" s="39" t="s">
        <v>54</v>
      </c>
      <c r="B399" s="40" t="s">
        <v>455</v>
      </c>
      <c r="C399" s="40" t="s">
        <v>3443</v>
      </c>
      <c r="D399" s="41">
        <v>45910</v>
      </c>
      <c r="E399" s="41">
        <v>45940</v>
      </c>
      <c r="F399" s="41">
        <v>46091</v>
      </c>
      <c r="G399" s="42">
        <v>151</v>
      </c>
      <c r="H399" s="40" t="s">
        <v>536</v>
      </c>
      <c r="I399" s="39" t="s">
        <v>320</v>
      </c>
      <c r="J399" s="43">
        <v>23094.67</v>
      </c>
      <c r="K399" s="43">
        <v>0</v>
      </c>
      <c r="L399" s="43">
        <v>23094.67</v>
      </c>
      <c r="M399" s="44">
        <v>0</v>
      </c>
      <c r="N399" s="44">
        <f t="shared" si="6"/>
        <v>23094.67</v>
      </c>
      <c r="O399" s="44">
        <v>23094.67</v>
      </c>
      <c r="P399" s="40" t="s">
        <v>2575</v>
      </c>
      <c r="Q399" s="40" t="s">
        <v>2576</v>
      </c>
      <c r="R399" s="40" t="s">
        <v>494</v>
      </c>
      <c r="S399" s="40" t="s">
        <v>495</v>
      </c>
      <c r="T399" s="40" t="s">
        <v>185</v>
      </c>
      <c r="U399" s="40" t="s">
        <v>2577</v>
      </c>
      <c r="V399" s="40" t="s">
        <v>4040</v>
      </c>
      <c r="W399" s="40" t="s">
        <v>2977</v>
      </c>
    </row>
    <row r="400" spans="1:23" ht="12" x14ac:dyDescent="0.2">
      <c r="A400" s="39" t="s">
        <v>357</v>
      </c>
      <c r="B400" s="40" t="s">
        <v>356</v>
      </c>
      <c r="C400" s="40" t="s">
        <v>3444</v>
      </c>
      <c r="D400" s="41">
        <v>45910</v>
      </c>
      <c r="E400" s="41">
        <v>45940</v>
      </c>
      <c r="F400" s="41">
        <v>46091</v>
      </c>
      <c r="G400" s="42">
        <v>151</v>
      </c>
      <c r="H400" s="40" t="s">
        <v>536</v>
      </c>
      <c r="I400" s="39" t="s">
        <v>341</v>
      </c>
      <c r="J400" s="43">
        <v>119983.71</v>
      </c>
      <c r="K400" s="43">
        <v>0</v>
      </c>
      <c r="L400" s="43">
        <v>119983.71</v>
      </c>
      <c r="M400" s="44">
        <v>0</v>
      </c>
      <c r="N400" s="44">
        <f t="shared" si="6"/>
        <v>101929.76</v>
      </c>
      <c r="O400" s="44">
        <v>101929.76</v>
      </c>
      <c r="P400" s="40" t="s">
        <v>1430</v>
      </c>
      <c r="Q400" s="40" t="s">
        <v>1431</v>
      </c>
      <c r="R400" s="40" t="s">
        <v>494</v>
      </c>
      <c r="S400" s="40" t="s">
        <v>502</v>
      </c>
      <c r="T400" s="40" t="s">
        <v>169</v>
      </c>
      <c r="U400" s="40" t="s">
        <v>1325</v>
      </c>
      <c r="V400" s="40" t="s">
        <v>3791</v>
      </c>
      <c r="W400" s="40" t="s">
        <v>1432</v>
      </c>
    </row>
    <row r="401" spans="1:23" ht="12" x14ac:dyDescent="0.2">
      <c r="A401" s="39" t="s">
        <v>53</v>
      </c>
      <c r="B401" s="40" t="s">
        <v>331</v>
      </c>
      <c r="C401" s="40" t="s">
        <v>3456</v>
      </c>
      <c r="D401" s="41">
        <v>45910</v>
      </c>
      <c r="E401" s="41">
        <v>45940</v>
      </c>
      <c r="F401" s="41">
        <v>46091</v>
      </c>
      <c r="G401" s="42">
        <v>151</v>
      </c>
      <c r="H401" s="40" t="s">
        <v>536</v>
      </c>
      <c r="I401" s="39" t="s">
        <v>320</v>
      </c>
      <c r="J401" s="43">
        <v>34731.72</v>
      </c>
      <c r="K401" s="43">
        <v>0</v>
      </c>
      <c r="L401" s="43">
        <v>34731.72</v>
      </c>
      <c r="M401" s="44">
        <v>0</v>
      </c>
      <c r="N401" s="44">
        <f t="shared" si="6"/>
        <v>34731.72</v>
      </c>
      <c r="O401" s="44">
        <v>34731.72</v>
      </c>
      <c r="P401" s="40" t="s">
        <v>3457</v>
      </c>
      <c r="Q401" s="40" t="s">
        <v>3458</v>
      </c>
      <c r="R401" s="40" t="s">
        <v>494</v>
      </c>
      <c r="S401" s="40" t="s">
        <v>495</v>
      </c>
      <c r="T401" s="40" t="s">
        <v>218</v>
      </c>
      <c r="U401" s="40" t="s">
        <v>3459</v>
      </c>
      <c r="V401" s="40"/>
      <c r="W401" s="40" t="s">
        <v>3460</v>
      </c>
    </row>
    <row r="402" spans="1:23" ht="12" x14ac:dyDescent="0.2">
      <c r="A402" s="39" t="s">
        <v>17</v>
      </c>
      <c r="B402" s="40" t="s">
        <v>342</v>
      </c>
      <c r="C402" s="40" t="s">
        <v>3500</v>
      </c>
      <c r="D402" s="41">
        <v>45915</v>
      </c>
      <c r="E402" s="41">
        <v>45945</v>
      </c>
      <c r="F402" s="41">
        <v>46091</v>
      </c>
      <c r="G402" s="42">
        <v>146</v>
      </c>
      <c r="H402" s="40" t="s">
        <v>536</v>
      </c>
      <c r="I402" s="39" t="s">
        <v>320</v>
      </c>
      <c r="J402" s="43">
        <v>68412.34</v>
      </c>
      <c r="K402" s="43">
        <v>0</v>
      </c>
      <c r="L402" s="43">
        <v>68412.34</v>
      </c>
      <c r="M402" s="44">
        <v>0</v>
      </c>
      <c r="N402" s="44">
        <f t="shared" si="6"/>
        <v>68412.34</v>
      </c>
      <c r="O402" s="44">
        <v>68412.34</v>
      </c>
      <c r="P402" s="40" t="s">
        <v>2055</v>
      </c>
      <c r="Q402" s="40" t="s">
        <v>2280</v>
      </c>
      <c r="R402" s="40" t="s">
        <v>494</v>
      </c>
      <c r="S402" s="40" t="s">
        <v>502</v>
      </c>
      <c r="T402" s="40" t="s">
        <v>185</v>
      </c>
      <c r="U402" s="40" t="s">
        <v>646</v>
      </c>
      <c r="V402" s="40" t="s">
        <v>4041</v>
      </c>
      <c r="W402" s="40" t="s">
        <v>2281</v>
      </c>
    </row>
    <row r="403" spans="1:23" ht="12" x14ac:dyDescent="0.2">
      <c r="A403" s="39" t="s">
        <v>2059</v>
      </c>
      <c r="B403" s="40" t="s">
        <v>2285</v>
      </c>
      <c r="C403" s="40" t="s">
        <v>3491</v>
      </c>
      <c r="D403" s="41">
        <v>45915</v>
      </c>
      <c r="E403" s="41">
        <v>45945</v>
      </c>
      <c r="F403" s="41">
        <v>46091</v>
      </c>
      <c r="G403" s="42">
        <v>146</v>
      </c>
      <c r="H403" s="40" t="s">
        <v>536</v>
      </c>
      <c r="I403" s="39" t="s">
        <v>320</v>
      </c>
      <c r="J403" s="43">
        <v>7500</v>
      </c>
      <c r="K403" s="43">
        <v>0</v>
      </c>
      <c r="L403" s="43">
        <v>7500</v>
      </c>
      <c r="M403" s="44">
        <v>0</v>
      </c>
      <c r="N403" s="44">
        <f t="shared" si="6"/>
        <v>7500</v>
      </c>
      <c r="O403" s="44">
        <v>7500</v>
      </c>
      <c r="P403" s="40" t="s">
        <v>2058</v>
      </c>
      <c r="Q403" s="40" t="s">
        <v>2286</v>
      </c>
      <c r="R403" s="40" t="s">
        <v>494</v>
      </c>
      <c r="S403" s="40" t="s">
        <v>502</v>
      </c>
      <c r="T403" s="40" t="s">
        <v>327</v>
      </c>
      <c r="U403" s="40" t="s">
        <v>537</v>
      </c>
      <c r="V403" s="40" t="s">
        <v>4042</v>
      </c>
      <c r="W403" s="40" t="s">
        <v>2287</v>
      </c>
    </row>
    <row r="404" spans="1:23" ht="12" x14ac:dyDescent="0.2">
      <c r="A404" s="39" t="s">
        <v>368</v>
      </c>
      <c r="B404" s="40" t="s">
        <v>367</v>
      </c>
      <c r="C404" s="40" t="s">
        <v>3505</v>
      </c>
      <c r="D404" s="41">
        <v>45915</v>
      </c>
      <c r="E404" s="41">
        <v>45945</v>
      </c>
      <c r="F404" s="41">
        <v>46091</v>
      </c>
      <c r="G404" s="42">
        <v>146</v>
      </c>
      <c r="H404" s="40" t="s">
        <v>536</v>
      </c>
      <c r="I404" s="39" t="s">
        <v>320</v>
      </c>
      <c r="J404" s="43">
        <v>30600</v>
      </c>
      <c r="K404" s="43">
        <v>0</v>
      </c>
      <c r="L404" s="43">
        <v>30600</v>
      </c>
      <c r="M404" s="44">
        <v>0</v>
      </c>
      <c r="N404" s="44">
        <f t="shared" si="6"/>
        <v>30600</v>
      </c>
      <c r="O404" s="44">
        <v>30600</v>
      </c>
      <c r="P404" s="40" t="s">
        <v>2056</v>
      </c>
      <c r="Q404" s="40" t="s">
        <v>2283</v>
      </c>
      <c r="R404" s="40" t="s">
        <v>494</v>
      </c>
      <c r="S404" s="40" t="s">
        <v>502</v>
      </c>
      <c r="T404" s="40" t="s">
        <v>733</v>
      </c>
      <c r="U404" s="40" t="s">
        <v>1014</v>
      </c>
      <c r="V404" s="40" t="s">
        <v>3901</v>
      </c>
      <c r="W404" s="40" t="s">
        <v>2284</v>
      </c>
    </row>
    <row r="405" spans="1:23" ht="12" x14ac:dyDescent="0.2">
      <c r="A405" s="39" t="s">
        <v>17</v>
      </c>
      <c r="B405" s="40" t="s">
        <v>342</v>
      </c>
      <c r="C405" s="40" t="s">
        <v>3501</v>
      </c>
      <c r="D405" s="41">
        <v>45915</v>
      </c>
      <c r="E405" s="41">
        <v>45945</v>
      </c>
      <c r="F405" s="41">
        <v>46091</v>
      </c>
      <c r="G405" s="42">
        <v>146</v>
      </c>
      <c r="H405" s="40" t="s">
        <v>536</v>
      </c>
      <c r="I405" s="39" t="s">
        <v>320</v>
      </c>
      <c r="J405" s="43">
        <v>55377</v>
      </c>
      <c r="K405" s="43">
        <v>0</v>
      </c>
      <c r="L405" s="43">
        <v>55377</v>
      </c>
      <c r="M405" s="44">
        <v>0</v>
      </c>
      <c r="N405" s="44">
        <f t="shared" si="6"/>
        <v>55377</v>
      </c>
      <c r="O405" s="44">
        <v>55377</v>
      </c>
      <c r="P405" s="40" t="s">
        <v>3502</v>
      </c>
      <c r="Q405" s="40" t="s">
        <v>3503</v>
      </c>
      <c r="R405" s="40" t="s">
        <v>494</v>
      </c>
      <c r="S405" s="40" t="s">
        <v>502</v>
      </c>
      <c r="T405" s="40" t="s">
        <v>289</v>
      </c>
      <c r="U405" s="40" t="s">
        <v>1927</v>
      </c>
      <c r="V405" s="40" t="s">
        <v>4043</v>
      </c>
      <c r="W405" s="40" t="s">
        <v>3504</v>
      </c>
    </row>
    <row r="406" spans="1:23" ht="12" x14ac:dyDescent="0.2">
      <c r="A406" s="39" t="s">
        <v>3493</v>
      </c>
      <c r="B406" s="40" t="s">
        <v>3494</v>
      </c>
      <c r="C406" s="40" t="s">
        <v>3495</v>
      </c>
      <c r="D406" s="41">
        <v>45915</v>
      </c>
      <c r="E406" s="41">
        <v>45945</v>
      </c>
      <c r="F406" s="41">
        <v>46091</v>
      </c>
      <c r="G406" s="42">
        <v>146</v>
      </c>
      <c r="H406" s="40" t="s">
        <v>536</v>
      </c>
      <c r="I406" s="39" t="s">
        <v>323</v>
      </c>
      <c r="J406" s="43">
        <v>796631.79</v>
      </c>
      <c r="K406" s="43">
        <v>0</v>
      </c>
      <c r="L406" s="43">
        <v>796631.79</v>
      </c>
      <c r="M406" s="44">
        <v>0</v>
      </c>
      <c r="N406" s="44">
        <f t="shared" si="6"/>
        <v>590097.62</v>
      </c>
      <c r="O406" s="44">
        <v>590097.62</v>
      </c>
      <c r="P406" s="40" t="s">
        <v>3496</v>
      </c>
      <c r="Q406" s="40" t="s">
        <v>3497</v>
      </c>
      <c r="R406" s="40" t="s">
        <v>494</v>
      </c>
      <c r="S406" s="40" t="s">
        <v>502</v>
      </c>
      <c r="T406" s="40" t="s">
        <v>191</v>
      </c>
      <c r="U406" s="40" t="s">
        <v>567</v>
      </c>
      <c r="V406" s="40" t="s">
        <v>4044</v>
      </c>
      <c r="W406" s="40" t="s">
        <v>3498</v>
      </c>
    </row>
    <row r="407" spans="1:23" ht="12" x14ac:dyDescent="0.2">
      <c r="A407" s="39" t="s">
        <v>337</v>
      </c>
      <c r="B407" s="40" t="s">
        <v>336</v>
      </c>
      <c r="C407" s="40" t="s">
        <v>3492</v>
      </c>
      <c r="D407" s="41">
        <v>45915</v>
      </c>
      <c r="E407" s="41">
        <v>45945</v>
      </c>
      <c r="F407" s="41">
        <v>46091</v>
      </c>
      <c r="G407" s="42">
        <v>146</v>
      </c>
      <c r="H407" s="40" t="s">
        <v>536</v>
      </c>
      <c r="I407" s="39" t="s">
        <v>320</v>
      </c>
      <c r="J407" s="43">
        <v>56060.93</v>
      </c>
      <c r="K407" s="43">
        <v>0</v>
      </c>
      <c r="L407" s="43">
        <v>56060.93</v>
      </c>
      <c r="M407" s="44">
        <v>0</v>
      </c>
      <c r="N407" s="44">
        <f t="shared" si="6"/>
        <v>56060.93</v>
      </c>
      <c r="O407" s="44">
        <v>56060.93</v>
      </c>
      <c r="P407" s="40" t="s">
        <v>1307</v>
      </c>
      <c r="Q407" s="40" t="s">
        <v>1308</v>
      </c>
      <c r="R407" s="40" t="s">
        <v>494</v>
      </c>
      <c r="S407" s="40" t="s">
        <v>502</v>
      </c>
      <c r="T407" s="40" t="s">
        <v>289</v>
      </c>
      <c r="U407" s="40" t="s">
        <v>569</v>
      </c>
      <c r="V407" s="40" t="s">
        <v>4045</v>
      </c>
      <c r="W407" s="40" t="s">
        <v>1309</v>
      </c>
    </row>
    <row r="408" spans="1:23" ht="12" x14ac:dyDescent="0.2">
      <c r="A408" s="39" t="s">
        <v>1136</v>
      </c>
      <c r="B408" s="40" t="s">
        <v>1137</v>
      </c>
      <c r="C408" s="40" t="s">
        <v>3499</v>
      </c>
      <c r="D408" s="41">
        <v>45915</v>
      </c>
      <c r="E408" s="41">
        <v>45945</v>
      </c>
      <c r="F408" s="41">
        <v>46091</v>
      </c>
      <c r="G408" s="42">
        <v>146</v>
      </c>
      <c r="H408" s="40" t="s">
        <v>536</v>
      </c>
      <c r="I408" s="39" t="s">
        <v>320</v>
      </c>
      <c r="J408" s="43">
        <v>34767.230000000003</v>
      </c>
      <c r="K408" s="43">
        <v>0</v>
      </c>
      <c r="L408" s="43">
        <v>34767.230000000003</v>
      </c>
      <c r="M408" s="44">
        <v>0</v>
      </c>
      <c r="N408" s="44">
        <f t="shared" si="6"/>
        <v>34767.230000000003</v>
      </c>
      <c r="O408" s="44">
        <v>34767.230000000003</v>
      </c>
      <c r="P408" s="40" t="s">
        <v>1425</v>
      </c>
      <c r="Q408" s="40" t="s">
        <v>1426</v>
      </c>
      <c r="R408" s="40" t="s">
        <v>494</v>
      </c>
      <c r="S408" s="40" t="s">
        <v>502</v>
      </c>
      <c r="T408" s="40" t="s">
        <v>280</v>
      </c>
      <c r="U408" s="40" t="s">
        <v>1427</v>
      </c>
      <c r="V408" s="40" t="s">
        <v>4046</v>
      </c>
      <c r="W408" s="40" t="s">
        <v>1428</v>
      </c>
    </row>
    <row r="409" spans="1:23" ht="12" x14ac:dyDescent="0.2">
      <c r="A409" s="39" t="s">
        <v>337</v>
      </c>
      <c r="B409" s="40" t="s">
        <v>336</v>
      </c>
      <c r="C409" s="40" t="s">
        <v>3518</v>
      </c>
      <c r="D409" s="41">
        <v>45916</v>
      </c>
      <c r="E409" s="41">
        <v>45946</v>
      </c>
      <c r="F409" s="41">
        <v>46091</v>
      </c>
      <c r="G409" s="42">
        <v>145</v>
      </c>
      <c r="H409" s="40" t="s">
        <v>536</v>
      </c>
      <c r="I409" s="39" t="s">
        <v>320</v>
      </c>
      <c r="J409" s="43">
        <v>42240.82</v>
      </c>
      <c r="K409" s="43">
        <v>0</v>
      </c>
      <c r="L409" s="43">
        <v>42240.82</v>
      </c>
      <c r="M409" s="44">
        <v>0</v>
      </c>
      <c r="N409" s="44">
        <f t="shared" si="6"/>
        <v>42240.82</v>
      </c>
      <c r="O409" s="44">
        <v>42240.82</v>
      </c>
      <c r="P409" s="40" t="s">
        <v>1177</v>
      </c>
      <c r="Q409" s="40" t="s">
        <v>1178</v>
      </c>
      <c r="R409" s="40" t="s">
        <v>494</v>
      </c>
      <c r="S409" s="40" t="s">
        <v>502</v>
      </c>
      <c r="T409" s="40" t="s">
        <v>289</v>
      </c>
      <c r="U409" s="40" t="s">
        <v>1179</v>
      </c>
      <c r="V409" s="40" t="s">
        <v>3938</v>
      </c>
      <c r="W409" s="40" t="s">
        <v>1180</v>
      </c>
    </row>
    <row r="410" spans="1:23" ht="12" x14ac:dyDescent="0.2">
      <c r="A410" s="39" t="s">
        <v>1700</v>
      </c>
      <c r="B410" s="40" t="s">
        <v>1701</v>
      </c>
      <c r="C410" s="40" t="s">
        <v>4047</v>
      </c>
      <c r="D410" s="41">
        <v>45917</v>
      </c>
      <c r="E410" s="41">
        <v>45947</v>
      </c>
      <c r="F410" s="41">
        <v>46091</v>
      </c>
      <c r="G410" s="42">
        <v>144</v>
      </c>
      <c r="H410" s="40" t="s">
        <v>536</v>
      </c>
      <c r="I410" s="39" t="s">
        <v>323</v>
      </c>
      <c r="J410" s="43">
        <v>152736.43</v>
      </c>
      <c r="K410" s="43">
        <v>0</v>
      </c>
      <c r="L410" s="43">
        <v>152736.43</v>
      </c>
      <c r="M410" s="44">
        <v>0</v>
      </c>
      <c r="N410" s="44">
        <f t="shared" si="6"/>
        <v>113132.23</v>
      </c>
      <c r="O410" s="44">
        <v>113132.23</v>
      </c>
      <c r="P410" s="40" t="s">
        <v>1702</v>
      </c>
      <c r="Q410" s="40" t="s">
        <v>1703</v>
      </c>
      <c r="R410" s="40" t="s">
        <v>494</v>
      </c>
      <c r="S410" s="40" t="s">
        <v>502</v>
      </c>
      <c r="T410" s="40" t="s">
        <v>198</v>
      </c>
      <c r="U410" s="40" t="s">
        <v>1487</v>
      </c>
      <c r="V410" s="40" t="s">
        <v>4011</v>
      </c>
      <c r="W410" s="40"/>
    </row>
    <row r="411" spans="1:23" ht="12" x14ac:dyDescent="0.2">
      <c r="A411" s="39" t="s">
        <v>31</v>
      </c>
      <c r="B411" s="40" t="s">
        <v>353</v>
      </c>
      <c r="C411" s="40" t="s">
        <v>3536</v>
      </c>
      <c r="D411" s="41">
        <v>45918</v>
      </c>
      <c r="E411" s="41">
        <v>45948</v>
      </c>
      <c r="F411" s="41">
        <v>46091</v>
      </c>
      <c r="G411" s="42">
        <v>143</v>
      </c>
      <c r="H411" s="40" t="s">
        <v>536</v>
      </c>
      <c r="I411" s="39" t="s">
        <v>320</v>
      </c>
      <c r="J411" s="43">
        <v>4975.74</v>
      </c>
      <c r="K411" s="43">
        <v>0</v>
      </c>
      <c r="L411" s="43">
        <v>4975.74</v>
      </c>
      <c r="M411" s="44">
        <v>0</v>
      </c>
      <c r="N411" s="44">
        <f t="shared" si="6"/>
        <v>4975.74</v>
      </c>
      <c r="O411" s="44">
        <v>4975.74</v>
      </c>
      <c r="P411" s="40" t="s">
        <v>3537</v>
      </c>
      <c r="Q411" s="40" t="s">
        <v>3538</v>
      </c>
      <c r="R411" s="40" t="s">
        <v>494</v>
      </c>
      <c r="S411" s="40" t="s">
        <v>495</v>
      </c>
      <c r="T411" s="40" t="s">
        <v>185</v>
      </c>
      <c r="U411" s="40" t="s">
        <v>3539</v>
      </c>
      <c r="V411" s="40"/>
      <c r="W411" s="40" t="s">
        <v>3540</v>
      </c>
    </row>
    <row r="412" spans="1:23" ht="12" x14ac:dyDescent="0.2">
      <c r="A412" s="39" t="s">
        <v>34</v>
      </c>
      <c r="B412" s="40" t="s">
        <v>465</v>
      </c>
      <c r="C412" s="40" t="s">
        <v>3556</v>
      </c>
      <c r="D412" s="41">
        <v>45919</v>
      </c>
      <c r="E412" s="41">
        <v>45949</v>
      </c>
      <c r="F412" s="41">
        <v>46091</v>
      </c>
      <c r="G412" s="42">
        <v>142</v>
      </c>
      <c r="H412" s="40" t="s">
        <v>536</v>
      </c>
      <c r="I412" s="39" t="s">
        <v>320</v>
      </c>
      <c r="J412" s="43">
        <v>37069.18</v>
      </c>
      <c r="K412" s="43">
        <v>6178.21</v>
      </c>
      <c r="L412" s="43">
        <v>37069.18</v>
      </c>
      <c r="M412" s="44">
        <v>6178.21</v>
      </c>
      <c r="N412" s="44">
        <f t="shared" si="6"/>
        <v>30890.97</v>
      </c>
      <c r="O412" s="44">
        <v>37069.18</v>
      </c>
      <c r="P412" s="40" t="s">
        <v>2421</v>
      </c>
      <c r="Q412" s="40" t="s">
        <v>2422</v>
      </c>
      <c r="R412" s="40" t="s">
        <v>494</v>
      </c>
      <c r="S412" s="40" t="s">
        <v>495</v>
      </c>
      <c r="T412" s="40" t="s">
        <v>218</v>
      </c>
      <c r="U412" s="40" t="s">
        <v>2423</v>
      </c>
      <c r="V412" s="40" t="s">
        <v>4048</v>
      </c>
      <c r="W412" s="40" t="s">
        <v>2424</v>
      </c>
    </row>
    <row r="413" spans="1:23" ht="12" x14ac:dyDescent="0.2">
      <c r="A413" s="39" t="s">
        <v>1609</v>
      </c>
      <c r="B413" s="40" t="s">
        <v>3544</v>
      </c>
      <c r="C413" s="40" t="s">
        <v>3545</v>
      </c>
      <c r="D413" s="41">
        <v>45919</v>
      </c>
      <c r="E413" s="41">
        <v>45949</v>
      </c>
      <c r="F413" s="41">
        <v>46091</v>
      </c>
      <c r="G413" s="42">
        <v>142</v>
      </c>
      <c r="H413" s="40" t="s">
        <v>536</v>
      </c>
      <c r="I413" s="39" t="s">
        <v>323</v>
      </c>
      <c r="J413" s="43">
        <v>-19.850000000000001</v>
      </c>
      <c r="K413" s="43">
        <v>0</v>
      </c>
      <c r="L413" s="43">
        <v>-19.850000000000001</v>
      </c>
      <c r="M413" s="44">
        <v>0</v>
      </c>
      <c r="N413" s="44">
        <f t="shared" si="6"/>
        <v>-15.88</v>
      </c>
      <c r="O413" s="44">
        <v>-15.88</v>
      </c>
      <c r="P413" s="40" t="s">
        <v>3546</v>
      </c>
      <c r="Q413" s="40" t="s">
        <v>3547</v>
      </c>
      <c r="R413" s="40" t="s">
        <v>494</v>
      </c>
      <c r="S413" s="40" t="s">
        <v>495</v>
      </c>
      <c r="T413" s="40" t="s">
        <v>813</v>
      </c>
      <c r="U413" s="40" t="s">
        <v>623</v>
      </c>
      <c r="V413" s="40" t="s">
        <v>4049</v>
      </c>
      <c r="W413" s="40" t="s">
        <v>3548</v>
      </c>
    </row>
    <row r="414" spans="1:23" ht="12" x14ac:dyDescent="0.2">
      <c r="A414" s="39" t="s">
        <v>3549</v>
      </c>
      <c r="B414" s="40" t="s">
        <v>3550</v>
      </c>
      <c r="C414" s="40" t="s">
        <v>3551</v>
      </c>
      <c r="D414" s="41">
        <v>45919</v>
      </c>
      <c r="E414" s="41">
        <v>45949</v>
      </c>
      <c r="F414" s="41">
        <v>46091</v>
      </c>
      <c r="G414" s="42">
        <v>142</v>
      </c>
      <c r="H414" s="40" t="s">
        <v>536</v>
      </c>
      <c r="I414" s="39" t="s">
        <v>323</v>
      </c>
      <c r="J414" s="43">
        <v>90237.24</v>
      </c>
      <c r="K414" s="43">
        <v>0</v>
      </c>
      <c r="L414" s="43">
        <v>90237.24</v>
      </c>
      <c r="M414" s="44">
        <v>0</v>
      </c>
      <c r="N414" s="44">
        <f t="shared" si="6"/>
        <v>66842.399999999994</v>
      </c>
      <c r="O414" s="44">
        <v>66842.399999999994</v>
      </c>
      <c r="P414" s="40" t="s">
        <v>3552</v>
      </c>
      <c r="Q414" s="40" t="s">
        <v>3553</v>
      </c>
      <c r="R414" s="40" t="s">
        <v>494</v>
      </c>
      <c r="S414" s="40" t="s">
        <v>502</v>
      </c>
      <c r="T414" s="40" t="s">
        <v>178</v>
      </c>
      <c r="U414" s="40" t="s">
        <v>3554</v>
      </c>
      <c r="V414" s="40" t="s">
        <v>4050</v>
      </c>
      <c r="W414" s="40" t="s">
        <v>3555</v>
      </c>
    </row>
    <row r="415" spans="1:23" ht="12" x14ac:dyDescent="0.2">
      <c r="A415" s="39" t="s">
        <v>27</v>
      </c>
      <c r="B415" s="40" t="s">
        <v>476</v>
      </c>
      <c r="C415" s="40" t="s">
        <v>3562</v>
      </c>
      <c r="D415" s="41">
        <v>45922</v>
      </c>
      <c r="E415" s="41">
        <v>45952</v>
      </c>
      <c r="F415" s="41">
        <v>46091</v>
      </c>
      <c r="G415" s="42">
        <v>139</v>
      </c>
      <c r="H415" s="40" t="s">
        <v>536</v>
      </c>
      <c r="I415" s="39" t="s">
        <v>1267</v>
      </c>
      <c r="J415" s="43">
        <v>18184138.199999999</v>
      </c>
      <c r="K415" s="43">
        <v>0</v>
      </c>
      <c r="L415" s="43">
        <v>3773666.72</v>
      </c>
      <c r="M415" s="44">
        <v>0</v>
      </c>
      <c r="N415" s="44">
        <f t="shared" si="6"/>
        <v>91821.4</v>
      </c>
      <c r="O415" s="44">
        <v>91821.4</v>
      </c>
      <c r="P415" s="40" t="s">
        <v>3563</v>
      </c>
      <c r="Q415" s="40" t="s">
        <v>3564</v>
      </c>
      <c r="R415" s="40" t="s">
        <v>494</v>
      </c>
      <c r="S415" s="40" t="s">
        <v>495</v>
      </c>
      <c r="T415" s="40" t="s">
        <v>178</v>
      </c>
      <c r="U415" s="40" t="s">
        <v>1250</v>
      </c>
      <c r="V415" s="40" t="s">
        <v>4051</v>
      </c>
      <c r="W415" s="40" t="s">
        <v>3565</v>
      </c>
    </row>
    <row r="416" spans="1:23" ht="12" x14ac:dyDescent="0.2">
      <c r="A416" s="39" t="s">
        <v>48</v>
      </c>
      <c r="B416" s="40" t="s">
        <v>389</v>
      </c>
      <c r="C416" s="40" t="s">
        <v>3577</v>
      </c>
      <c r="D416" s="41">
        <v>45923</v>
      </c>
      <c r="E416" s="41">
        <v>45953</v>
      </c>
      <c r="F416" s="41">
        <v>46091</v>
      </c>
      <c r="G416" s="42">
        <v>138</v>
      </c>
      <c r="H416" s="40" t="s">
        <v>536</v>
      </c>
      <c r="I416" s="39" t="s">
        <v>320</v>
      </c>
      <c r="J416" s="43">
        <v>-51031.72</v>
      </c>
      <c r="K416" s="43">
        <v>0</v>
      </c>
      <c r="L416" s="43">
        <v>-51031.72</v>
      </c>
      <c r="M416" s="44">
        <v>0</v>
      </c>
      <c r="N416" s="44">
        <f t="shared" si="6"/>
        <v>-51031.72</v>
      </c>
      <c r="O416" s="44">
        <v>-51031.72</v>
      </c>
      <c r="P416" s="40" t="s">
        <v>2582</v>
      </c>
      <c r="Q416" s="40" t="s">
        <v>2583</v>
      </c>
      <c r="R416" s="40" t="s">
        <v>494</v>
      </c>
      <c r="S416" s="40" t="s">
        <v>495</v>
      </c>
      <c r="T416" s="40" t="s">
        <v>178</v>
      </c>
      <c r="U416" s="40" t="s">
        <v>1393</v>
      </c>
      <c r="V416" s="40"/>
      <c r="W416" s="40" t="s">
        <v>2584</v>
      </c>
    </row>
    <row r="417" spans="1:23" ht="12" x14ac:dyDescent="0.2">
      <c r="A417" s="39" t="s">
        <v>31</v>
      </c>
      <c r="B417" s="40" t="s">
        <v>353</v>
      </c>
      <c r="C417" s="40" t="s">
        <v>3594</v>
      </c>
      <c r="D417" s="41">
        <v>45923</v>
      </c>
      <c r="E417" s="41">
        <v>45953</v>
      </c>
      <c r="F417" s="41">
        <v>46091</v>
      </c>
      <c r="G417" s="42">
        <v>138</v>
      </c>
      <c r="H417" s="40" t="s">
        <v>536</v>
      </c>
      <c r="I417" s="39" t="s">
        <v>320</v>
      </c>
      <c r="J417" s="43">
        <v>-154627.79</v>
      </c>
      <c r="K417" s="43">
        <v>0</v>
      </c>
      <c r="L417" s="43">
        <v>-154627.79</v>
      </c>
      <c r="M417" s="44">
        <v>0</v>
      </c>
      <c r="N417" s="44">
        <f t="shared" si="6"/>
        <v>-154627.79</v>
      </c>
      <c r="O417" s="44">
        <v>-154627.79</v>
      </c>
      <c r="P417" s="40" t="s">
        <v>3595</v>
      </c>
      <c r="Q417" s="40" t="s">
        <v>3596</v>
      </c>
      <c r="R417" s="40" t="s">
        <v>494</v>
      </c>
      <c r="S417" s="40" t="s">
        <v>502</v>
      </c>
      <c r="T417" s="40" t="s">
        <v>513</v>
      </c>
      <c r="U417" s="40" t="s">
        <v>3597</v>
      </c>
      <c r="V417" s="40"/>
      <c r="W417" s="40" t="s">
        <v>3598</v>
      </c>
    </row>
    <row r="418" spans="1:23" ht="12" x14ac:dyDescent="0.2">
      <c r="A418" s="39" t="s">
        <v>54</v>
      </c>
      <c r="B418" s="40" t="s">
        <v>455</v>
      </c>
      <c r="C418" s="40" t="s">
        <v>3567</v>
      </c>
      <c r="D418" s="41">
        <v>45923</v>
      </c>
      <c r="E418" s="41">
        <v>45953</v>
      </c>
      <c r="F418" s="41">
        <v>46091</v>
      </c>
      <c r="G418" s="42">
        <v>138</v>
      </c>
      <c r="H418" s="40" t="s">
        <v>536</v>
      </c>
      <c r="I418" s="39" t="s">
        <v>320</v>
      </c>
      <c r="J418" s="43">
        <v>26443.55</v>
      </c>
      <c r="K418" s="43">
        <v>0</v>
      </c>
      <c r="L418" s="43">
        <v>26443.55</v>
      </c>
      <c r="M418" s="44">
        <v>0</v>
      </c>
      <c r="N418" s="44">
        <f t="shared" si="6"/>
        <v>26443.55</v>
      </c>
      <c r="O418" s="44">
        <v>26443.55</v>
      </c>
      <c r="P418" s="40" t="s">
        <v>961</v>
      </c>
      <c r="Q418" s="40" t="s">
        <v>3568</v>
      </c>
      <c r="R418" s="40" t="s">
        <v>494</v>
      </c>
      <c r="S418" s="40" t="s">
        <v>502</v>
      </c>
      <c r="T418" s="40" t="s">
        <v>733</v>
      </c>
      <c r="U418" s="40" t="s">
        <v>2155</v>
      </c>
      <c r="V418" s="40" t="s">
        <v>4052</v>
      </c>
      <c r="W418" s="40" t="s">
        <v>3569</v>
      </c>
    </row>
    <row r="419" spans="1:23" ht="12" x14ac:dyDescent="0.2">
      <c r="A419" s="39" t="s">
        <v>54</v>
      </c>
      <c r="B419" s="40" t="s">
        <v>455</v>
      </c>
      <c r="C419" s="40" t="s">
        <v>3612</v>
      </c>
      <c r="D419" s="41">
        <v>45923</v>
      </c>
      <c r="E419" s="41">
        <v>45953</v>
      </c>
      <c r="F419" s="41">
        <v>46091</v>
      </c>
      <c r="G419" s="42">
        <v>138</v>
      </c>
      <c r="H419" s="40" t="s">
        <v>536</v>
      </c>
      <c r="I419" s="39" t="s">
        <v>320</v>
      </c>
      <c r="J419" s="43">
        <v>29491.54</v>
      </c>
      <c r="K419" s="43">
        <v>0</v>
      </c>
      <c r="L419" s="43">
        <v>29491.54</v>
      </c>
      <c r="M419" s="44">
        <v>0</v>
      </c>
      <c r="N419" s="44">
        <f t="shared" si="6"/>
        <v>29491.54</v>
      </c>
      <c r="O419" s="44">
        <v>29491.54</v>
      </c>
      <c r="P419" s="40" t="s">
        <v>1603</v>
      </c>
      <c r="Q419" s="40" t="s">
        <v>3613</v>
      </c>
      <c r="R419" s="40" t="s">
        <v>494</v>
      </c>
      <c r="S419" s="40" t="s">
        <v>502</v>
      </c>
      <c r="T419" s="40" t="s">
        <v>303</v>
      </c>
      <c r="U419" s="40" t="s">
        <v>3614</v>
      </c>
      <c r="V419" s="40" t="s">
        <v>4053</v>
      </c>
      <c r="W419" s="40" t="s">
        <v>3615</v>
      </c>
    </row>
    <row r="420" spans="1:23" ht="12" x14ac:dyDescent="0.2">
      <c r="A420" s="39" t="s">
        <v>357</v>
      </c>
      <c r="B420" s="40" t="s">
        <v>356</v>
      </c>
      <c r="C420" s="40" t="s">
        <v>3570</v>
      </c>
      <c r="D420" s="41">
        <v>45923</v>
      </c>
      <c r="E420" s="41">
        <v>45953</v>
      </c>
      <c r="F420" s="41">
        <v>46091</v>
      </c>
      <c r="G420" s="42">
        <v>138</v>
      </c>
      <c r="H420" s="40" t="s">
        <v>536</v>
      </c>
      <c r="I420" s="39" t="s">
        <v>341</v>
      </c>
      <c r="J420" s="43">
        <v>201956.27</v>
      </c>
      <c r="K420" s="43">
        <v>0</v>
      </c>
      <c r="L420" s="43">
        <v>7420.87</v>
      </c>
      <c r="M420" s="44">
        <v>0</v>
      </c>
      <c r="N420" s="44">
        <f t="shared" si="6"/>
        <v>6345.29</v>
      </c>
      <c r="O420" s="44">
        <v>6345.29</v>
      </c>
      <c r="P420" s="40" t="s">
        <v>3571</v>
      </c>
      <c r="Q420" s="40" t="s">
        <v>3572</v>
      </c>
      <c r="R420" s="40" t="s">
        <v>494</v>
      </c>
      <c r="S420" s="40" t="s">
        <v>502</v>
      </c>
      <c r="T420" s="40" t="s">
        <v>496</v>
      </c>
      <c r="U420" s="40" t="s">
        <v>1990</v>
      </c>
      <c r="V420" s="40" t="s">
        <v>4037</v>
      </c>
      <c r="W420" s="40" t="s">
        <v>3573</v>
      </c>
    </row>
    <row r="421" spans="1:23" ht="12" x14ac:dyDescent="0.2">
      <c r="A421" s="39" t="s">
        <v>33</v>
      </c>
      <c r="B421" s="40" t="s">
        <v>340</v>
      </c>
      <c r="C421" s="40" t="s">
        <v>3618</v>
      </c>
      <c r="D421" s="41">
        <v>45923</v>
      </c>
      <c r="E421" s="41">
        <v>45953</v>
      </c>
      <c r="F421" s="41">
        <v>46091</v>
      </c>
      <c r="G421" s="42">
        <v>138</v>
      </c>
      <c r="H421" s="40" t="s">
        <v>536</v>
      </c>
      <c r="I421" s="39" t="s">
        <v>320</v>
      </c>
      <c r="J421" s="43">
        <v>4041.25</v>
      </c>
      <c r="K421" s="43">
        <v>0</v>
      </c>
      <c r="L421" s="43">
        <v>4041.25</v>
      </c>
      <c r="M421" s="44">
        <v>0</v>
      </c>
      <c r="N421" s="44">
        <f t="shared" si="6"/>
        <v>4041.25</v>
      </c>
      <c r="O421" s="44">
        <v>4041.25</v>
      </c>
      <c r="P421" s="40" t="s">
        <v>2100</v>
      </c>
      <c r="Q421" s="40" t="s">
        <v>2630</v>
      </c>
      <c r="R421" s="40" t="s">
        <v>494</v>
      </c>
      <c r="S421" s="40" t="s">
        <v>502</v>
      </c>
      <c r="T421" s="40" t="s">
        <v>218</v>
      </c>
      <c r="U421" s="40" t="s">
        <v>2631</v>
      </c>
      <c r="V421" s="40" t="s">
        <v>4054</v>
      </c>
      <c r="W421" s="40" t="s">
        <v>2632</v>
      </c>
    </row>
    <row r="422" spans="1:23" ht="12" x14ac:dyDescent="0.2">
      <c r="A422" s="39" t="s">
        <v>357</v>
      </c>
      <c r="B422" s="40" t="s">
        <v>356</v>
      </c>
      <c r="C422" s="40" t="s">
        <v>3643</v>
      </c>
      <c r="D422" s="41">
        <v>45924</v>
      </c>
      <c r="E422" s="41">
        <v>45954</v>
      </c>
      <c r="F422" s="41">
        <v>46091</v>
      </c>
      <c r="G422" s="42">
        <v>137</v>
      </c>
      <c r="H422" s="40" t="s">
        <v>536</v>
      </c>
      <c r="I422" s="39" t="s">
        <v>341</v>
      </c>
      <c r="J422" s="43">
        <v>219988.95</v>
      </c>
      <c r="K422" s="43">
        <v>0</v>
      </c>
      <c r="L422" s="43">
        <v>128456.9</v>
      </c>
      <c r="M422" s="44">
        <v>0</v>
      </c>
      <c r="N422" s="44">
        <f t="shared" si="6"/>
        <v>108571.77</v>
      </c>
      <c r="O422" s="44">
        <v>108571.77</v>
      </c>
      <c r="P422" s="40" t="s">
        <v>3644</v>
      </c>
      <c r="Q422" s="40" t="s">
        <v>3645</v>
      </c>
      <c r="R422" s="40" t="s">
        <v>494</v>
      </c>
      <c r="S422" s="40" t="s">
        <v>502</v>
      </c>
      <c r="T422" s="40" t="s">
        <v>221</v>
      </c>
      <c r="U422" s="40" t="s">
        <v>2336</v>
      </c>
      <c r="V422" s="40" t="s">
        <v>4037</v>
      </c>
      <c r="W422" s="40" t="s">
        <v>3646</v>
      </c>
    </row>
    <row r="423" spans="1:23" ht="12" x14ac:dyDescent="0.2">
      <c r="A423" s="39" t="s">
        <v>3655</v>
      </c>
      <c r="B423" s="40" t="s">
        <v>3656</v>
      </c>
      <c r="C423" s="40" t="s">
        <v>3657</v>
      </c>
      <c r="D423" s="41">
        <v>45924</v>
      </c>
      <c r="E423" s="41">
        <v>45954</v>
      </c>
      <c r="F423" s="41">
        <v>46091</v>
      </c>
      <c r="G423" s="42">
        <v>137</v>
      </c>
      <c r="H423" s="40" t="s">
        <v>536</v>
      </c>
      <c r="I423" s="39" t="s">
        <v>320</v>
      </c>
      <c r="J423" s="43">
        <v>-14274.84</v>
      </c>
      <c r="K423" s="43">
        <v>0</v>
      </c>
      <c r="L423" s="43">
        <v>-14274.84</v>
      </c>
      <c r="M423" s="44">
        <v>0</v>
      </c>
      <c r="N423" s="44">
        <f t="shared" si="6"/>
        <v>-14274.84</v>
      </c>
      <c r="O423" s="44">
        <v>-14274.84</v>
      </c>
      <c r="P423" s="40" t="s">
        <v>3658</v>
      </c>
      <c r="Q423" s="40" t="s">
        <v>3659</v>
      </c>
      <c r="R423" s="40" t="s">
        <v>494</v>
      </c>
      <c r="S423" s="40" t="s">
        <v>495</v>
      </c>
      <c r="T423" s="40" t="s">
        <v>362</v>
      </c>
      <c r="U423" s="40" t="s">
        <v>3660</v>
      </c>
      <c r="V423" s="40" t="s">
        <v>4055</v>
      </c>
      <c r="W423" s="40" t="s">
        <v>322</v>
      </c>
    </row>
    <row r="424" spans="1:23" ht="12" x14ac:dyDescent="0.2">
      <c r="A424" s="39" t="s">
        <v>1444</v>
      </c>
      <c r="B424" s="40" t="s">
        <v>1445</v>
      </c>
      <c r="C424" s="40" t="s">
        <v>3661</v>
      </c>
      <c r="D424" s="41">
        <v>45924</v>
      </c>
      <c r="E424" s="41">
        <v>45954</v>
      </c>
      <c r="F424" s="41">
        <v>46091</v>
      </c>
      <c r="G424" s="42">
        <v>137</v>
      </c>
      <c r="H424" s="40" t="s">
        <v>536</v>
      </c>
      <c r="I424" s="39" t="s">
        <v>320</v>
      </c>
      <c r="J424" s="43">
        <v>6898.57</v>
      </c>
      <c r="K424" s="43">
        <v>0</v>
      </c>
      <c r="L424" s="43">
        <v>6898.57</v>
      </c>
      <c r="M424" s="44">
        <v>0</v>
      </c>
      <c r="N424" s="44">
        <f t="shared" si="6"/>
        <v>6898.57</v>
      </c>
      <c r="O424" s="44">
        <v>6898.57</v>
      </c>
      <c r="P424" s="40" t="s">
        <v>3662</v>
      </c>
      <c r="Q424" s="40" t="s">
        <v>3663</v>
      </c>
      <c r="R424" s="40" t="s">
        <v>494</v>
      </c>
      <c r="S424" s="40" t="s">
        <v>495</v>
      </c>
      <c r="T424" s="40" t="s">
        <v>514</v>
      </c>
      <c r="U424" s="40" t="s">
        <v>602</v>
      </c>
      <c r="V424" s="40" t="s">
        <v>4056</v>
      </c>
      <c r="W424" s="40" t="s">
        <v>3664</v>
      </c>
    </row>
    <row r="425" spans="1:23" ht="12" x14ac:dyDescent="0.2">
      <c r="A425" s="39" t="s">
        <v>337</v>
      </c>
      <c r="B425" s="40" t="s">
        <v>336</v>
      </c>
      <c r="C425" s="40" t="s">
        <v>3694</v>
      </c>
      <c r="D425" s="41">
        <v>45925</v>
      </c>
      <c r="E425" s="41">
        <v>45955</v>
      </c>
      <c r="F425" s="41">
        <v>46091</v>
      </c>
      <c r="G425" s="42">
        <v>136</v>
      </c>
      <c r="H425" s="40" t="s">
        <v>536</v>
      </c>
      <c r="I425" s="39" t="s">
        <v>320</v>
      </c>
      <c r="J425" s="43">
        <v>114648.85</v>
      </c>
      <c r="K425" s="43">
        <v>0</v>
      </c>
      <c r="L425" s="43">
        <v>114648.85</v>
      </c>
      <c r="M425" s="44">
        <v>0</v>
      </c>
      <c r="N425" s="44">
        <f t="shared" si="6"/>
        <v>114648.85</v>
      </c>
      <c r="O425" s="44">
        <v>114648.85</v>
      </c>
      <c r="P425" s="40" t="s">
        <v>1080</v>
      </c>
      <c r="Q425" s="40" t="s">
        <v>1081</v>
      </c>
      <c r="R425" s="40" t="s">
        <v>494</v>
      </c>
      <c r="S425" s="40" t="s">
        <v>502</v>
      </c>
      <c r="T425" s="40" t="s">
        <v>289</v>
      </c>
      <c r="U425" s="40" t="s">
        <v>691</v>
      </c>
      <c r="V425" s="40" t="s">
        <v>3977</v>
      </c>
      <c r="W425" s="40" t="s">
        <v>1082</v>
      </c>
    </row>
    <row r="426" spans="1:23" ht="12" x14ac:dyDescent="0.2">
      <c r="A426" s="39" t="s">
        <v>3695</v>
      </c>
      <c r="B426" s="40" t="s">
        <v>3696</v>
      </c>
      <c r="C426" s="40" t="s">
        <v>3697</v>
      </c>
      <c r="D426" s="41">
        <v>45925</v>
      </c>
      <c r="E426" s="41">
        <v>45955</v>
      </c>
      <c r="F426" s="41">
        <v>46091</v>
      </c>
      <c r="G426" s="42">
        <v>136</v>
      </c>
      <c r="H426" s="40" t="s">
        <v>536</v>
      </c>
      <c r="I426" s="39" t="s">
        <v>323</v>
      </c>
      <c r="J426" s="43">
        <v>-1228.1400000000001</v>
      </c>
      <c r="K426" s="43">
        <v>0</v>
      </c>
      <c r="L426" s="43">
        <v>-1228.1400000000001</v>
      </c>
      <c r="M426" s="44">
        <v>0</v>
      </c>
      <c r="N426" s="44">
        <f t="shared" si="6"/>
        <v>-978.91</v>
      </c>
      <c r="O426" s="44">
        <v>-978.91</v>
      </c>
      <c r="P426" s="40" t="s">
        <v>3698</v>
      </c>
      <c r="Q426" s="40" t="s">
        <v>3699</v>
      </c>
      <c r="R426" s="40" t="s">
        <v>494</v>
      </c>
      <c r="S426" s="40" t="s">
        <v>495</v>
      </c>
      <c r="T426" s="40" t="s">
        <v>773</v>
      </c>
      <c r="U426" s="40" t="s">
        <v>3700</v>
      </c>
      <c r="V426" s="40" t="s">
        <v>4057</v>
      </c>
      <c r="W426" s="40" t="s">
        <v>3701</v>
      </c>
    </row>
    <row r="427" spans="1:23" ht="12" x14ac:dyDescent="0.2">
      <c r="A427" s="39" t="s">
        <v>815</v>
      </c>
      <c r="B427" s="40" t="s">
        <v>1119</v>
      </c>
      <c r="C427" s="40" t="s">
        <v>3675</v>
      </c>
      <c r="D427" s="41">
        <v>45925</v>
      </c>
      <c r="E427" s="41">
        <v>45955</v>
      </c>
      <c r="F427" s="41">
        <v>46091</v>
      </c>
      <c r="G427" s="42">
        <v>136</v>
      </c>
      <c r="H427" s="40" t="s">
        <v>536</v>
      </c>
      <c r="I427" s="39" t="s">
        <v>320</v>
      </c>
      <c r="J427" s="43">
        <v>26074.37</v>
      </c>
      <c r="K427" s="43">
        <v>0</v>
      </c>
      <c r="L427" s="43">
        <v>26074.37</v>
      </c>
      <c r="M427" s="44">
        <v>0</v>
      </c>
      <c r="N427" s="44">
        <f t="shared" si="6"/>
        <v>26074.37</v>
      </c>
      <c r="O427" s="44">
        <v>26074.37</v>
      </c>
      <c r="P427" s="40" t="s">
        <v>3676</v>
      </c>
      <c r="Q427" s="40" t="s">
        <v>4058</v>
      </c>
      <c r="R427" s="40" t="s">
        <v>494</v>
      </c>
      <c r="S427" s="40" t="s">
        <v>495</v>
      </c>
      <c r="T427" s="40" t="s">
        <v>284</v>
      </c>
      <c r="U427" s="40" t="s">
        <v>3677</v>
      </c>
      <c r="V427" s="40" t="s">
        <v>4059</v>
      </c>
      <c r="W427" s="40" t="s">
        <v>4060</v>
      </c>
    </row>
    <row r="428" spans="1:23" ht="12" x14ac:dyDescent="0.2">
      <c r="A428" s="39" t="s">
        <v>50</v>
      </c>
      <c r="B428" s="40" t="s">
        <v>328</v>
      </c>
      <c r="C428" s="40" t="s">
        <v>3708</v>
      </c>
      <c r="D428" s="41">
        <v>45926</v>
      </c>
      <c r="E428" s="41">
        <v>45956</v>
      </c>
      <c r="F428" s="41">
        <v>46091</v>
      </c>
      <c r="G428" s="42">
        <v>135</v>
      </c>
      <c r="H428" s="40" t="s">
        <v>536</v>
      </c>
      <c r="I428" s="39" t="s">
        <v>320</v>
      </c>
      <c r="J428" s="43">
        <v>470546.56</v>
      </c>
      <c r="K428" s="43">
        <v>78424.429999999993</v>
      </c>
      <c r="L428" s="43">
        <v>470546.56</v>
      </c>
      <c r="M428" s="44">
        <v>78424.429999999993</v>
      </c>
      <c r="N428" s="44">
        <f t="shared" si="6"/>
        <v>392122.13</v>
      </c>
      <c r="O428" s="44">
        <v>470546.56</v>
      </c>
      <c r="P428" s="40" t="s">
        <v>3709</v>
      </c>
      <c r="Q428" s="40" t="s">
        <v>3710</v>
      </c>
      <c r="R428" s="40" t="s">
        <v>494</v>
      </c>
      <c r="S428" s="40" t="s">
        <v>495</v>
      </c>
      <c r="T428" s="40" t="s">
        <v>284</v>
      </c>
      <c r="U428" s="40" t="s">
        <v>1096</v>
      </c>
      <c r="V428" s="40" t="s">
        <v>4061</v>
      </c>
      <c r="W428" s="40" t="s">
        <v>3711</v>
      </c>
    </row>
    <row r="429" spans="1:23" ht="12" x14ac:dyDescent="0.2">
      <c r="A429" s="39" t="s">
        <v>1070</v>
      </c>
      <c r="B429" s="40" t="s">
        <v>364</v>
      </c>
      <c r="C429" s="40" t="s">
        <v>3712</v>
      </c>
      <c r="D429" s="41">
        <v>45929</v>
      </c>
      <c r="E429" s="41">
        <v>45959</v>
      </c>
      <c r="F429" s="41">
        <v>46091</v>
      </c>
      <c r="G429" s="42">
        <v>132</v>
      </c>
      <c r="H429" s="40" t="s">
        <v>536</v>
      </c>
      <c r="I429" s="39" t="s">
        <v>320</v>
      </c>
      <c r="J429" s="43">
        <v>31076.9</v>
      </c>
      <c r="K429" s="43">
        <v>0</v>
      </c>
      <c r="L429" s="43">
        <v>31076.9</v>
      </c>
      <c r="M429" s="44">
        <v>0</v>
      </c>
      <c r="N429" s="44">
        <f t="shared" si="6"/>
        <v>31076.9</v>
      </c>
      <c r="O429" s="44">
        <v>31076.9</v>
      </c>
      <c r="P429" s="40" t="s">
        <v>3713</v>
      </c>
      <c r="Q429" s="40" t="s">
        <v>3714</v>
      </c>
      <c r="R429" s="40" t="s">
        <v>494</v>
      </c>
      <c r="S429" s="40" t="s">
        <v>502</v>
      </c>
      <c r="T429" s="40" t="s">
        <v>218</v>
      </c>
      <c r="U429" s="40" t="s">
        <v>1280</v>
      </c>
      <c r="V429" s="40" t="s">
        <v>4062</v>
      </c>
      <c r="W429" s="40" t="s">
        <v>4063</v>
      </c>
    </row>
    <row r="430" spans="1:23" ht="12" x14ac:dyDescent="0.2">
      <c r="A430" s="39" t="s">
        <v>17</v>
      </c>
      <c r="B430" s="40" t="s">
        <v>342</v>
      </c>
      <c r="C430" s="40" t="s">
        <v>4064</v>
      </c>
      <c r="D430" s="41">
        <v>45929</v>
      </c>
      <c r="E430" s="41">
        <v>45959</v>
      </c>
      <c r="F430" s="41">
        <v>46091</v>
      </c>
      <c r="G430" s="42">
        <v>132</v>
      </c>
      <c r="H430" s="40" t="s">
        <v>536</v>
      </c>
      <c r="I430" s="39" t="s">
        <v>320</v>
      </c>
      <c r="J430" s="43">
        <v>82554.53</v>
      </c>
      <c r="K430" s="43">
        <v>0</v>
      </c>
      <c r="L430" s="43">
        <v>82554.53</v>
      </c>
      <c r="M430" s="44">
        <v>0</v>
      </c>
      <c r="N430" s="44">
        <f t="shared" si="6"/>
        <v>82554.53</v>
      </c>
      <c r="O430" s="44">
        <v>82554.53</v>
      </c>
      <c r="P430" s="40" t="s">
        <v>2098</v>
      </c>
      <c r="Q430" s="40" t="s">
        <v>4065</v>
      </c>
      <c r="R430" s="40" t="s">
        <v>494</v>
      </c>
      <c r="S430" s="40" t="s">
        <v>502</v>
      </c>
      <c r="T430" s="40" t="s">
        <v>508</v>
      </c>
      <c r="U430" s="40" t="s">
        <v>585</v>
      </c>
      <c r="V430" s="40" t="s">
        <v>4066</v>
      </c>
      <c r="W430" s="40" t="s">
        <v>4067</v>
      </c>
    </row>
    <row r="431" spans="1:23" ht="12" x14ac:dyDescent="0.2">
      <c r="A431" s="39" t="s">
        <v>48</v>
      </c>
      <c r="B431" s="40" t="s">
        <v>389</v>
      </c>
      <c r="C431" s="40" t="s">
        <v>3735</v>
      </c>
      <c r="D431" s="41">
        <v>45929</v>
      </c>
      <c r="E431" s="41">
        <v>45959</v>
      </c>
      <c r="F431" s="41">
        <v>46091</v>
      </c>
      <c r="G431" s="42">
        <v>132</v>
      </c>
      <c r="H431" s="40" t="s">
        <v>536</v>
      </c>
      <c r="I431" s="39" t="s">
        <v>320</v>
      </c>
      <c r="J431" s="43">
        <v>-23225.21</v>
      </c>
      <c r="K431" s="43">
        <v>0</v>
      </c>
      <c r="L431" s="43">
        <v>-23225.21</v>
      </c>
      <c r="M431" s="44">
        <v>0</v>
      </c>
      <c r="N431" s="44">
        <f t="shared" si="6"/>
        <v>-23225.21</v>
      </c>
      <c r="O431" s="44">
        <v>-23225.21</v>
      </c>
      <c r="P431" s="40" t="s">
        <v>3736</v>
      </c>
      <c r="Q431" s="40" t="s">
        <v>3737</v>
      </c>
      <c r="R431" s="40" t="s">
        <v>494</v>
      </c>
      <c r="S431" s="40" t="s">
        <v>502</v>
      </c>
      <c r="T431" s="40" t="s">
        <v>330</v>
      </c>
      <c r="U431" s="40" t="s">
        <v>3738</v>
      </c>
      <c r="V431" s="40"/>
      <c r="W431" s="40" t="s">
        <v>3739</v>
      </c>
    </row>
    <row r="432" spans="1:23" ht="12" x14ac:dyDescent="0.2">
      <c r="A432" s="39" t="s">
        <v>3718</v>
      </c>
      <c r="B432" s="40" t="s">
        <v>3719</v>
      </c>
      <c r="C432" s="40" t="s">
        <v>3720</v>
      </c>
      <c r="D432" s="41">
        <v>45929</v>
      </c>
      <c r="E432" s="41">
        <v>45959</v>
      </c>
      <c r="F432" s="41">
        <v>46091</v>
      </c>
      <c r="G432" s="42">
        <v>132</v>
      </c>
      <c r="H432" s="40" t="s">
        <v>536</v>
      </c>
      <c r="I432" s="39" t="s">
        <v>392</v>
      </c>
      <c r="J432" s="43">
        <v>12381</v>
      </c>
      <c r="K432" s="43">
        <v>0</v>
      </c>
      <c r="L432" s="43">
        <v>12381</v>
      </c>
      <c r="M432" s="44">
        <v>0</v>
      </c>
      <c r="N432" s="44">
        <f t="shared" si="6"/>
        <v>8165.43</v>
      </c>
      <c r="O432" s="44">
        <v>8165.43</v>
      </c>
      <c r="P432" s="40" t="s">
        <v>3721</v>
      </c>
      <c r="Q432" s="40" t="s">
        <v>3722</v>
      </c>
      <c r="R432" s="40" t="s">
        <v>494</v>
      </c>
      <c r="S432" s="40" t="s">
        <v>502</v>
      </c>
      <c r="T432" s="40" t="s">
        <v>178</v>
      </c>
      <c r="U432" s="40" t="s">
        <v>1303</v>
      </c>
      <c r="V432" s="40" t="s">
        <v>4068</v>
      </c>
      <c r="W432" s="40" t="s">
        <v>3723</v>
      </c>
    </row>
    <row r="433" spans="1:23" ht="12" x14ac:dyDescent="0.2">
      <c r="A433" s="39" t="s">
        <v>27</v>
      </c>
      <c r="B433" s="40" t="s">
        <v>476</v>
      </c>
      <c r="C433" s="40" t="s">
        <v>4069</v>
      </c>
      <c r="D433" s="41">
        <v>45930</v>
      </c>
      <c r="E433" s="41">
        <v>45960</v>
      </c>
      <c r="F433" s="41">
        <v>46091</v>
      </c>
      <c r="G433" s="42">
        <v>131</v>
      </c>
      <c r="H433" s="40" t="s">
        <v>536</v>
      </c>
      <c r="I433" s="39" t="s">
        <v>320</v>
      </c>
      <c r="J433" s="43">
        <v>71045.919999999998</v>
      </c>
      <c r="K433" s="43">
        <v>0</v>
      </c>
      <c r="L433" s="43">
        <v>71045.919999999998</v>
      </c>
      <c r="M433" s="44">
        <v>0</v>
      </c>
      <c r="N433" s="44">
        <f t="shared" si="6"/>
        <v>71045.919999999998</v>
      </c>
      <c r="O433" s="44">
        <v>71045.919999999998</v>
      </c>
      <c r="P433" s="40" t="s">
        <v>998</v>
      </c>
      <c r="Q433" s="40" t="s">
        <v>999</v>
      </c>
      <c r="R433" s="40" t="s">
        <v>494</v>
      </c>
      <c r="S433" s="40" t="s">
        <v>502</v>
      </c>
      <c r="T433" s="40" t="s">
        <v>178</v>
      </c>
      <c r="U433" s="40" t="s">
        <v>601</v>
      </c>
      <c r="V433" s="40" t="s">
        <v>4070</v>
      </c>
      <c r="W433" s="40" t="s">
        <v>1000</v>
      </c>
    </row>
    <row r="434" spans="1:23" ht="12" x14ac:dyDescent="0.2">
      <c r="A434" s="39" t="s">
        <v>347</v>
      </c>
      <c r="B434" s="40" t="s">
        <v>346</v>
      </c>
      <c r="C434" s="40" t="s">
        <v>4071</v>
      </c>
      <c r="D434" s="41">
        <v>45930</v>
      </c>
      <c r="E434" s="41">
        <v>45960</v>
      </c>
      <c r="F434" s="41">
        <v>46091</v>
      </c>
      <c r="G434" s="42">
        <v>131</v>
      </c>
      <c r="H434" s="40" t="s">
        <v>536</v>
      </c>
      <c r="I434" s="39" t="s">
        <v>323</v>
      </c>
      <c r="J434" s="43">
        <v>-4543.71</v>
      </c>
      <c r="K434" s="43">
        <v>0</v>
      </c>
      <c r="L434" s="43">
        <v>-4543.71</v>
      </c>
      <c r="M434" s="44">
        <v>0</v>
      </c>
      <c r="N434" s="44">
        <f t="shared" si="6"/>
        <v>-3365.71</v>
      </c>
      <c r="O434" s="44">
        <v>-3365.71</v>
      </c>
      <c r="P434" s="40" t="s">
        <v>4072</v>
      </c>
      <c r="Q434" s="40" t="s">
        <v>4073</v>
      </c>
      <c r="R434" s="40" t="s">
        <v>494</v>
      </c>
      <c r="S434" s="40" t="s">
        <v>495</v>
      </c>
      <c r="T434" s="40" t="s">
        <v>813</v>
      </c>
      <c r="U434" s="40" t="s">
        <v>623</v>
      </c>
      <c r="V434" s="40" t="s">
        <v>4074</v>
      </c>
      <c r="W434" s="40" t="s">
        <v>4075</v>
      </c>
    </row>
    <row r="435" spans="1:23" ht="12" x14ac:dyDescent="0.2">
      <c r="A435" s="39" t="s">
        <v>357</v>
      </c>
      <c r="B435" s="40" t="s">
        <v>356</v>
      </c>
      <c r="C435" s="40" t="s">
        <v>4076</v>
      </c>
      <c r="D435" s="41">
        <v>45930</v>
      </c>
      <c r="E435" s="41">
        <v>45960</v>
      </c>
      <c r="F435" s="41">
        <v>46091</v>
      </c>
      <c r="G435" s="42">
        <v>131</v>
      </c>
      <c r="H435" s="40" t="s">
        <v>536</v>
      </c>
      <c r="I435" s="39" t="s">
        <v>341</v>
      </c>
      <c r="J435" s="43">
        <v>1038.54</v>
      </c>
      <c r="K435" s="43">
        <v>0</v>
      </c>
      <c r="L435" s="43">
        <v>1038.54</v>
      </c>
      <c r="M435" s="44">
        <v>0</v>
      </c>
      <c r="N435" s="44">
        <f t="shared" si="6"/>
        <v>879.77</v>
      </c>
      <c r="O435" s="44">
        <v>879.77</v>
      </c>
      <c r="P435" s="40" t="s">
        <v>4077</v>
      </c>
      <c r="Q435" s="40" t="s">
        <v>4078</v>
      </c>
      <c r="R435" s="40" t="s">
        <v>494</v>
      </c>
      <c r="S435" s="40" t="s">
        <v>495</v>
      </c>
      <c r="T435" s="40" t="s">
        <v>3817</v>
      </c>
      <c r="U435" s="40" t="s">
        <v>4079</v>
      </c>
      <c r="V435" s="40" t="s">
        <v>3791</v>
      </c>
      <c r="W435" s="40" t="s">
        <v>4080</v>
      </c>
    </row>
    <row r="436" spans="1:23" ht="12" x14ac:dyDescent="0.2">
      <c r="A436" s="39" t="s">
        <v>337</v>
      </c>
      <c r="B436" s="40" t="s">
        <v>336</v>
      </c>
      <c r="C436" s="40" t="s">
        <v>4081</v>
      </c>
      <c r="D436" s="41">
        <v>45930</v>
      </c>
      <c r="E436" s="41">
        <v>45960</v>
      </c>
      <c r="F436" s="41">
        <v>46091</v>
      </c>
      <c r="G436" s="42">
        <v>131</v>
      </c>
      <c r="H436" s="40" t="s">
        <v>536</v>
      </c>
      <c r="I436" s="39" t="s">
        <v>320</v>
      </c>
      <c r="J436" s="43">
        <v>35158.080000000002</v>
      </c>
      <c r="K436" s="43">
        <v>0</v>
      </c>
      <c r="L436" s="43">
        <v>35158.080000000002</v>
      </c>
      <c r="M436" s="44">
        <v>0</v>
      </c>
      <c r="N436" s="44">
        <f t="shared" si="6"/>
        <v>35158.080000000002</v>
      </c>
      <c r="O436" s="44">
        <v>35158.080000000002</v>
      </c>
      <c r="P436" s="40" t="s">
        <v>4082</v>
      </c>
      <c r="Q436" s="40" t="s">
        <v>4083</v>
      </c>
      <c r="R436" s="40" t="s">
        <v>494</v>
      </c>
      <c r="S436" s="40" t="s">
        <v>502</v>
      </c>
      <c r="T436" s="40" t="s">
        <v>997</v>
      </c>
      <c r="U436" s="40" t="s">
        <v>1958</v>
      </c>
      <c r="V436" s="40"/>
      <c r="W436" s="40" t="s">
        <v>4084</v>
      </c>
    </row>
    <row r="437" spans="1:23" ht="12" x14ac:dyDescent="0.2">
      <c r="A437" s="39" t="s">
        <v>52</v>
      </c>
      <c r="B437" s="40" t="s">
        <v>472</v>
      </c>
      <c r="C437" s="40" t="s">
        <v>4085</v>
      </c>
      <c r="D437" s="41">
        <v>45930</v>
      </c>
      <c r="E437" s="41">
        <v>45960</v>
      </c>
      <c r="F437" s="41">
        <v>46091</v>
      </c>
      <c r="G437" s="42">
        <v>131</v>
      </c>
      <c r="H437" s="40" t="s">
        <v>536</v>
      </c>
      <c r="I437" s="39" t="s">
        <v>320</v>
      </c>
      <c r="J437" s="43">
        <v>-939.48</v>
      </c>
      <c r="K437" s="43">
        <v>0</v>
      </c>
      <c r="L437" s="43">
        <v>-939.48</v>
      </c>
      <c r="M437" s="44">
        <v>0</v>
      </c>
      <c r="N437" s="44">
        <f t="shared" si="6"/>
        <v>-939.48</v>
      </c>
      <c r="O437" s="44">
        <v>-939.48</v>
      </c>
      <c r="P437" s="40" t="s">
        <v>1567</v>
      </c>
      <c r="Q437" s="40" t="s">
        <v>2882</v>
      </c>
      <c r="R437" s="40" t="s">
        <v>494</v>
      </c>
      <c r="S437" s="40" t="s">
        <v>502</v>
      </c>
      <c r="T437" s="40" t="s">
        <v>191</v>
      </c>
      <c r="U437" s="40" t="s">
        <v>1392</v>
      </c>
      <c r="V437" s="40" t="s">
        <v>4086</v>
      </c>
      <c r="W437" s="40" t="s">
        <v>2883</v>
      </c>
    </row>
    <row r="438" spans="1:23" ht="12" x14ac:dyDescent="0.2">
      <c r="A438" s="39" t="s">
        <v>3743</v>
      </c>
      <c r="B438" s="40" t="s">
        <v>3744</v>
      </c>
      <c r="C438" s="40" t="s">
        <v>3745</v>
      </c>
      <c r="D438" s="41">
        <v>45930</v>
      </c>
      <c r="E438" s="41">
        <v>45960</v>
      </c>
      <c r="F438" s="41">
        <v>46091</v>
      </c>
      <c r="G438" s="42">
        <v>131</v>
      </c>
      <c r="H438" s="40" t="s">
        <v>536</v>
      </c>
      <c r="I438" s="39" t="s">
        <v>323</v>
      </c>
      <c r="J438" s="43">
        <v>-6.93</v>
      </c>
      <c r="K438" s="43">
        <v>0</v>
      </c>
      <c r="L438" s="43">
        <v>-6.93</v>
      </c>
      <c r="M438" s="44">
        <v>0</v>
      </c>
      <c r="N438" s="44">
        <f t="shared" si="6"/>
        <v>-4.62</v>
      </c>
      <c r="O438" s="44">
        <v>-4.62</v>
      </c>
      <c r="P438" s="40" t="s">
        <v>3746</v>
      </c>
      <c r="Q438" s="40" t="s">
        <v>3747</v>
      </c>
      <c r="R438" s="40" t="s">
        <v>494</v>
      </c>
      <c r="S438" s="40" t="s">
        <v>495</v>
      </c>
      <c r="T438" s="40" t="s">
        <v>507</v>
      </c>
      <c r="U438" s="40" t="s">
        <v>3748</v>
      </c>
      <c r="V438" s="40"/>
      <c r="W438" s="40" t="s">
        <v>322</v>
      </c>
    </row>
    <row r="439" spans="1:23" ht="12" x14ac:dyDescent="0.2">
      <c r="A439" s="39" t="s">
        <v>17</v>
      </c>
      <c r="B439" s="40" t="s">
        <v>342</v>
      </c>
      <c r="C439" s="40" t="s">
        <v>4087</v>
      </c>
      <c r="D439" s="41">
        <v>45931</v>
      </c>
      <c r="E439" s="41">
        <v>45961</v>
      </c>
      <c r="F439" s="41">
        <v>46091</v>
      </c>
      <c r="G439" s="42">
        <v>130</v>
      </c>
      <c r="H439" s="40" t="s">
        <v>536</v>
      </c>
      <c r="I439" s="39" t="s">
        <v>320</v>
      </c>
      <c r="J439" s="43">
        <v>55486.07</v>
      </c>
      <c r="K439" s="43">
        <v>0</v>
      </c>
      <c r="L439" s="43">
        <v>55486.07</v>
      </c>
      <c r="M439" s="44">
        <v>0</v>
      </c>
      <c r="N439" s="44">
        <f t="shared" si="6"/>
        <v>55486.07</v>
      </c>
      <c r="O439" s="44">
        <v>55486.07</v>
      </c>
      <c r="P439" s="40" t="s">
        <v>4088</v>
      </c>
      <c r="Q439" s="40" t="s">
        <v>4089</v>
      </c>
      <c r="R439" s="40" t="s">
        <v>494</v>
      </c>
      <c r="S439" s="40" t="s">
        <v>495</v>
      </c>
      <c r="T439" s="40" t="s">
        <v>330</v>
      </c>
      <c r="U439" s="40" t="s">
        <v>4090</v>
      </c>
      <c r="V439" s="40" t="s">
        <v>4091</v>
      </c>
      <c r="W439" s="40" t="s">
        <v>4092</v>
      </c>
    </row>
    <row r="440" spans="1:23" ht="12" x14ac:dyDescent="0.2">
      <c r="A440" s="39" t="s">
        <v>27</v>
      </c>
      <c r="B440" s="40" t="s">
        <v>476</v>
      </c>
      <c r="C440" s="40" t="s">
        <v>4093</v>
      </c>
      <c r="D440" s="41">
        <v>45931</v>
      </c>
      <c r="E440" s="41">
        <v>45961</v>
      </c>
      <c r="F440" s="41">
        <v>46091</v>
      </c>
      <c r="G440" s="42">
        <v>130</v>
      </c>
      <c r="H440" s="40" t="s">
        <v>536</v>
      </c>
      <c r="I440" s="39" t="s">
        <v>320</v>
      </c>
      <c r="J440" s="43">
        <v>186760.33</v>
      </c>
      <c r="K440" s="43">
        <v>0</v>
      </c>
      <c r="L440" s="43">
        <v>121646.54</v>
      </c>
      <c r="M440" s="44">
        <v>0</v>
      </c>
      <c r="N440" s="44">
        <f t="shared" si="6"/>
        <v>121646.54</v>
      </c>
      <c r="O440" s="44">
        <v>121646.54</v>
      </c>
      <c r="P440" s="40" t="s">
        <v>4094</v>
      </c>
      <c r="Q440" s="40" t="s">
        <v>4095</v>
      </c>
      <c r="R440" s="40" t="s">
        <v>494</v>
      </c>
      <c r="S440" s="40" t="s">
        <v>502</v>
      </c>
      <c r="T440" s="40" t="s">
        <v>330</v>
      </c>
      <c r="U440" s="40" t="s">
        <v>4096</v>
      </c>
      <c r="V440" s="40" t="s">
        <v>598</v>
      </c>
      <c r="W440" s="40" t="s">
        <v>4097</v>
      </c>
    </row>
    <row r="441" spans="1:23" ht="12" x14ac:dyDescent="0.2">
      <c r="A441" s="39" t="s">
        <v>27</v>
      </c>
      <c r="B441" s="40" t="s">
        <v>476</v>
      </c>
      <c r="C441" s="40" t="s">
        <v>4098</v>
      </c>
      <c r="D441" s="41">
        <v>45931</v>
      </c>
      <c r="E441" s="41">
        <v>45961</v>
      </c>
      <c r="F441" s="41">
        <v>46091</v>
      </c>
      <c r="G441" s="42">
        <v>130</v>
      </c>
      <c r="H441" s="40" t="s">
        <v>536</v>
      </c>
      <c r="I441" s="39" t="s">
        <v>320</v>
      </c>
      <c r="J441" s="43">
        <v>83828.41</v>
      </c>
      <c r="K441" s="43">
        <v>0</v>
      </c>
      <c r="L441" s="43">
        <v>76685.11</v>
      </c>
      <c r="M441" s="44">
        <v>0</v>
      </c>
      <c r="N441" s="44">
        <f t="shared" si="6"/>
        <v>76685.11</v>
      </c>
      <c r="O441" s="44">
        <v>76685.11</v>
      </c>
      <c r="P441" s="40" t="s">
        <v>1945</v>
      </c>
      <c r="Q441" s="40" t="s">
        <v>1946</v>
      </c>
      <c r="R441" s="40" t="s">
        <v>494</v>
      </c>
      <c r="S441" s="40" t="s">
        <v>502</v>
      </c>
      <c r="T441" s="40" t="s">
        <v>165</v>
      </c>
      <c r="U441" s="40" t="s">
        <v>1947</v>
      </c>
      <c r="V441" s="40" t="s">
        <v>598</v>
      </c>
      <c r="W441" s="40" t="s">
        <v>1948</v>
      </c>
    </row>
    <row r="442" spans="1:23" ht="12" x14ac:dyDescent="0.2">
      <c r="A442" s="39" t="s">
        <v>27</v>
      </c>
      <c r="B442" s="40" t="s">
        <v>476</v>
      </c>
      <c r="C442" s="40" t="s">
        <v>4099</v>
      </c>
      <c r="D442" s="41">
        <v>45931</v>
      </c>
      <c r="E442" s="41">
        <v>45961</v>
      </c>
      <c r="F442" s="41">
        <v>46091</v>
      </c>
      <c r="G442" s="42">
        <v>130</v>
      </c>
      <c r="H442" s="40" t="s">
        <v>536</v>
      </c>
      <c r="I442" s="39" t="s">
        <v>320</v>
      </c>
      <c r="J442" s="43">
        <v>25881.279999999999</v>
      </c>
      <c r="K442" s="43">
        <v>0</v>
      </c>
      <c r="L442" s="43">
        <v>5412.39</v>
      </c>
      <c r="M442" s="44">
        <v>0</v>
      </c>
      <c r="N442" s="44">
        <f t="shared" si="6"/>
        <v>5412.39</v>
      </c>
      <c r="O442" s="44">
        <v>5412.39</v>
      </c>
      <c r="P442" s="40" t="s">
        <v>4100</v>
      </c>
      <c r="Q442" s="40" t="s">
        <v>4101</v>
      </c>
      <c r="R442" s="40" t="s">
        <v>494</v>
      </c>
      <c r="S442" s="40" t="s">
        <v>502</v>
      </c>
      <c r="T442" s="40" t="s">
        <v>330</v>
      </c>
      <c r="U442" s="40" t="s">
        <v>4102</v>
      </c>
      <c r="V442" s="40" t="s">
        <v>598</v>
      </c>
      <c r="W442" s="40" t="s">
        <v>4103</v>
      </c>
    </row>
    <row r="443" spans="1:23" ht="12" x14ac:dyDescent="0.2">
      <c r="A443" s="39" t="s">
        <v>27</v>
      </c>
      <c r="B443" s="40" t="s">
        <v>476</v>
      </c>
      <c r="C443" s="40" t="s">
        <v>4104</v>
      </c>
      <c r="D443" s="41">
        <v>45931</v>
      </c>
      <c r="E443" s="41">
        <v>45961</v>
      </c>
      <c r="F443" s="41">
        <v>46091</v>
      </c>
      <c r="G443" s="42">
        <v>130</v>
      </c>
      <c r="H443" s="40" t="s">
        <v>536</v>
      </c>
      <c r="I443" s="39" t="s">
        <v>320</v>
      </c>
      <c r="J443" s="43">
        <v>199896.01</v>
      </c>
      <c r="K443" s="43">
        <v>0</v>
      </c>
      <c r="L443" s="43">
        <v>62871.57</v>
      </c>
      <c r="M443" s="44">
        <v>0</v>
      </c>
      <c r="N443" s="44">
        <f t="shared" si="6"/>
        <v>62871.57</v>
      </c>
      <c r="O443" s="44">
        <v>62871.57</v>
      </c>
      <c r="P443" s="40" t="s">
        <v>4105</v>
      </c>
      <c r="Q443" s="40" t="s">
        <v>4106</v>
      </c>
      <c r="R443" s="40" t="s">
        <v>494</v>
      </c>
      <c r="S443" s="40" t="s">
        <v>502</v>
      </c>
      <c r="T443" s="40" t="s">
        <v>327</v>
      </c>
      <c r="U443" s="40" t="s">
        <v>4107</v>
      </c>
      <c r="V443" s="40" t="s">
        <v>4108</v>
      </c>
      <c r="W443" s="40" t="s">
        <v>4109</v>
      </c>
    </row>
    <row r="444" spans="1:23" ht="12" x14ac:dyDescent="0.2">
      <c r="A444" s="39" t="s">
        <v>27</v>
      </c>
      <c r="B444" s="40" t="s">
        <v>476</v>
      </c>
      <c r="C444" s="40" t="s">
        <v>4110</v>
      </c>
      <c r="D444" s="41">
        <v>45931</v>
      </c>
      <c r="E444" s="41">
        <v>45961</v>
      </c>
      <c r="F444" s="41">
        <v>46091</v>
      </c>
      <c r="G444" s="42">
        <v>130</v>
      </c>
      <c r="H444" s="40" t="s">
        <v>536</v>
      </c>
      <c r="I444" s="39" t="s">
        <v>320</v>
      </c>
      <c r="J444" s="43">
        <v>151948.07999999999</v>
      </c>
      <c r="K444" s="43">
        <v>0</v>
      </c>
      <c r="L444" s="43">
        <v>127465.02</v>
      </c>
      <c r="M444" s="44">
        <v>0</v>
      </c>
      <c r="N444" s="44">
        <f t="shared" si="6"/>
        <v>127465.02</v>
      </c>
      <c r="O444" s="44">
        <v>127465.02</v>
      </c>
      <c r="P444" s="40" t="s">
        <v>1977</v>
      </c>
      <c r="Q444" s="40" t="s">
        <v>1978</v>
      </c>
      <c r="R444" s="40" t="s">
        <v>494</v>
      </c>
      <c r="S444" s="40" t="s">
        <v>502</v>
      </c>
      <c r="T444" s="40" t="s">
        <v>525</v>
      </c>
      <c r="U444" s="40" t="s">
        <v>1979</v>
      </c>
      <c r="V444" s="40" t="s">
        <v>598</v>
      </c>
      <c r="W444" s="40" t="s">
        <v>1980</v>
      </c>
    </row>
    <row r="445" spans="1:23" ht="12" x14ac:dyDescent="0.2">
      <c r="A445" s="39" t="s">
        <v>27</v>
      </c>
      <c r="B445" s="40" t="s">
        <v>476</v>
      </c>
      <c r="C445" s="40" t="s">
        <v>4111</v>
      </c>
      <c r="D445" s="41">
        <v>45931</v>
      </c>
      <c r="E445" s="41">
        <v>45961</v>
      </c>
      <c r="F445" s="41">
        <v>46091</v>
      </c>
      <c r="G445" s="42">
        <v>130</v>
      </c>
      <c r="H445" s="40" t="s">
        <v>536</v>
      </c>
      <c r="I445" s="39" t="s">
        <v>320</v>
      </c>
      <c r="J445" s="43">
        <v>71747.64</v>
      </c>
      <c r="K445" s="43">
        <v>0</v>
      </c>
      <c r="L445" s="43">
        <v>28353.34</v>
      </c>
      <c r="M445" s="44">
        <v>0</v>
      </c>
      <c r="N445" s="44">
        <f t="shared" si="6"/>
        <v>28353.34</v>
      </c>
      <c r="O445" s="44">
        <v>28353.34</v>
      </c>
      <c r="P445" s="40" t="s">
        <v>1381</v>
      </c>
      <c r="Q445" s="40" t="s">
        <v>1382</v>
      </c>
      <c r="R445" s="40" t="s">
        <v>494</v>
      </c>
      <c r="S445" s="40" t="s">
        <v>502</v>
      </c>
      <c r="T445" s="40" t="s">
        <v>330</v>
      </c>
      <c r="U445" s="40" t="s">
        <v>1383</v>
      </c>
      <c r="V445" s="40" t="s">
        <v>3830</v>
      </c>
      <c r="W445" s="40" t="s">
        <v>1384</v>
      </c>
    </row>
    <row r="446" spans="1:23" ht="12" x14ac:dyDescent="0.2">
      <c r="A446" s="39" t="s">
        <v>28</v>
      </c>
      <c r="B446" s="40" t="s">
        <v>2578</v>
      </c>
      <c r="C446" s="40" t="s">
        <v>4112</v>
      </c>
      <c r="D446" s="41">
        <v>45931</v>
      </c>
      <c r="E446" s="41">
        <v>45961</v>
      </c>
      <c r="F446" s="41">
        <v>46091</v>
      </c>
      <c r="G446" s="42">
        <v>130</v>
      </c>
      <c r="H446" s="40" t="s">
        <v>536</v>
      </c>
      <c r="I446" s="39" t="s">
        <v>323</v>
      </c>
      <c r="J446" s="43">
        <v>8795.2999999999993</v>
      </c>
      <c r="K446" s="43">
        <v>0</v>
      </c>
      <c r="L446" s="43">
        <v>8795.2999999999993</v>
      </c>
      <c r="M446" s="44">
        <v>0</v>
      </c>
      <c r="N446" s="44">
        <f t="shared" si="6"/>
        <v>6515.04</v>
      </c>
      <c r="O446" s="44">
        <v>6515.04</v>
      </c>
      <c r="P446" s="40" t="s">
        <v>4113</v>
      </c>
      <c r="Q446" s="40" t="s">
        <v>4114</v>
      </c>
      <c r="R446" s="40" t="s">
        <v>494</v>
      </c>
      <c r="S446" s="40" t="s">
        <v>502</v>
      </c>
      <c r="T446" s="40" t="s">
        <v>497</v>
      </c>
      <c r="U446" s="40" t="s">
        <v>4115</v>
      </c>
      <c r="V446" s="40" t="s">
        <v>4116</v>
      </c>
      <c r="W446" s="40" t="s">
        <v>4117</v>
      </c>
    </row>
    <row r="447" spans="1:23" ht="12" x14ac:dyDescent="0.2">
      <c r="A447" s="39" t="s">
        <v>55</v>
      </c>
      <c r="B447" s="40" t="s">
        <v>371</v>
      </c>
      <c r="C447" s="40" t="s">
        <v>4118</v>
      </c>
      <c r="D447" s="41">
        <v>45931</v>
      </c>
      <c r="E447" s="41">
        <v>45961</v>
      </c>
      <c r="F447" s="41">
        <v>46091</v>
      </c>
      <c r="G447" s="42">
        <v>130</v>
      </c>
      <c r="H447" s="40" t="s">
        <v>536</v>
      </c>
      <c r="I447" s="39" t="s">
        <v>320</v>
      </c>
      <c r="J447" s="43">
        <v>92326.53</v>
      </c>
      <c r="K447" s="43">
        <v>0</v>
      </c>
      <c r="L447" s="43">
        <v>92326.53</v>
      </c>
      <c r="M447" s="44">
        <v>0</v>
      </c>
      <c r="N447" s="44">
        <f t="shared" si="6"/>
        <v>92326.53</v>
      </c>
      <c r="O447" s="44">
        <v>92326.53</v>
      </c>
      <c r="P447" s="40" t="s">
        <v>4119</v>
      </c>
      <c r="Q447" s="40" t="s">
        <v>4120</v>
      </c>
      <c r="R447" s="40" t="s">
        <v>494</v>
      </c>
      <c r="S447" s="40" t="s">
        <v>502</v>
      </c>
      <c r="T447" s="40" t="s">
        <v>218</v>
      </c>
      <c r="U447" s="40" t="s">
        <v>4121</v>
      </c>
      <c r="V447" s="40" t="s">
        <v>4122</v>
      </c>
      <c r="W447" s="40" t="s">
        <v>4123</v>
      </c>
    </row>
    <row r="448" spans="1:23" ht="12" x14ac:dyDescent="0.2">
      <c r="A448" s="39" t="s">
        <v>2178</v>
      </c>
      <c r="B448" s="40" t="s">
        <v>2179</v>
      </c>
      <c r="C448" s="40" t="s">
        <v>4124</v>
      </c>
      <c r="D448" s="41">
        <v>45931</v>
      </c>
      <c r="E448" s="41">
        <v>45961</v>
      </c>
      <c r="F448" s="41">
        <v>46091</v>
      </c>
      <c r="G448" s="42">
        <v>130</v>
      </c>
      <c r="H448" s="40" t="s">
        <v>536</v>
      </c>
      <c r="I448" s="39" t="s">
        <v>320</v>
      </c>
      <c r="J448" s="43">
        <v>245513.24</v>
      </c>
      <c r="K448" s="43">
        <v>0</v>
      </c>
      <c r="L448" s="43">
        <v>48044.21</v>
      </c>
      <c r="M448" s="44">
        <v>0</v>
      </c>
      <c r="N448" s="44">
        <f t="shared" si="6"/>
        <v>48044.21</v>
      </c>
      <c r="O448" s="44">
        <v>48044.21</v>
      </c>
      <c r="P448" s="40" t="s">
        <v>2245</v>
      </c>
      <c r="Q448" s="40" t="s">
        <v>2246</v>
      </c>
      <c r="R448" s="40" t="s">
        <v>494</v>
      </c>
      <c r="S448" s="40" t="s">
        <v>502</v>
      </c>
      <c r="T448" s="40" t="s">
        <v>499</v>
      </c>
      <c r="U448" s="40" t="s">
        <v>766</v>
      </c>
      <c r="V448" s="40"/>
      <c r="W448" s="40" t="s">
        <v>2247</v>
      </c>
    </row>
    <row r="449" spans="1:23" ht="12" x14ac:dyDescent="0.2">
      <c r="A449" s="39" t="s">
        <v>27</v>
      </c>
      <c r="B449" s="40" t="s">
        <v>476</v>
      </c>
      <c r="C449" s="40" t="s">
        <v>4125</v>
      </c>
      <c r="D449" s="41">
        <v>45931</v>
      </c>
      <c r="E449" s="41">
        <v>45961</v>
      </c>
      <c r="F449" s="41">
        <v>46091</v>
      </c>
      <c r="G449" s="42">
        <v>130</v>
      </c>
      <c r="H449" s="40" t="s">
        <v>536</v>
      </c>
      <c r="I449" s="39" t="s">
        <v>320</v>
      </c>
      <c r="J449" s="43">
        <v>45327.69</v>
      </c>
      <c r="K449" s="43">
        <v>0</v>
      </c>
      <c r="L449" s="43">
        <v>7500.91</v>
      </c>
      <c r="M449" s="44">
        <v>0</v>
      </c>
      <c r="N449" s="44">
        <f t="shared" si="6"/>
        <v>7500.91</v>
      </c>
      <c r="O449" s="44">
        <v>7500.91</v>
      </c>
      <c r="P449" s="40" t="s">
        <v>4126</v>
      </c>
      <c r="Q449" s="40" t="s">
        <v>4127</v>
      </c>
      <c r="R449" s="40" t="s">
        <v>494</v>
      </c>
      <c r="S449" s="40" t="s">
        <v>502</v>
      </c>
      <c r="T449" s="40" t="s">
        <v>178</v>
      </c>
      <c r="U449" s="40" t="s">
        <v>1111</v>
      </c>
      <c r="V449" s="40" t="s">
        <v>4128</v>
      </c>
      <c r="W449" s="40" t="s">
        <v>4129</v>
      </c>
    </row>
    <row r="450" spans="1:23" ht="12" x14ac:dyDescent="0.2">
      <c r="A450" s="39" t="s">
        <v>27</v>
      </c>
      <c r="B450" s="40" t="s">
        <v>476</v>
      </c>
      <c r="C450" s="40" t="s">
        <v>4130</v>
      </c>
      <c r="D450" s="41">
        <v>45931</v>
      </c>
      <c r="E450" s="41">
        <v>45961</v>
      </c>
      <c r="F450" s="41">
        <v>46091</v>
      </c>
      <c r="G450" s="42">
        <v>130</v>
      </c>
      <c r="H450" s="40" t="s">
        <v>536</v>
      </c>
      <c r="I450" s="39" t="s">
        <v>323</v>
      </c>
      <c r="J450" s="43">
        <v>18447.52</v>
      </c>
      <c r="K450" s="43">
        <v>0</v>
      </c>
      <c r="L450" s="43">
        <v>11576.74</v>
      </c>
      <c r="M450" s="44">
        <v>0</v>
      </c>
      <c r="N450" s="44">
        <f t="shared" si="6"/>
        <v>8575.36</v>
      </c>
      <c r="O450" s="44">
        <v>8575.36</v>
      </c>
      <c r="P450" s="40" t="s">
        <v>4131</v>
      </c>
      <c r="Q450" s="40" t="s">
        <v>4132</v>
      </c>
      <c r="R450" s="40" t="s">
        <v>494</v>
      </c>
      <c r="S450" s="40" t="s">
        <v>502</v>
      </c>
      <c r="T450" s="40" t="s">
        <v>178</v>
      </c>
      <c r="U450" s="40" t="s">
        <v>601</v>
      </c>
      <c r="V450" s="40" t="s">
        <v>4133</v>
      </c>
      <c r="W450" s="40" t="s">
        <v>4134</v>
      </c>
    </row>
    <row r="451" spans="1:23" ht="12" x14ac:dyDescent="0.2">
      <c r="A451" s="39" t="s">
        <v>800</v>
      </c>
      <c r="B451" s="40" t="s">
        <v>808</v>
      </c>
      <c r="C451" s="40" t="s">
        <v>4135</v>
      </c>
      <c r="D451" s="41">
        <v>45931</v>
      </c>
      <c r="E451" s="41">
        <v>45961</v>
      </c>
      <c r="F451" s="41">
        <v>46091</v>
      </c>
      <c r="G451" s="42">
        <v>130</v>
      </c>
      <c r="H451" s="40" t="s">
        <v>536</v>
      </c>
      <c r="I451" s="39" t="s">
        <v>320</v>
      </c>
      <c r="J451" s="43">
        <v>15867.1</v>
      </c>
      <c r="K451" s="43">
        <v>0</v>
      </c>
      <c r="L451" s="43">
        <v>15867.1</v>
      </c>
      <c r="M451" s="44">
        <v>0</v>
      </c>
      <c r="N451" s="44">
        <f t="shared" ref="N451:N514" si="7">IF(I451="GBP",L451-K451,O451-K451)</f>
        <v>15867.1</v>
      </c>
      <c r="O451" s="44">
        <v>15867.1</v>
      </c>
      <c r="P451" s="40" t="s">
        <v>799</v>
      </c>
      <c r="Q451" s="40" t="s">
        <v>809</v>
      </c>
      <c r="R451" s="40" t="s">
        <v>494</v>
      </c>
      <c r="S451" s="40" t="s">
        <v>502</v>
      </c>
      <c r="T451" s="40" t="s">
        <v>282</v>
      </c>
      <c r="U451" s="40" t="s">
        <v>664</v>
      </c>
      <c r="V451" s="40" t="s">
        <v>3803</v>
      </c>
      <c r="W451" s="40" t="s">
        <v>810</v>
      </c>
    </row>
    <row r="452" spans="1:23" ht="12" x14ac:dyDescent="0.2">
      <c r="A452" s="39" t="s">
        <v>469</v>
      </c>
      <c r="B452" s="40" t="s">
        <v>468</v>
      </c>
      <c r="C452" s="40" t="s">
        <v>4136</v>
      </c>
      <c r="D452" s="41">
        <v>45931</v>
      </c>
      <c r="E452" s="41">
        <v>45961</v>
      </c>
      <c r="F452" s="41">
        <v>46091</v>
      </c>
      <c r="G452" s="42">
        <v>130</v>
      </c>
      <c r="H452" s="40" t="s">
        <v>536</v>
      </c>
      <c r="I452" s="39" t="s">
        <v>320</v>
      </c>
      <c r="J452" s="43">
        <v>4773.99</v>
      </c>
      <c r="K452" s="43">
        <v>0</v>
      </c>
      <c r="L452" s="43">
        <v>4773.99</v>
      </c>
      <c r="M452" s="44">
        <v>0</v>
      </c>
      <c r="N452" s="44">
        <f t="shared" si="7"/>
        <v>4773.99</v>
      </c>
      <c r="O452" s="44">
        <v>4773.99</v>
      </c>
      <c r="P452" s="40" t="s">
        <v>1212</v>
      </c>
      <c r="Q452" s="40" t="s">
        <v>1213</v>
      </c>
      <c r="R452" s="40" t="s">
        <v>494</v>
      </c>
      <c r="S452" s="40" t="s">
        <v>502</v>
      </c>
      <c r="T452" s="40" t="s">
        <v>203</v>
      </c>
      <c r="U452" s="40" t="s">
        <v>1214</v>
      </c>
      <c r="V452" s="40" t="s">
        <v>4137</v>
      </c>
      <c r="W452" s="40" t="s">
        <v>1215</v>
      </c>
    </row>
    <row r="453" spans="1:23" ht="12" x14ac:dyDescent="0.2">
      <c r="A453" s="39" t="s">
        <v>3702</v>
      </c>
      <c r="B453" s="40" t="s">
        <v>3703</v>
      </c>
      <c r="C453" s="40" t="s">
        <v>4138</v>
      </c>
      <c r="D453" s="41">
        <v>45932</v>
      </c>
      <c r="E453" s="41">
        <v>45962</v>
      </c>
      <c r="F453" s="41">
        <v>46091</v>
      </c>
      <c r="G453" s="42">
        <v>129</v>
      </c>
      <c r="H453" s="40" t="s">
        <v>536</v>
      </c>
      <c r="I453" s="39" t="s">
        <v>323</v>
      </c>
      <c r="J453" s="43">
        <v>-1356.39</v>
      </c>
      <c r="K453" s="43">
        <v>0</v>
      </c>
      <c r="L453" s="43">
        <v>-1356.39</v>
      </c>
      <c r="M453" s="44">
        <v>0</v>
      </c>
      <c r="N453" s="44">
        <f t="shared" si="7"/>
        <v>-1004.73</v>
      </c>
      <c r="O453" s="44">
        <v>-1004.73</v>
      </c>
      <c r="P453" s="40" t="s">
        <v>3704</v>
      </c>
      <c r="Q453" s="40" t="s">
        <v>3705</v>
      </c>
      <c r="R453" s="40" t="s">
        <v>494</v>
      </c>
      <c r="S453" s="40" t="s">
        <v>502</v>
      </c>
      <c r="T453" s="40" t="s">
        <v>284</v>
      </c>
      <c r="U453" s="40" t="s">
        <v>1984</v>
      </c>
      <c r="V453" s="40" t="s">
        <v>4074</v>
      </c>
      <c r="W453" s="40" t="s">
        <v>3706</v>
      </c>
    </row>
    <row r="454" spans="1:23" ht="12" x14ac:dyDescent="0.2">
      <c r="A454" s="39" t="s">
        <v>48</v>
      </c>
      <c r="B454" s="40" t="s">
        <v>389</v>
      </c>
      <c r="C454" s="40" t="s">
        <v>4139</v>
      </c>
      <c r="D454" s="41">
        <v>45932</v>
      </c>
      <c r="E454" s="41">
        <v>45962</v>
      </c>
      <c r="F454" s="41">
        <v>46091</v>
      </c>
      <c r="G454" s="42">
        <v>129</v>
      </c>
      <c r="H454" s="40" t="s">
        <v>536</v>
      </c>
      <c r="I454" s="39" t="s">
        <v>320</v>
      </c>
      <c r="J454" s="43">
        <v>-15041.74</v>
      </c>
      <c r="K454" s="43">
        <v>0</v>
      </c>
      <c r="L454" s="43">
        <v>-15041.74</v>
      </c>
      <c r="M454" s="44">
        <v>0</v>
      </c>
      <c r="N454" s="44">
        <f t="shared" si="7"/>
        <v>-15041.74</v>
      </c>
      <c r="O454" s="44">
        <v>-15041.74</v>
      </c>
      <c r="P454" s="40" t="s">
        <v>4140</v>
      </c>
      <c r="Q454" s="40" t="s">
        <v>4141</v>
      </c>
      <c r="R454" s="40" t="s">
        <v>494</v>
      </c>
      <c r="S454" s="40" t="s">
        <v>495</v>
      </c>
      <c r="T454" s="40" t="s">
        <v>165</v>
      </c>
      <c r="U454" s="40" t="s">
        <v>4142</v>
      </c>
      <c r="V454" s="40"/>
      <c r="W454" s="40" t="s">
        <v>4143</v>
      </c>
    </row>
    <row r="455" spans="1:23" ht="12" x14ac:dyDescent="0.2">
      <c r="A455" s="39" t="s">
        <v>1314</v>
      </c>
      <c r="B455" s="40" t="s">
        <v>1315</v>
      </c>
      <c r="C455" s="40" t="s">
        <v>4144</v>
      </c>
      <c r="D455" s="41">
        <v>45932</v>
      </c>
      <c r="E455" s="41">
        <v>45962</v>
      </c>
      <c r="F455" s="41">
        <v>46091</v>
      </c>
      <c r="G455" s="42">
        <v>129</v>
      </c>
      <c r="H455" s="40" t="s">
        <v>536</v>
      </c>
      <c r="I455" s="39" t="s">
        <v>320</v>
      </c>
      <c r="J455" s="43">
        <v>11482.1</v>
      </c>
      <c r="K455" s="43">
        <v>0</v>
      </c>
      <c r="L455" s="43">
        <v>11482.1</v>
      </c>
      <c r="M455" s="44">
        <v>0</v>
      </c>
      <c r="N455" s="44">
        <f t="shared" si="7"/>
        <v>11482.1</v>
      </c>
      <c r="O455" s="44">
        <v>11482.1</v>
      </c>
      <c r="P455" s="40" t="s">
        <v>3007</v>
      </c>
      <c r="Q455" s="40" t="s">
        <v>3008</v>
      </c>
      <c r="R455" s="40" t="s">
        <v>494</v>
      </c>
      <c r="S455" s="40" t="s">
        <v>502</v>
      </c>
      <c r="T455" s="40" t="s">
        <v>282</v>
      </c>
      <c r="U455" s="40" t="s">
        <v>1233</v>
      </c>
      <c r="V455" s="40" t="s">
        <v>3968</v>
      </c>
      <c r="W455" s="40" t="s">
        <v>3009</v>
      </c>
    </row>
    <row r="456" spans="1:23" ht="12" x14ac:dyDescent="0.2">
      <c r="A456" s="39" t="s">
        <v>16</v>
      </c>
      <c r="B456" s="40" t="s">
        <v>414</v>
      </c>
      <c r="C456" s="40" t="s">
        <v>4145</v>
      </c>
      <c r="D456" s="41">
        <v>45933</v>
      </c>
      <c r="E456" s="41">
        <v>45963</v>
      </c>
      <c r="F456" s="41">
        <v>46091</v>
      </c>
      <c r="G456" s="42">
        <v>128</v>
      </c>
      <c r="H456" s="40" t="s">
        <v>536</v>
      </c>
      <c r="I456" s="39" t="s">
        <v>320</v>
      </c>
      <c r="J456" s="43">
        <v>76269.47</v>
      </c>
      <c r="K456" s="43">
        <v>0</v>
      </c>
      <c r="L456" s="43">
        <v>19985.080000000002</v>
      </c>
      <c r="M456" s="44">
        <v>0</v>
      </c>
      <c r="N456" s="44">
        <f t="shared" si="7"/>
        <v>19985.080000000002</v>
      </c>
      <c r="O456" s="44">
        <v>19985.080000000002</v>
      </c>
      <c r="P456" s="40" t="s">
        <v>4146</v>
      </c>
      <c r="Q456" s="40" t="s">
        <v>4147</v>
      </c>
      <c r="R456" s="40" t="s">
        <v>494</v>
      </c>
      <c r="S456" s="40" t="s">
        <v>495</v>
      </c>
      <c r="T456" s="40" t="s">
        <v>289</v>
      </c>
      <c r="U456" s="40" t="s">
        <v>637</v>
      </c>
      <c r="V456" s="40" t="s">
        <v>4148</v>
      </c>
      <c r="W456" s="40" t="s">
        <v>4149</v>
      </c>
    </row>
    <row r="457" spans="1:23" ht="12" x14ac:dyDescent="0.2">
      <c r="A457" s="39" t="s">
        <v>25</v>
      </c>
      <c r="B457" s="40" t="s">
        <v>464</v>
      </c>
      <c r="C457" s="40" t="s">
        <v>4150</v>
      </c>
      <c r="D457" s="41">
        <v>45936</v>
      </c>
      <c r="E457" s="41">
        <v>45966</v>
      </c>
      <c r="F457" s="41">
        <v>46091</v>
      </c>
      <c r="G457" s="42">
        <v>125</v>
      </c>
      <c r="H457" s="40" t="s">
        <v>536</v>
      </c>
      <c r="I457" s="39" t="s">
        <v>320</v>
      </c>
      <c r="J457" s="43">
        <v>40444.129999999997</v>
      </c>
      <c r="K457" s="43">
        <v>0</v>
      </c>
      <c r="L457" s="43">
        <v>40444.129999999997</v>
      </c>
      <c r="M457" s="44">
        <v>0</v>
      </c>
      <c r="N457" s="44">
        <f t="shared" si="7"/>
        <v>40444.129999999997</v>
      </c>
      <c r="O457" s="44">
        <v>40444.129999999997</v>
      </c>
      <c r="P457" s="40" t="s">
        <v>654</v>
      </c>
      <c r="Q457" s="40" t="s">
        <v>4151</v>
      </c>
      <c r="R457" s="40" t="s">
        <v>494</v>
      </c>
      <c r="S457" s="40" t="s">
        <v>502</v>
      </c>
      <c r="T457" s="40" t="s">
        <v>220</v>
      </c>
      <c r="U457" s="40" t="s">
        <v>618</v>
      </c>
      <c r="V457" s="40" t="s">
        <v>4152</v>
      </c>
      <c r="W457" s="40" t="s">
        <v>4153</v>
      </c>
    </row>
    <row r="458" spans="1:23" ht="12" x14ac:dyDescent="0.2">
      <c r="A458" s="39" t="s">
        <v>357</v>
      </c>
      <c r="B458" s="40" t="s">
        <v>356</v>
      </c>
      <c r="C458" s="40" t="s">
        <v>4154</v>
      </c>
      <c r="D458" s="41">
        <v>45936</v>
      </c>
      <c r="E458" s="41">
        <v>45966</v>
      </c>
      <c r="F458" s="41">
        <v>46091</v>
      </c>
      <c r="G458" s="42">
        <v>125</v>
      </c>
      <c r="H458" s="40" t="s">
        <v>536</v>
      </c>
      <c r="I458" s="39" t="s">
        <v>341</v>
      </c>
      <c r="J458" s="43">
        <v>44594.81</v>
      </c>
      <c r="K458" s="43">
        <v>0</v>
      </c>
      <c r="L458" s="43">
        <v>44594.81</v>
      </c>
      <c r="M458" s="44">
        <v>0</v>
      </c>
      <c r="N458" s="44">
        <f t="shared" si="7"/>
        <v>37469.9</v>
      </c>
      <c r="O458" s="44">
        <v>37469.9</v>
      </c>
      <c r="P458" s="40" t="s">
        <v>922</v>
      </c>
      <c r="Q458" s="40" t="s">
        <v>923</v>
      </c>
      <c r="R458" s="40" t="s">
        <v>494</v>
      </c>
      <c r="S458" s="40" t="s">
        <v>495</v>
      </c>
      <c r="T458" s="40" t="s">
        <v>330</v>
      </c>
      <c r="U458" s="40" t="s">
        <v>677</v>
      </c>
      <c r="V458" s="40" t="s">
        <v>3791</v>
      </c>
      <c r="W458" s="40" t="s">
        <v>924</v>
      </c>
    </row>
    <row r="459" spans="1:23" ht="12" x14ac:dyDescent="0.2">
      <c r="A459" s="39" t="s">
        <v>52</v>
      </c>
      <c r="B459" s="40" t="s">
        <v>472</v>
      </c>
      <c r="C459" s="40" t="s">
        <v>4155</v>
      </c>
      <c r="D459" s="41">
        <v>45936</v>
      </c>
      <c r="E459" s="41">
        <v>45966</v>
      </c>
      <c r="F459" s="41">
        <v>46091</v>
      </c>
      <c r="G459" s="42">
        <v>125</v>
      </c>
      <c r="H459" s="40" t="s">
        <v>536</v>
      </c>
      <c r="I459" s="39" t="s">
        <v>320</v>
      </c>
      <c r="J459" s="43">
        <v>30903.42</v>
      </c>
      <c r="K459" s="43">
        <v>0</v>
      </c>
      <c r="L459" s="43">
        <v>30903.42</v>
      </c>
      <c r="M459" s="44">
        <v>0</v>
      </c>
      <c r="N459" s="44">
        <f t="shared" si="7"/>
        <v>30903.42</v>
      </c>
      <c r="O459" s="44">
        <v>30903.42</v>
      </c>
      <c r="P459" s="40" t="s">
        <v>1567</v>
      </c>
      <c r="Q459" s="40" t="s">
        <v>2882</v>
      </c>
      <c r="R459" s="40" t="s">
        <v>494</v>
      </c>
      <c r="S459" s="40" t="s">
        <v>502</v>
      </c>
      <c r="T459" s="40" t="s">
        <v>191</v>
      </c>
      <c r="U459" s="40" t="s">
        <v>1392</v>
      </c>
      <c r="V459" s="40" t="s">
        <v>4156</v>
      </c>
      <c r="W459" s="40" t="s">
        <v>2883</v>
      </c>
    </row>
    <row r="460" spans="1:23" ht="12" x14ac:dyDescent="0.2">
      <c r="A460" s="39" t="s">
        <v>1314</v>
      </c>
      <c r="B460" s="40" t="s">
        <v>1315</v>
      </c>
      <c r="C460" s="40" t="s">
        <v>4157</v>
      </c>
      <c r="D460" s="41">
        <v>45936</v>
      </c>
      <c r="E460" s="41">
        <v>45966</v>
      </c>
      <c r="F460" s="41">
        <v>46091</v>
      </c>
      <c r="G460" s="42">
        <v>125</v>
      </c>
      <c r="H460" s="40" t="s">
        <v>536</v>
      </c>
      <c r="I460" s="39" t="s">
        <v>320</v>
      </c>
      <c r="J460" s="43">
        <v>32838.49</v>
      </c>
      <c r="K460" s="43">
        <v>0</v>
      </c>
      <c r="L460" s="43">
        <v>32838.49</v>
      </c>
      <c r="M460" s="44">
        <v>0</v>
      </c>
      <c r="N460" s="44">
        <f t="shared" si="7"/>
        <v>32838.49</v>
      </c>
      <c r="O460" s="44">
        <v>32838.49</v>
      </c>
      <c r="P460" s="40" t="s">
        <v>1446</v>
      </c>
      <c r="Q460" s="40" t="s">
        <v>1447</v>
      </c>
      <c r="R460" s="40" t="s">
        <v>494</v>
      </c>
      <c r="S460" s="40" t="s">
        <v>495</v>
      </c>
      <c r="T460" s="40" t="s">
        <v>282</v>
      </c>
      <c r="U460" s="40" t="s">
        <v>1233</v>
      </c>
      <c r="V460" s="40" t="s">
        <v>4158</v>
      </c>
      <c r="W460" s="40" t="s">
        <v>1448</v>
      </c>
    </row>
    <row r="461" spans="1:23" ht="12" x14ac:dyDescent="0.2">
      <c r="A461" s="39" t="s">
        <v>337</v>
      </c>
      <c r="B461" s="40" t="s">
        <v>336</v>
      </c>
      <c r="C461" s="40" t="s">
        <v>4159</v>
      </c>
      <c r="D461" s="41">
        <v>45936</v>
      </c>
      <c r="E461" s="41">
        <v>45966</v>
      </c>
      <c r="F461" s="41">
        <v>46091</v>
      </c>
      <c r="G461" s="42">
        <v>125</v>
      </c>
      <c r="H461" s="40" t="s">
        <v>536</v>
      </c>
      <c r="I461" s="39" t="s">
        <v>320</v>
      </c>
      <c r="J461" s="43">
        <v>28308.68</v>
      </c>
      <c r="K461" s="43">
        <v>0</v>
      </c>
      <c r="L461" s="43">
        <v>28308.68</v>
      </c>
      <c r="M461" s="44">
        <v>0</v>
      </c>
      <c r="N461" s="44">
        <f t="shared" si="7"/>
        <v>28308.68</v>
      </c>
      <c r="O461" s="44">
        <v>28308.68</v>
      </c>
      <c r="P461" s="40" t="s">
        <v>4160</v>
      </c>
      <c r="Q461" s="40" t="s">
        <v>4161</v>
      </c>
      <c r="R461" s="40" t="s">
        <v>494</v>
      </c>
      <c r="S461" s="40" t="s">
        <v>495</v>
      </c>
      <c r="T461" s="40" t="s">
        <v>282</v>
      </c>
      <c r="U461" s="40" t="s">
        <v>4162</v>
      </c>
      <c r="V461" s="40" t="s">
        <v>4163</v>
      </c>
      <c r="W461" s="40" t="s">
        <v>4164</v>
      </c>
    </row>
    <row r="462" spans="1:23" ht="12" x14ac:dyDescent="0.2">
      <c r="A462" s="39" t="s">
        <v>1052</v>
      </c>
      <c r="B462" s="40" t="s">
        <v>1053</v>
      </c>
      <c r="C462" s="40" t="s">
        <v>4165</v>
      </c>
      <c r="D462" s="41">
        <v>45936</v>
      </c>
      <c r="E462" s="41">
        <v>45966</v>
      </c>
      <c r="F462" s="41">
        <v>46091</v>
      </c>
      <c r="G462" s="42">
        <v>125</v>
      </c>
      <c r="H462" s="40" t="s">
        <v>536</v>
      </c>
      <c r="I462" s="39" t="s">
        <v>323</v>
      </c>
      <c r="J462" s="43">
        <v>13076.78</v>
      </c>
      <c r="K462" s="43">
        <v>0</v>
      </c>
      <c r="L462" s="43">
        <v>13076.78</v>
      </c>
      <c r="M462" s="44">
        <v>0</v>
      </c>
      <c r="N462" s="44">
        <f t="shared" si="7"/>
        <v>9686.5</v>
      </c>
      <c r="O462" s="44">
        <v>9686.5</v>
      </c>
      <c r="P462" s="40" t="s">
        <v>1054</v>
      </c>
      <c r="Q462" s="40" t="s">
        <v>1055</v>
      </c>
      <c r="R462" s="40" t="s">
        <v>494</v>
      </c>
      <c r="S462" s="40" t="s">
        <v>495</v>
      </c>
      <c r="T462" s="40" t="s">
        <v>289</v>
      </c>
      <c r="U462" s="40" t="s">
        <v>691</v>
      </c>
      <c r="V462" s="40" t="s">
        <v>3936</v>
      </c>
      <c r="W462" s="40" t="s">
        <v>1169</v>
      </c>
    </row>
    <row r="463" spans="1:23" ht="12" x14ac:dyDescent="0.2">
      <c r="A463" s="39" t="s">
        <v>2080</v>
      </c>
      <c r="B463" s="40" t="s">
        <v>2899</v>
      </c>
      <c r="C463" s="40" t="s">
        <v>4166</v>
      </c>
      <c r="D463" s="41">
        <v>45936</v>
      </c>
      <c r="E463" s="41">
        <v>45966</v>
      </c>
      <c r="F463" s="41">
        <v>46091</v>
      </c>
      <c r="G463" s="42">
        <v>125</v>
      </c>
      <c r="H463" s="40" t="s">
        <v>536</v>
      </c>
      <c r="I463" s="39" t="s">
        <v>323</v>
      </c>
      <c r="J463" s="43">
        <v>5113.95</v>
      </c>
      <c r="K463" s="43">
        <v>0</v>
      </c>
      <c r="L463" s="43">
        <v>5113.95</v>
      </c>
      <c r="M463" s="44">
        <v>0</v>
      </c>
      <c r="N463" s="44">
        <f t="shared" si="7"/>
        <v>3526.86</v>
      </c>
      <c r="O463" s="44">
        <v>3526.86</v>
      </c>
      <c r="P463" s="40" t="s">
        <v>2072</v>
      </c>
      <c r="Q463" s="40" t="s">
        <v>2901</v>
      </c>
      <c r="R463" s="40" t="s">
        <v>494</v>
      </c>
      <c r="S463" s="40" t="s">
        <v>502</v>
      </c>
      <c r="T463" s="40" t="s">
        <v>508</v>
      </c>
      <c r="U463" s="40" t="s">
        <v>2902</v>
      </c>
      <c r="V463" s="40" t="s">
        <v>3979</v>
      </c>
      <c r="W463" s="40" t="s">
        <v>2903</v>
      </c>
    </row>
    <row r="464" spans="1:23" ht="12" x14ac:dyDescent="0.2">
      <c r="A464" s="39" t="s">
        <v>442</v>
      </c>
      <c r="B464" s="40" t="s">
        <v>441</v>
      </c>
      <c r="C464" s="40" t="s">
        <v>4167</v>
      </c>
      <c r="D464" s="41">
        <v>45937</v>
      </c>
      <c r="E464" s="41">
        <v>45967</v>
      </c>
      <c r="F464" s="41">
        <v>46091</v>
      </c>
      <c r="G464" s="42">
        <v>124</v>
      </c>
      <c r="H464" s="40" t="s">
        <v>536</v>
      </c>
      <c r="I464" s="39" t="s">
        <v>320</v>
      </c>
      <c r="J464" s="43">
        <v>-3766.6</v>
      </c>
      <c r="K464" s="43">
        <v>0</v>
      </c>
      <c r="L464" s="43">
        <v>-3766.6</v>
      </c>
      <c r="M464" s="44">
        <v>0</v>
      </c>
      <c r="N464" s="44">
        <f t="shared" si="7"/>
        <v>-3766.6</v>
      </c>
      <c r="O464" s="44">
        <v>-3766.6</v>
      </c>
      <c r="P464" s="40" t="s">
        <v>4168</v>
      </c>
      <c r="Q464" s="40" t="s">
        <v>4169</v>
      </c>
      <c r="R464" s="40" t="s">
        <v>494</v>
      </c>
      <c r="S464" s="40" t="s">
        <v>495</v>
      </c>
      <c r="T464" s="40" t="s">
        <v>224</v>
      </c>
      <c r="U464" s="40" t="s">
        <v>4170</v>
      </c>
      <c r="V464" s="40"/>
      <c r="W464" s="40" t="s">
        <v>4171</v>
      </c>
    </row>
    <row r="465" spans="1:23" ht="12" x14ac:dyDescent="0.2">
      <c r="A465" s="39" t="s">
        <v>35</v>
      </c>
      <c r="B465" s="40" t="s">
        <v>4172</v>
      </c>
      <c r="C465" s="40" t="s">
        <v>4173</v>
      </c>
      <c r="D465" s="41">
        <v>45937</v>
      </c>
      <c r="E465" s="41">
        <v>45967</v>
      </c>
      <c r="F465" s="41">
        <v>46091</v>
      </c>
      <c r="G465" s="42">
        <v>124</v>
      </c>
      <c r="H465" s="40" t="s">
        <v>536</v>
      </c>
      <c r="I465" s="39" t="s">
        <v>320</v>
      </c>
      <c r="J465" s="43">
        <v>6789.31</v>
      </c>
      <c r="K465" s="43">
        <v>0</v>
      </c>
      <c r="L465" s="43">
        <v>6789.31</v>
      </c>
      <c r="M465" s="44">
        <v>0</v>
      </c>
      <c r="N465" s="44">
        <f t="shared" si="7"/>
        <v>6789.31</v>
      </c>
      <c r="O465" s="44">
        <v>6789.31</v>
      </c>
      <c r="P465" s="40" t="s">
        <v>4174</v>
      </c>
      <c r="Q465" s="40" t="s">
        <v>4175</v>
      </c>
      <c r="R465" s="40" t="s">
        <v>494</v>
      </c>
      <c r="S465" s="40" t="s">
        <v>495</v>
      </c>
      <c r="T465" s="40" t="s">
        <v>284</v>
      </c>
      <c r="U465" s="40" t="s">
        <v>4176</v>
      </c>
      <c r="V465" s="40"/>
      <c r="W465" s="40" t="s">
        <v>4177</v>
      </c>
    </row>
    <row r="466" spans="1:23" ht="12" x14ac:dyDescent="0.2">
      <c r="A466" s="39" t="s">
        <v>4178</v>
      </c>
      <c r="B466" s="40" t="s">
        <v>4179</v>
      </c>
      <c r="C466" s="40" t="s">
        <v>4180</v>
      </c>
      <c r="D466" s="41">
        <v>45938</v>
      </c>
      <c r="E466" s="41">
        <v>45968</v>
      </c>
      <c r="F466" s="41">
        <v>46091</v>
      </c>
      <c r="G466" s="42">
        <v>123</v>
      </c>
      <c r="H466" s="40" t="s">
        <v>536</v>
      </c>
      <c r="I466" s="39" t="s">
        <v>320</v>
      </c>
      <c r="J466" s="43">
        <v>-8069</v>
      </c>
      <c r="K466" s="43">
        <v>0</v>
      </c>
      <c r="L466" s="43">
        <v>-8069</v>
      </c>
      <c r="M466" s="44">
        <v>0</v>
      </c>
      <c r="N466" s="44">
        <f t="shared" si="7"/>
        <v>-8069</v>
      </c>
      <c r="O466" s="44">
        <v>-8069</v>
      </c>
      <c r="P466" s="40" t="s">
        <v>4181</v>
      </c>
      <c r="Q466" s="40" t="s">
        <v>4182</v>
      </c>
      <c r="R466" s="40" t="s">
        <v>494</v>
      </c>
      <c r="S466" s="40" t="s">
        <v>495</v>
      </c>
      <c r="T466" s="40" t="s">
        <v>280</v>
      </c>
      <c r="U466" s="40" t="s">
        <v>1852</v>
      </c>
      <c r="V466" s="40"/>
      <c r="W466" s="40"/>
    </row>
    <row r="467" spans="1:23" ht="12" x14ac:dyDescent="0.2">
      <c r="A467" s="39" t="s">
        <v>723</v>
      </c>
      <c r="B467" s="40" t="s">
        <v>4183</v>
      </c>
      <c r="C467" s="40" t="s">
        <v>4184</v>
      </c>
      <c r="D467" s="41">
        <v>45938</v>
      </c>
      <c r="E467" s="41">
        <v>45968</v>
      </c>
      <c r="F467" s="41">
        <v>46091</v>
      </c>
      <c r="G467" s="42">
        <v>123</v>
      </c>
      <c r="H467" s="40" t="s">
        <v>536</v>
      </c>
      <c r="I467" s="39" t="s">
        <v>323</v>
      </c>
      <c r="J467" s="43">
        <v>535815.81999999995</v>
      </c>
      <c r="K467" s="43">
        <v>0</v>
      </c>
      <c r="L467" s="43">
        <v>535815.81999999995</v>
      </c>
      <c r="M467" s="44">
        <v>0</v>
      </c>
      <c r="N467" s="44">
        <f t="shared" si="7"/>
        <v>396900.61</v>
      </c>
      <c r="O467" s="44">
        <v>396900.61</v>
      </c>
      <c r="P467" s="40" t="s">
        <v>722</v>
      </c>
      <c r="Q467" s="40" t="s">
        <v>4185</v>
      </c>
      <c r="R467" s="40" t="s">
        <v>494</v>
      </c>
      <c r="S467" s="40" t="s">
        <v>495</v>
      </c>
      <c r="T467" s="40" t="s">
        <v>330</v>
      </c>
      <c r="U467" s="40" t="s">
        <v>4186</v>
      </c>
      <c r="V467" s="40" t="s">
        <v>4187</v>
      </c>
      <c r="W467" s="40" t="s">
        <v>4188</v>
      </c>
    </row>
    <row r="468" spans="1:23" ht="12" x14ac:dyDescent="0.2">
      <c r="A468" s="39" t="s">
        <v>16</v>
      </c>
      <c r="B468" s="40" t="s">
        <v>414</v>
      </c>
      <c r="C468" s="40" t="s">
        <v>4189</v>
      </c>
      <c r="D468" s="41">
        <v>45938</v>
      </c>
      <c r="E468" s="41">
        <v>45968</v>
      </c>
      <c r="F468" s="41">
        <v>46091</v>
      </c>
      <c r="G468" s="42">
        <v>123</v>
      </c>
      <c r="H468" s="40" t="s">
        <v>536</v>
      </c>
      <c r="I468" s="39" t="s">
        <v>320</v>
      </c>
      <c r="J468" s="43">
        <v>20638.46</v>
      </c>
      <c r="K468" s="43">
        <v>3439.75</v>
      </c>
      <c r="L468" s="43">
        <v>20638.46</v>
      </c>
      <c r="M468" s="44">
        <v>3439.75</v>
      </c>
      <c r="N468" s="44">
        <f t="shared" si="7"/>
        <v>17198.71</v>
      </c>
      <c r="O468" s="44">
        <v>20638.46</v>
      </c>
      <c r="P468" s="40" t="s">
        <v>2915</v>
      </c>
      <c r="Q468" s="40" t="s">
        <v>2916</v>
      </c>
      <c r="R468" s="40" t="s">
        <v>494</v>
      </c>
      <c r="S468" s="40" t="s">
        <v>502</v>
      </c>
      <c r="T468" s="40" t="s">
        <v>327</v>
      </c>
      <c r="U468" s="40" t="s">
        <v>550</v>
      </c>
      <c r="V468" s="40" t="s">
        <v>4190</v>
      </c>
      <c r="W468" s="40" t="s">
        <v>2917</v>
      </c>
    </row>
    <row r="469" spans="1:23" ht="12" x14ac:dyDescent="0.2">
      <c r="A469" s="39" t="s">
        <v>10</v>
      </c>
      <c r="B469" s="40" t="s">
        <v>393</v>
      </c>
      <c r="C469" s="40" t="s">
        <v>4191</v>
      </c>
      <c r="D469" s="41">
        <v>45939</v>
      </c>
      <c r="E469" s="41">
        <v>45969</v>
      </c>
      <c r="F469" s="41">
        <v>46091</v>
      </c>
      <c r="G469" s="42">
        <v>122</v>
      </c>
      <c r="H469" s="40" t="s">
        <v>536</v>
      </c>
      <c r="I469" s="39" t="s">
        <v>320</v>
      </c>
      <c r="J469" s="43">
        <v>44092.11</v>
      </c>
      <c r="K469" s="43">
        <v>0</v>
      </c>
      <c r="L469" s="43">
        <v>44092.11</v>
      </c>
      <c r="M469" s="44">
        <v>0</v>
      </c>
      <c r="N469" s="44">
        <f t="shared" si="7"/>
        <v>44092.11</v>
      </c>
      <c r="O469" s="44">
        <v>44092.11</v>
      </c>
      <c r="P469" s="40" t="s">
        <v>4192</v>
      </c>
      <c r="Q469" s="40" t="s">
        <v>4193</v>
      </c>
      <c r="R469" s="40" t="s">
        <v>494</v>
      </c>
      <c r="S469" s="40" t="s">
        <v>495</v>
      </c>
      <c r="T469" s="40" t="s">
        <v>280</v>
      </c>
      <c r="U469" s="40" t="s">
        <v>560</v>
      </c>
      <c r="V469" s="40" t="s">
        <v>4025</v>
      </c>
      <c r="W469" s="40" t="s">
        <v>4194</v>
      </c>
    </row>
    <row r="470" spans="1:23" ht="12" x14ac:dyDescent="0.2">
      <c r="A470" s="39" t="s">
        <v>31</v>
      </c>
      <c r="B470" s="40" t="s">
        <v>353</v>
      </c>
      <c r="C470" s="40" t="s">
        <v>4195</v>
      </c>
      <c r="D470" s="41">
        <v>45939</v>
      </c>
      <c r="E470" s="41">
        <v>45969</v>
      </c>
      <c r="F470" s="41">
        <v>46091</v>
      </c>
      <c r="G470" s="42">
        <v>122</v>
      </c>
      <c r="H470" s="40" t="s">
        <v>536</v>
      </c>
      <c r="I470" s="39" t="s">
        <v>320</v>
      </c>
      <c r="J470" s="43">
        <v>-5623.99</v>
      </c>
      <c r="K470" s="43">
        <v>0</v>
      </c>
      <c r="L470" s="43">
        <v>-5623.99</v>
      </c>
      <c r="M470" s="44">
        <v>0</v>
      </c>
      <c r="N470" s="44">
        <f t="shared" si="7"/>
        <v>-5623.99</v>
      </c>
      <c r="O470" s="44">
        <v>-5623.99</v>
      </c>
      <c r="P470" s="40" t="s">
        <v>4196</v>
      </c>
      <c r="Q470" s="40" t="s">
        <v>4197</v>
      </c>
      <c r="R470" s="40" t="s">
        <v>494</v>
      </c>
      <c r="S470" s="40" t="s">
        <v>495</v>
      </c>
      <c r="T470" s="40" t="s">
        <v>221</v>
      </c>
      <c r="U470" s="40" t="s">
        <v>4198</v>
      </c>
      <c r="V470" s="40"/>
      <c r="W470" s="40" t="s">
        <v>4199</v>
      </c>
    </row>
    <row r="471" spans="1:23" ht="12" x14ac:dyDescent="0.2">
      <c r="A471" s="39" t="s">
        <v>16</v>
      </c>
      <c r="B471" s="40" t="s">
        <v>414</v>
      </c>
      <c r="C471" s="40" t="s">
        <v>4200</v>
      </c>
      <c r="D471" s="41">
        <v>45939</v>
      </c>
      <c r="E471" s="41">
        <v>45969</v>
      </c>
      <c r="F471" s="41">
        <v>46091</v>
      </c>
      <c r="G471" s="42">
        <v>122</v>
      </c>
      <c r="H471" s="40" t="s">
        <v>536</v>
      </c>
      <c r="I471" s="39" t="s">
        <v>320</v>
      </c>
      <c r="J471" s="43">
        <v>73087.73</v>
      </c>
      <c r="K471" s="43">
        <v>0</v>
      </c>
      <c r="L471" s="43">
        <v>73087.73</v>
      </c>
      <c r="M471" s="44">
        <v>0</v>
      </c>
      <c r="N471" s="44">
        <f t="shared" si="7"/>
        <v>73087.73</v>
      </c>
      <c r="O471" s="44">
        <v>73087.73</v>
      </c>
      <c r="P471" s="40" t="s">
        <v>3728</v>
      </c>
      <c r="Q471" s="40" t="s">
        <v>3729</v>
      </c>
      <c r="R471" s="40" t="s">
        <v>494</v>
      </c>
      <c r="S471" s="40" t="s">
        <v>495</v>
      </c>
      <c r="T471" s="40" t="s">
        <v>512</v>
      </c>
      <c r="U471" s="40" t="s">
        <v>3051</v>
      </c>
      <c r="V471" s="40" t="s">
        <v>4201</v>
      </c>
      <c r="W471" s="40" t="s">
        <v>3730</v>
      </c>
    </row>
    <row r="472" spans="1:23" ht="12" x14ac:dyDescent="0.2">
      <c r="A472" s="39" t="s">
        <v>37</v>
      </c>
      <c r="B472" s="40" t="s">
        <v>452</v>
      </c>
      <c r="C472" s="40" t="s">
        <v>4202</v>
      </c>
      <c r="D472" s="41">
        <v>45939</v>
      </c>
      <c r="E472" s="41">
        <v>45969</v>
      </c>
      <c r="F472" s="41">
        <v>46091</v>
      </c>
      <c r="G472" s="42">
        <v>122</v>
      </c>
      <c r="H472" s="40" t="s">
        <v>536</v>
      </c>
      <c r="I472" s="39" t="s">
        <v>320</v>
      </c>
      <c r="J472" s="43">
        <v>11758.23</v>
      </c>
      <c r="K472" s="43">
        <v>0</v>
      </c>
      <c r="L472" s="43">
        <v>11758.23</v>
      </c>
      <c r="M472" s="44">
        <v>0</v>
      </c>
      <c r="N472" s="44">
        <f t="shared" si="7"/>
        <v>11758.23</v>
      </c>
      <c r="O472" s="44">
        <v>11758.23</v>
      </c>
      <c r="P472" s="40" t="s">
        <v>2456</v>
      </c>
      <c r="Q472" s="40" t="s">
        <v>2457</v>
      </c>
      <c r="R472" s="40" t="s">
        <v>494</v>
      </c>
      <c r="S472" s="40" t="s">
        <v>502</v>
      </c>
      <c r="T472" s="40" t="s">
        <v>305</v>
      </c>
      <c r="U472" s="40" t="s">
        <v>2458</v>
      </c>
      <c r="V472" s="40" t="s">
        <v>4203</v>
      </c>
      <c r="W472" s="40" t="s">
        <v>2459</v>
      </c>
    </row>
    <row r="473" spans="1:23" ht="12" x14ac:dyDescent="0.2">
      <c r="A473" s="39" t="s">
        <v>4204</v>
      </c>
      <c r="B473" s="40" t="s">
        <v>4205</v>
      </c>
      <c r="C473" s="40" t="s">
        <v>4206</v>
      </c>
      <c r="D473" s="41">
        <v>45940</v>
      </c>
      <c r="E473" s="41">
        <v>45970</v>
      </c>
      <c r="F473" s="41">
        <v>46091</v>
      </c>
      <c r="G473" s="42">
        <v>121</v>
      </c>
      <c r="H473" s="40" t="s">
        <v>536</v>
      </c>
      <c r="I473" s="39" t="s">
        <v>320</v>
      </c>
      <c r="J473" s="43">
        <v>110254.96</v>
      </c>
      <c r="K473" s="43">
        <v>0</v>
      </c>
      <c r="L473" s="43">
        <v>110254.96</v>
      </c>
      <c r="M473" s="44">
        <v>0</v>
      </c>
      <c r="N473" s="44">
        <f t="shared" si="7"/>
        <v>110254.96</v>
      </c>
      <c r="O473" s="44">
        <v>110254.96</v>
      </c>
      <c r="P473" s="40" t="s">
        <v>4207</v>
      </c>
      <c r="Q473" s="40" t="s">
        <v>4208</v>
      </c>
      <c r="R473" s="40" t="s">
        <v>494</v>
      </c>
      <c r="S473" s="40" t="s">
        <v>495</v>
      </c>
      <c r="T473" s="40" t="s">
        <v>197</v>
      </c>
      <c r="U473" s="40" t="s">
        <v>4209</v>
      </c>
      <c r="V473" s="40" t="s">
        <v>4210</v>
      </c>
      <c r="W473" s="40" t="s">
        <v>4211</v>
      </c>
    </row>
    <row r="474" spans="1:23" ht="12" x14ac:dyDescent="0.2">
      <c r="A474" s="39" t="s">
        <v>357</v>
      </c>
      <c r="B474" s="40" t="s">
        <v>356</v>
      </c>
      <c r="C474" s="40" t="s">
        <v>4212</v>
      </c>
      <c r="D474" s="41">
        <v>45940</v>
      </c>
      <c r="E474" s="41">
        <v>45970</v>
      </c>
      <c r="F474" s="41">
        <v>46091</v>
      </c>
      <c r="G474" s="42">
        <v>121</v>
      </c>
      <c r="H474" s="40" t="s">
        <v>536</v>
      </c>
      <c r="I474" s="39" t="s">
        <v>341</v>
      </c>
      <c r="J474" s="43">
        <v>1149745.1499999999</v>
      </c>
      <c r="K474" s="43">
        <v>0</v>
      </c>
      <c r="L474" s="43">
        <v>449809.35</v>
      </c>
      <c r="M474" s="44">
        <v>0</v>
      </c>
      <c r="N474" s="44">
        <f t="shared" si="7"/>
        <v>381510.3</v>
      </c>
      <c r="O474" s="44">
        <v>381510.3</v>
      </c>
      <c r="P474" s="40" t="s">
        <v>4213</v>
      </c>
      <c r="Q474" s="40" t="s">
        <v>4214</v>
      </c>
      <c r="R474" s="40" t="s">
        <v>494</v>
      </c>
      <c r="S474" s="40" t="s">
        <v>502</v>
      </c>
      <c r="T474" s="40" t="s">
        <v>506</v>
      </c>
      <c r="U474" s="40" t="s">
        <v>586</v>
      </c>
      <c r="V474" s="40" t="s">
        <v>4009</v>
      </c>
      <c r="W474" s="40" t="s">
        <v>4215</v>
      </c>
    </row>
    <row r="475" spans="1:23" ht="12" x14ac:dyDescent="0.2">
      <c r="A475" s="39" t="s">
        <v>815</v>
      </c>
      <c r="B475" s="40" t="s">
        <v>1119</v>
      </c>
      <c r="C475" s="40" t="s">
        <v>4216</v>
      </c>
      <c r="D475" s="41">
        <v>45943</v>
      </c>
      <c r="E475" s="41">
        <v>45973</v>
      </c>
      <c r="F475" s="41">
        <v>46091</v>
      </c>
      <c r="G475" s="42">
        <v>118</v>
      </c>
      <c r="H475" s="40" t="s">
        <v>536</v>
      </c>
      <c r="I475" s="39" t="s">
        <v>320</v>
      </c>
      <c r="J475" s="43">
        <v>24381.08</v>
      </c>
      <c r="K475" s="43">
        <v>0</v>
      </c>
      <c r="L475" s="43">
        <v>24381.08</v>
      </c>
      <c r="M475" s="44">
        <v>0</v>
      </c>
      <c r="N475" s="44">
        <f t="shared" si="7"/>
        <v>24381.08</v>
      </c>
      <c r="O475" s="44">
        <v>24381.08</v>
      </c>
      <c r="P475" s="40" t="s">
        <v>1120</v>
      </c>
      <c r="Q475" s="40" t="s">
        <v>1121</v>
      </c>
      <c r="R475" s="40" t="s">
        <v>494</v>
      </c>
      <c r="S475" s="40" t="s">
        <v>502</v>
      </c>
      <c r="T475" s="40" t="s">
        <v>178</v>
      </c>
      <c r="U475" s="40" t="s">
        <v>625</v>
      </c>
      <c r="V475" s="40" t="s">
        <v>4217</v>
      </c>
      <c r="W475" s="40" t="s">
        <v>1729</v>
      </c>
    </row>
    <row r="476" spans="1:23" ht="12" x14ac:dyDescent="0.2">
      <c r="A476" s="39" t="s">
        <v>1070</v>
      </c>
      <c r="B476" s="40" t="s">
        <v>364</v>
      </c>
      <c r="C476" s="40" t="s">
        <v>4218</v>
      </c>
      <c r="D476" s="41">
        <v>45944</v>
      </c>
      <c r="E476" s="41">
        <v>45974</v>
      </c>
      <c r="F476" s="41">
        <v>46091</v>
      </c>
      <c r="G476" s="42">
        <v>117</v>
      </c>
      <c r="H476" s="40" t="s">
        <v>536</v>
      </c>
      <c r="I476" s="39" t="s">
        <v>320</v>
      </c>
      <c r="J476" s="43">
        <v>17207.03</v>
      </c>
      <c r="K476" s="43">
        <v>0</v>
      </c>
      <c r="L476" s="43">
        <v>17207.03</v>
      </c>
      <c r="M476" s="44">
        <v>0</v>
      </c>
      <c r="N476" s="44">
        <f t="shared" si="7"/>
        <v>17207.03</v>
      </c>
      <c r="O476" s="44">
        <v>17207.03</v>
      </c>
      <c r="P476" s="40" t="s">
        <v>3046</v>
      </c>
      <c r="Q476" s="40" t="s">
        <v>3047</v>
      </c>
      <c r="R476" s="40" t="s">
        <v>494</v>
      </c>
      <c r="S476" s="40" t="s">
        <v>502</v>
      </c>
      <c r="T476" s="40" t="s">
        <v>299</v>
      </c>
      <c r="U476" s="40" t="s">
        <v>3048</v>
      </c>
      <c r="V476" s="40" t="s">
        <v>3995</v>
      </c>
      <c r="W476" s="40" t="s">
        <v>322</v>
      </c>
    </row>
    <row r="477" spans="1:23" ht="12" x14ac:dyDescent="0.2">
      <c r="A477" s="39" t="s">
        <v>16</v>
      </c>
      <c r="B477" s="40" t="s">
        <v>414</v>
      </c>
      <c r="C477" s="40" t="s">
        <v>4219</v>
      </c>
      <c r="D477" s="41">
        <v>45944</v>
      </c>
      <c r="E477" s="41">
        <v>45974</v>
      </c>
      <c r="F477" s="41">
        <v>46091</v>
      </c>
      <c r="G477" s="42">
        <v>117</v>
      </c>
      <c r="H477" s="40" t="s">
        <v>536</v>
      </c>
      <c r="I477" s="39" t="s">
        <v>320</v>
      </c>
      <c r="J477" s="43">
        <v>32788.699999999997</v>
      </c>
      <c r="K477" s="43">
        <v>0</v>
      </c>
      <c r="L477" s="43">
        <v>32788.699999999997</v>
      </c>
      <c r="M477" s="44">
        <v>0</v>
      </c>
      <c r="N477" s="44">
        <f t="shared" si="7"/>
        <v>32788.699999999997</v>
      </c>
      <c r="O477" s="44">
        <v>32788.699999999997</v>
      </c>
      <c r="P477" s="40" t="s">
        <v>3062</v>
      </c>
      <c r="Q477" s="40" t="s">
        <v>3063</v>
      </c>
      <c r="R477" s="40" t="s">
        <v>494</v>
      </c>
      <c r="S477" s="40" t="s">
        <v>502</v>
      </c>
      <c r="T477" s="40" t="s">
        <v>278</v>
      </c>
      <c r="U477" s="40" t="s">
        <v>793</v>
      </c>
      <c r="V477" s="40" t="s">
        <v>4220</v>
      </c>
      <c r="W477" s="40" t="s">
        <v>321</v>
      </c>
    </row>
    <row r="478" spans="1:23" ht="12" x14ac:dyDescent="0.2">
      <c r="A478" s="39" t="s">
        <v>4221</v>
      </c>
      <c r="B478" s="40" t="s">
        <v>4222</v>
      </c>
      <c r="C478" s="40" t="s">
        <v>4223</v>
      </c>
      <c r="D478" s="41">
        <v>45945</v>
      </c>
      <c r="E478" s="41">
        <v>45975</v>
      </c>
      <c r="F478" s="41">
        <v>46091</v>
      </c>
      <c r="G478" s="42">
        <v>116</v>
      </c>
      <c r="H478" s="40" t="s">
        <v>536</v>
      </c>
      <c r="I478" s="39" t="s">
        <v>3651</v>
      </c>
      <c r="J478" s="43">
        <v>97143.67</v>
      </c>
      <c r="K478" s="43">
        <v>0</v>
      </c>
      <c r="L478" s="43">
        <v>97143.67</v>
      </c>
      <c r="M478" s="44">
        <v>0</v>
      </c>
      <c r="N478" s="44">
        <f t="shared" si="7"/>
        <v>8130.47</v>
      </c>
      <c r="O478" s="44">
        <v>8130.47</v>
      </c>
      <c r="P478" s="40" t="s">
        <v>4224</v>
      </c>
      <c r="Q478" s="40" t="s">
        <v>4225</v>
      </c>
      <c r="R478" s="40" t="s">
        <v>494</v>
      </c>
      <c r="S478" s="40" t="s">
        <v>495</v>
      </c>
      <c r="T478" s="40" t="s">
        <v>301</v>
      </c>
      <c r="U478" s="40" t="s">
        <v>4226</v>
      </c>
      <c r="V478" s="40" t="s">
        <v>4227</v>
      </c>
      <c r="W478" s="40" t="s">
        <v>4228</v>
      </c>
    </row>
    <row r="479" spans="1:23" ht="12" x14ac:dyDescent="0.2">
      <c r="A479" s="39" t="s">
        <v>4229</v>
      </c>
      <c r="B479" s="40" t="s">
        <v>4230</v>
      </c>
      <c r="C479" s="40" t="s">
        <v>4231</v>
      </c>
      <c r="D479" s="41">
        <v>45945</v>
      </c>
      <c r="E479" s="41">
        <v>45975</v>
      </c>
      <c r="F479" s="41">
        <v>46091</v>
      </c>
      <c r="G479" s="42">
        <v>116</v>
      </c>
      <c r="H479" s="40" t="s">
        <v>536</v>
      </c>
      <c r="I479" s="39" t="s">
        <v>320</v>
      </c>
      <c r="J479" s="43">
        <v>24000</v>
      </c>
      <c r="K479" s="43">
        <v>4000</v>
      </c>
      <c r="L479" s="43">
        <v>24000</v>
      </c>
      <c r="M479" s="44">
        <v>4000</v>
      </c>
      <c r="N479" s="44">
        <f t="shared" si="7"/>
        <v>20000</v>
      </c>
      <c r="O479" s="44">
        <v>24000</v>
      </c>
      <c r="P479" s="40" t="s">
        <v>4232</v>
      </c>
      <c r="Q479" s="40" t="s">
        <v>4233</v>
      </c>
      <c r="R479" s="40" t="s">
        <v>494</v>
      </c>
      <c r="S479" s="40" t="s">
        <v>502</v>
      </c>
      <c r="T479" s="40" t="s">
        <v>218</v>
      </c>
      <c r="U479" s="40" t="s">
        <v>4234</v>
      </c>
      <c r="V479" s="40" t="s">
        <v>4235</v>
      </c>
      <c r="W479" s="40" t="s">
        <v>4236</v>
      </c>
    </row>
    <row r="480" spans="1:23" ht="12" x14ac:dyDescent="0.2">
      <c r="A480" s="39" t="s">
        <v>4237</v>
      </c>
      <c r="B480" s="40" t="s">
        <v>4238</v>
      </c>
      <c r="C480" s="40" t="s">
        <v>4239</v>
      </c>
      <c r="D480" s="41">
        <v>45946</v>
      </c>
      <c r="E480" s="41">
        <v>45976</v>
      </c>
      <c r="F480" s="41">
        <v>46091</v>
      </c>
      <c r="G480" s="42">
        <v>115</v>
      </c>
      <c r="H480" s="40" t="s">
        <v>536</v>
      </c>
      <c r="I480" s="39" t="s">
        <v>323</v>
      </c>
      <c r="J480" s="43">
        <v>24258.62</v>
      </c>
      <c r="K480" s="43">
        <v>0</v>
      </c>
      <c r="L480" s="43">
        <v>24258.62</v>
      </c>
      <c r="M480" s="44">
        <v>0</v>
      </c>
      <c r="N480" s="44">
        <f t="shared" si="7"/>
        <v>16730.080000000002</v>
      </c>
      <c r="O480" s="44">
        <v>16730.080000000002</v>
      </c>
      <c r="P480" s="40" t="s">
        <v>4240</v>
      </c>
      <c r="Q480" s="40" t="s">
        <v>4241</v>
      </c>
      <c r="R480" s="40" t="s">
        <v>494</v>
      </c>
      <c r="S480" s="40" t="s">
        <v>502</v>
      </c>
      <c r="T480" s="40" t="s">
        <v>164</v>
      </c>
      <c r="U480" s="40" t="s">
        <v>4242</v>
      </c>
      <c r="V480" s="40" t="s">
        <v>4243</v>
      </c>
      <c r="W480" s="40"/>
    </row>
    <row r="481" spans="1:23" ht="12" x14ac:dyDescent="0.2">
      <c r="A481" s="39" t="s">
        <v>374</v>
      </c>
      <c r="B481" s="40" t="s">
        <v>373</v>
      </c>
      <c r="C481" s="40" t="s">
        <v>4244</v>
      </c>
      <c r="D481" s="41">
        <v>45950</v>
      </c>
      <c r="E481" s="41">
        <v>45980</v>
      </c>
      <c r="F481" s="41">
        <v>46091</v>
      </c>
      <c r="G481" s="42">
        <v>111</v>
      </c>
      <c r="H481" s="40" t="s">
        <v>536</v>
      </c>
      <c r="I481" s="39" t="s">
        <v>320</v>
      </c>
      <c r="J481" s="43">
        <v>5145.03</v>
      </c>
      <c r="K481" s="43">
        <v>0</v>
      </c>
      <c r="L481" s="43">
        <v>5145.03</v>
      </c>
      <c r="M481" s="44">
        <v>0</v>
      </c>
      <c r="N481" s="44">
        <f t="shared" si="7"/>
        <v>5145.03</v>
      </c>
      <c r="O481" s="44">
        <v>5145.03</v>
      </c>
      <c r="P481" s="40" t="s">
        <v>2732</v>
      </c>
      <c r="Q481" s="40" t="s">
        <v>2733</v>
      </c>
      <c r="R481" s="40" t="s">
        <v>494</v>
      </c>
      <c r="S481" s="40" t="s">
        <v>502</v>
      </c>
      <c r="T481" s="40" t="s">
        <v>191</v>
      </c>
      <c r="U481" s="40" t="s">
        <v>692</v>
      </c>
      <c r="V481" s="40" t="s">
        <v>4245</v>
      </c>
      <c r="W481" s="40" t="s">
        <v>2734</v>
      </c>
    </row>
    <row r="482" spans="1:23" ht="12" x14ac:dyDescent="0.2">
      <c r="A482" s="39" t="s">
        <v>347</v>
      </c>
      <c r="B482" s="40" t="s">
        <v>346</v>
      </c>
      <c r="C482" s="40" t="s">
        <v>4246</v>
      </c>
      <c r="D482" s="41">
        <v>45950</v>
      </c>
      <c r="E482" s="41">
        <v>45980</v>
      </c>
      <c r="F482" s="41">
        <v>46091</v>
      </c>
      <c r="G482" s="42">
        <v>111</v>
      </c>
      <c r="H482" s="40" t="s">
        <v>536</v>
      </c>
      <c r="I482" s="39" t="s">
        <v>323</v>
      </c>
      <c r="J482" s="43">
        <v>165127.56</v>
      </c>
      <c r="K482" s="43">
        <v>0</v>
      </c>
      <c r="L482" s="43">
        <v>165127.56</v>
      </c>
      <c r="M482" s="44">
        <v>0</v>
      </c>
      <c r="N482" s="44">
        <f t="shared" si="7"/>
        <v>122316.71</v>
      </c>
      <c r="O482" s="44">
        <v>122316.71</v>
      </c>
      <c r="P482" s="40" t="s">
        <v>3013</v>
      </c>
      <c r="Q482" s="40" t="s">
        <v>3014</v>
      </c>
      <c r="R482" s="40" t="s">
        <v>494</v>
      </c>
      <c r="S482" s="40" t="s">
        <v>495</v>
      </c>
      <c r="T482" s="40" t="s">
        <v>178</v>
      </c>
      <c r="U482" s="40" t="s">
        <v>1865</v>
      </c>
      <c r="V482" s="40" t="s">
        <v>4247</v>
      </c>
      <c r="W482" s="40" t="s">
        <v>3015</v>
      </c>
    </row>
    <row r="483" spans="1:23" ht="12" x14ac:dyDescent="0.2">
      <c r="A483" s="39" t="s">
        <v>16</v>
      </c>
      <c r="B483" s="40" t="s">
        <v>414</v>
      </c>
      <c r="C483" s="40" t="s">
        <v>4248</v>
      </c>
      <c r="D483" s="41">
        <v>45950</v>
      </c>
      <c r="E483" s="41">
        <v>45980</v>
      </c>
      <c r="F483" s="41">
        <v>46091</v>
      </c>
      <c r="G483" s="42">
        <v>111</v>
      </c>
      <c r="H483" s="40" t="s">
        <v>536</v>
      </c>
      <c r="I483" s="39" t="s">
        <v>320</v>
      </c>
      <c r="J483" s="43">
        <v>34360.400000000001</v>
      </c>
      <c r="K483" s="43">
        <v>0</v>
      </c>
      <c r="L483" s="43">
        <v>34360.400000000001</v>
      </c>
      <c r="M483" s="44">
        <v>0</v>
      </c>
      <c r="N483" s="44">
        <f t="shared" si="7"/>
        <v>34360.400000000001</v>
      </c>
      <c r="O483" s="44">
        <v>34360.400000000001</v>
      </c>
      <c r="P483" s="40" t="s">
        <v>3344</v>
      </c>
      <c r="Q483" s="40" t="s">
        <v>3345</v>
      </c>
      <c r="R483" s="40" t="s">
        <v>494</v>
      </c>
      <c r="S483" s="40" t="s">
        <v>502</v>
      </c>
      <c r="T483" s="40" t="s">
        <v>198</v>
      </c>
      <c r="U483" s="40" t="s">
        <v>627</v>
      </c>
      <c r="V483" s="40" t="s">
        <v>4249</v>
      </c>
      <c r="W483" s="40" t="s">
        <v>3052</v>
      </c>
    </row>
    <row r="484" spans="1:23" ht="12" x14ac:dyDescent="0.2">
      <c r="A484" s="39" t="s">
        <v>299</v>
      </c>
      <c r="B484" s="40" t="s">
        <v>3876</v>
      </c>
      <c r="C484" s="40" t="s">
        <v>4250</v>
      </c>
      <c r="D484" s="41">
        <v>45951</v>
      </c>
      <c r="E484" s="41">
        <v>45981</v>
      </c>
      <c r="F484" s="41">
        <v>46091</v>
      </c>
      <c r="G484" s="42">
        <v>110</v>
      </c>
      <c r="H484" s="40" t="s">
        <v>536</v>
      </c>
      <c r="I484" s="39" t="s">
        <v>320</v>
      </c>
      <c r="J484" s="43">
        <v>17365.75</v>
      </c>
      <c r="K484" s="43">
        <v>0</v>
      </c>
      <c r="L484" s="43">
        <v>17365.75</v>
      </c>
      <c r="M484" s="44">
        <v>0</v>
      </c>
      <c r="N484" s="44">
        <f t="shared" si="7"/>
        <v>17365.75</v>
      </c>
      <c r="O484" s="44">
        <v>17365.75</v>
      </c>
      <c r="P484" s="40" t="s">
        <v>4251</v>
      </c>
      <c r="Q484" s="40" t="s">
        <v>4252</v>
      </c>
      <c r="R484" s="40" t="s">
        <v>494</v>
      </c>
      <c r="S484" s="40" t="s">
        <v>502</v>
      </c>
      <c r="T484" s="40" t="s">
        <v>169</v>
      </c>
      <c r="U484" s="40" t="s">
        <v>4253</v>
      </c>
      <c r="V484" s="40"/>
      <c r="W484" s="40" t="s">
        <v>322</v>
      </c>
    </row>
    <row r="485" spans="1:23" ht="12" x14ac:dyDescent="0.2">
      <c r="A485" s="39" t="s">
        <v>16</v>
      </c>
      <c r="B485" s="40" t="s">
        <v>414</v>
      </c>
      <c r="C485" s="40" t="s">
        <v>4254</v>
      </c>
      <c r="D485" s="41">
        <v>45952</v>
      </c>
      <c r="E485" s="41">
        <v>45982</v>
      </c>
      <c r="F485" s="41">
        <v>46091</v>
      </c>
      <c r="G485" s="42">
        <v>109</v>
      </c>
      <c r="H485" s="40" t="s">
        <v>536</v>
      </c>
      <c r="I485" s="39" t="s">
        <v>320</v>
      </c>
      <c r="J485" s="43">
        <v>56467.89</v>
      </c>
      <c r="K485" s="43">
        <v>0</v>
      </c>
      <c r="L485" s="43">
        <v>56467.89</v>
      </c>
      <c r="M485" s="44">
        <v>0</v>
      </c>
      <c r="N485" s="44">
        <f t="shared" si="7"/>
        <v>56467.89</v>
      </c>
      <c r="O485" s="44">
        <v>56467.89</v>
      </c>
      <c r="P485" s="40" t="s">
        <v>1133</v>
      </c>
      <c r="Q485" s="40" t="s">
        <v>1134</v>
      </c>
      <c r="R485" s="40" t="s">
        <v>494</v>
      </c>
      <c r="S485" s="40" t="s">
        <v>502</v>
      </c>
      <c r="T485" s="40" t="s">
        <v>362</v>
      </c>
      <c r="U485" s="40" t="s">
        <v>648</v>
      </c>
      <c r="V485" s="40" t="s">
        <v>4255</v>
      </c>
      <c r="W485" s="40" t="s">
        <v>1135</v>
      </c>
    </row>
    <row r="486" spans="1:23" ht="12" x14ac:dyDescent="0.2">
      <c r="A486" s="39" t="s">
        <v>16</v>
      </c>
      <c r="B486" s="40" t="s">
        <v>414</v>
      </c>
      <c r="C486" s="40" t="s">
        <v>4256</v>
      </c>
      <c r="D486" s="41">
        <v>45952</v>
      </c>
      <c r="E486" s="41">
        <v>45982</v>
      </c>
      <c r="F486" s="41">
        <v>46091</v>
      </c>
      <c r="G486" s="42">
        <v>109</v>
      </c>
      <c r="H486" s="40" t="s">
        <v>536</v>
      </c>
      <c r="I486" s="39" t="s">
        <v>320</v>
      </c>
      <c r="J486" s="43">
        <v>56568.82</v>
      </c>
      <c r="K486" s="43">
        <v>0</v>
      </c>
      <c r="L486" s="43">
        <v>56568.82</v>
      </c>
      <c r="M486" s="44">
        <v>0</v>
      </c>
      <c r="N486" s="44">
        <f t="shared" si="7"/>
        <v>56568.82</v>
      </c>
      <c r="O486" s="44">
        <v>56568.82</v>
      </c>
      <c r="P486" s="40" t="s">
        <v>3030</v>
      </c>
      <c r="Q486" s="40" t="s">
        <v>3031</v>
      </c>
      <c r="R486" s="40" t="s">
        <v>494</v>
      </c>
      <c r="S486" s="40" t="s">
        <v>502</v>
      </c>
      <c r="T486" s="40" t="s">
        <v>280</v>
      </c>
      <c r="U486" s="40" t="s">
        <v>1145</v>
      </c>
      <c r="V486" s="40" t="s">
        <v>4257</v>
      </c>
      <c r="W486" s="40"/>
    </row>
    <row r="487" spans="1:23" ht="12" x14ac:dyDescent="0.2">
      <c r="A487" s="39" t="s">
        <v>2178</v>
      </c>
      <c r="B487" s="40" t="s">
        <v>2179</v>
      </c>
      <c r="C487" s="40" t="s">
        <v>4258</v>
      </c>
      <c r="D487" s="41">
        <v>45952</v>
      </c>
      <c r="E487" s="41">
        <v>45982</v>
      </c>
      <c r="F487" s="41">
        <v>46091</v>
      </c>
      <c r="G487" s="42">
        <v>109</v>
      </c>
      <c r="H487" s="40" t="s">
        <v>536</v>
      </c>
      <c r="I487" s="39" t="s">
        <v>320</v>
      </c>
      <c r="J487" s="43">
        <v>12994.52</v>
      </c>
      <c r="K487" s="43">
        <v>0</v>
      </c>
      <c r="L487" s="43">
        <v>-12994.52</v>
      </c>
      <c r="M487" s="44">
        <v>0</v>
      </c>
      <c r="N487" s="44">
        <f t="shared" si="7"/>
        <v>-12994.52</v>
      </c>
      <c r="O487" s="44">
        <v>-12994.52</v>
      </c>
      <c r="P487" s="40" t="s">
        <v>2562</v>
      </c>
      <c r="Q487" s="40" t="s">
        <v>2563</v>
      </c>
      <c r="R487" s="40" t="s">
        <v>494</v>
      </c>
      <c r="S487" s="40" t="s">
        <v>502</v>
      </c>
      <c r="T487" s="40" t="s">
        <v>534</v>
      </c>
      <c r="U487" s="40" t="s">
        <v>2564</v>
      </c>
      <c r="V487" s="40"/>
      <c r="W487" s="40" t="s">
        <v>2565</v>
      </c>
    </row>
    <row r="488" spans="1:23" ht="12" x14ac:dyDescent="0.2">
      <c r="A488" s="39" t="s">
        <v>2178</v>
      </c>
      <c r="B488" s="40" t="s">
        <v>2179</v>
      </c>
      <c r="C488" s="40" t="s">
        <v>4259</v>
      </c>
      <c r="D488" s="41">
        <v>45952</v>
      </c>
      <c r="E488" s="41">
        <v>45982</v>
      </c>
      <c r="F488" s="41">
        <v>46091</v>
      </c>
      <c r="G488" s="42">
        <v>109</v>
      </c>
      <c r="H488" s="40" t="s">
        <v>536</v>
      </c>
      <c r="I488" s="39" t="s">
        <v>320</v>
      </c>
      <c r="J488" s="43">
        <v>57789.31</v>
      </c>
      <c r="K488" s="43">
        <v>0</v>
      </c>
      <c r="L488" s="43">
        <v>57789.31</v>
      </c>
      <c r="M488" s="44">
        <v>0</v>
      </c>
      <c r="N488" s="44">
        <f t="shared" si="7"/>
        <v>57789.31</v>
      </c>
      <c r="O488" s="44">
        <v>57789.31</v>
      </c>
      <c r="P488" s="40" t="s">
        <v>2377</v>
      </c>
      <c r="Q488" s="40" t="s">
        <v>2378</v>
      </c>
      <c r="R488" s="40" t="s">
        <v>494</v>
      </c>
      <c r="S488" s="40" t="s">
        <v>502</v>
      </c>
      <c r="T488" s="40" t="s">
        <v>362</v>
      </c>
      <c r="U488" s="40" t="s">
        <v>832</v>
      </c>
      <c r="V488" s="40"/>
      <c r="W488" s="40" t="s">
        <v>2379</v>
      </c>
    </row>
    <row r="489" spans="1:23" ht="12" x14ac:dyDescent="0.2">
      <c r="A489" s="39" t="s">
        <v>337</v>
      </c>
      <c r="B489" s="40" t="s">
        <v>336</v>
      </c>
      <c r="C489" s="40" t="s">
        <v>4260</v>
      </c>
      <c r="D489" s="41">
        <v>45952</v>
      </c>
      <c r="E489" s="41">
        <v>45982</v>
      </c>
      <c r="F489" s="41">
        <v>46091</v>
      </c>
      <c r="G489" s="42">
        <v>109</v>
      </c>
      <c r="H489" s="40" t="s">
        <v>536</v>
      </c>
      <c r="I489" s="39" t="s">
        <v>320</v>
      </c>
      <c r="J489" s="43">
        <v>1695841.75</v>
      </c>
      <c r="K489" s="43">
        <v>0</v>
      </c>
      <c r="L489" s="43">
        <v>1695841.75</v>
      </c>
      <c r="M489" s="44">
        <v>0</v>
      </c>
      <c r="N489" s="44">
        <f t="shared" si="7"/>
        <v>1695841.75</v>
      </c>
      <c r="O489" s="44">
        <v>1695841.75</v>
      </c>
      <c r="P489" s="40" t="s">
        <v>4261</v>
      </c>
      <c r="Q489" s="40" t="s">
        <v>4262</v>
      </c>
      <c r="R489" s="40" t="s">
        <v>494</v>
      </c>
      <c r="S489" s="40" t="s">
        <v>502</v>
      </c>
      <c r="T489" s="40" t="s">
        <v>289</v>
      </c>
      <c r="U489" s="40" t="s">
        <v>554</v>
      </c>
      <c r="V489" s="40" t="s">
        <v>4263</v>
      </c>
      <c r="W489" s="40" t="s">
        <v>4264</v>
      </c>
    </row>
    <row r="490" spans="1:23" ht="12" x14ac:dyDescent="0.2">
      <c r="A490" s="39" t="s">
        <v>2178</v>
      </c>
      <c r="B490" s="40" t="s">
        <v>2179</v>
      </c>
      <c r="C490" s="40" t="s">
        <v>4265</v>
      </c>
      <c r="D490" s="41">
        <v>45952</v>
      </c>
      <c r="E490" s="41">
        <v>45982</v>
      </c>
      <c r="F490" s="41">
        <v>46091</v>
      </c>
      <c r="G490" s="42">
        <v>109</v>
      </c>
      <c r="H490" s="40" t="s">
        <v>536</v>
      </c>
      <c r="I490" s="39" t="s">
        <v>320</v>
      </c>
      <c r="J490" s="43">
        <v>57789.31</v>
      </c>
      <c r="K490" s="43">
        <v>0</v>
      </c>
      <c r="L490" s="43">
        <v>985.01</v>
      </c>
      <c r="M490" s="44">
        <v>0</v>
      </c>
      <c r="N490" s="44">
        <f t="shared" si="7"/>
        <v>985.01</v>
      </c>
      <c r="O490" s="44">
        <v>985.01</v>
      </c>
      <c r="P490" s="40" t="s">
        <v>2377</v>
      </c>
      <c r="Q490" s="40" t="s">
        <v>2378</v>
      </c>
      <c r="R490" s="40" t="s">
        <v>494</v>
      </c>
      <c r="S490" s="40" t="s">
        <v>502</v>
      </c>
      <c r="T490" s="40" t="s">
        <v>362</v>
      </c>
      <c r="U490" s="40" t="s">
        <v>832</v>
      </c>
      <c r="V490" s="40"/>
      <c r="W490" s="40" t="s">
        <v>2379</v>
      </c>
    </row>
    <row r="491" spans="1:23" ht="12" x14ac:dyDescent="0.2">
      <c r="A491" s="39" t="s">
        <v>469</v>
      </c>
      <c r="B491" s="40" t="s">
        <v>468</v>
      </c>
      <c r="C491" s="40" t="s">
        <v>4266</v>
      </c>
      <c r="D491" s="41">
        <v>45952</v>
      </c>
      <c r="E491" s="41">
        <v>45982</v>
      </c>
      <c r="F491" s="41">
        <v>46091</v>
      </c>
      <c r="G491" s="42">
        <v>109</v>
      </c>
      <c r="H491" s="40" t="s">
        <v>536</v>
      </c>
      <c r="I491" s="39" t="s">
        <v>320</v>
      </c>
      <c r="J491" s="43">
        <v>5330.03</v>
      </c>
      <c r="K491" s="43">
        <v>0</v>
      </c>
      <c r="L491" s="43">
        <v>5330.03</v>
      </c>
      <c r="M491" s="44">
        <v>0</v>
      </c>
      <c r="N491" s="44">
        <f t="shared" si="7"/>
        <v>5330.03</v>
      </c>
      <c r="O491" s="44">
        <v>5330.03</v>
      </c>
      <c r="P491" s="40" t="s">
        <v>804</v>
      </c>
      <c r="Q491" s="40" t="s">
        <v>805</v>
      </c>
      <c r="R491" s="40" t="s">
        <v>494</v>
      </c>
      <c r="S491" s="40" t="s">
        <v>502</v>
      </c>
      <c r="T491" s="40" t="s">
        <v>280</v>
      </c>
      <c r="U491" s="40" t="s">
        <v>559</v>
      </c>
      <c r="V491" s="40" t="s">
        <v>4267</v>
      </c>
      <c r="W491" s="40" t="s">
        <v>806</v>
      </c>
    </row>
    <row r="492" spans="1:23" ht="12" x14ac:dyDescent="0.2">
      <c r="A492" s="39" t="s">
        <v>1136</v>
      </c>
      <c r="B492" s="40" t="s">
        <v>1137</v>
      </c>
      <c r="C492" s="40" t="s">
        <v>4268</v>
      </c>
      <c r="D492" s="41">
        <v>45953</v>
      </c>
      <c r="E492" s="41">
        <v>45983</v>
      </c>
      <c r="F492" s="41">
        <v>46091</v>
      </c>
      <c r="G492" s="42">
        <v>108</v>
      </c>
      <c r="H492" s="40" t="s">
        <v>536</v>
      </c>
      <c r="I492" s="39" t="s">
        <v>320</v>
      </c>
      <c r="J492" s="43">
        <v>44136.3</v>
      </c>
      <c r="K492" s="43">
        <v>0</v>
      </c>
      <c r="L492" s="43">
        <v>44136.3</v>
      </c>
      <c r="M492" s="44">
        <v>0</v>
      </c>
      <c r="N492" s="44">
        <f t="shared" si="7"/>
        <v>44136.3</v>
      </c>
      <c r="O492" s="44">
        <v>44136.3</v>
      </c>
      <c r="P492" s="40" t="s">
        <v>4269</v>
      </c>
      <c r="Q492" s="40" t="s">
        <v>4270</v>
      </c>
      <c r="R492" s="40" t="s">
        <v>494</v>
      </c>
      <c r="S492" s="40" t="s">
        <v>502</v>
      </c>
      <c r="T492" s="40" t="s">
        <v>280</v>
      </c>
      <c r="U492" s="40" t="s">
        <v>4271</v>
      </c>
      <c r="V492" s="40" t="s">
        <v>4272</v>
      </c>
      <c r="W492" s="40" t="s">
        <v>4273</v>
      </c>
    </row>
    <row r="493" spans="1:23" ht="12" x14ac:dyDescent="0.2">
      <c r="A493" s="39" t="s">
        <v>357</v>
      </c>
      <c r="B493" s="40" t="s">
        <v>356</v>
      </c>
      <c r="C493" s="40" t="s">
        <v>4274</v>
      </c>
      <c r="D493" s="41">
        <v>45953</v>
      </c>
      <c r="E493" s="41">
        <v>45983</v>
      </c>
      <c r="F493" s="41">
        <v>46091</v>
      </c>
      <c r="G493" s="42">
        <v>108</v>
      </c>
      <c r="H493" s="40" t="s">
        <v>536</v>
      </c>
      <c r="I493" s="39" t="s">
        <v>341</v>
      </c>
      <c r="J493" s="43">
        <v>6730</v>
      </c>
      <c r="K493" s="43">
        <v>0</v>
      </c>
      <c r="L493" s="43">
        <v>6730</v>
      </c>
      <c r="M493" s="44">
        <v>0</v>
      </c>
      <c r="N493" s="44">
        <f t="shared" si="7"/>
        <v>5384</v>
      </c>
      <c r="O493" s="44">
        <v>5384</v>
      </c>
      <c r="P493" s="40" t="s">
        <v>4275</v>
      </c>
      <c r="Q493" s="40" t="s">
        <v>4276</v>
      </c>
      <c r="R493" s="40" t="s">
        <v>494</v>
      </c>
      <c r="S493" s="40" t="s">
        <v>495</v>
      </c>
      <c r="T493" s="40" t="s">
        <v>769</v>
      </c>
      <c r="U493" s="40" t="s">
        <v>4277</v>
      </c>
      <c r="V493" s="40" t="s">
        <v>4278</v>
      </c>
      <c r="W493" s="40" t="s">
        <v>4279</v>
      </c>
    </row>
    <row r="494" spans="1:23" ht="12" x14ac:dyDescent="0.2">
      <c r="A494" s="39" t="s">
        <v>357</v>
      </c>
      <c r="B494" s="40" t="s">
        <v>356</v>
      </c>
      <c r="C494" s="40" t="s">
        <v>4280</v>
      </c>
      <c r="D494" s="41">
        <v>45954</v>
      </c>
      <c r="E494" s="41">
        <v>45984</v>
      </c>
      <c r="F494" s="41">
        <v>46091</v>
      </c>
      <c r="G494" s="42">
        <v>107</v>
      </c>
      <c r="H494" s="40" t="s">
        <v>536</v>
      </c>
      <c r="I494" s="39" t="s">
        <v>341</v>
      </c>
      <c r="J494" s="43">
        <v>184674.99</v>
      </c>
      <c r="K494" s="43">
        <v>0</v>
      </c>
      <c r="L494" s="43">
        <v>42175.39</v>
      </c>
      <c r="M494" s="44">
        <v>0</v>
      </c>
      <c r="N494" s="44">
        <f t="shared" si="7"/>
        <v>36010.410000000003</v>
      </c>
      <c r="O494" s="44">
        <v>36010.410000000003</v>
      </c>
      <c r="P494" s="40" t="s">
        <v>4281</v>
      </c>
      <c r="Q494" s="40" t="s">
        <v>4282</v>
      </c>
      <c r="R494" s="40" t="s">
        <v>494</v>
      </c>
      <c r="S494" s="40" t="s">
        <v>495</v>
      </c>
      <c r="T494" s="40" t="s">
        <v>218</v>
      </c>
      <c r="U494" s="40" t="s">
        <v>2543</v>
      </c>
      <c r="V494" s="40" t="s">
        <v>3791</v>
      </c>
      <c r="W494" s="40" t="s">
        <v>4283</v>
      </c>
    </row>
    <row r="495" spans="1:23" ht="12" x14ac:dyDescent="0.2">
      <c r="A495" s="39" t="s">
        <v>1136</v>
      </c>
      <c r="B495" s="40" t="s">
        <v>1137</v>
      </c>
      <c r="C495" s="40" t="s">
        <v>4284</v>
      </c>
      <c r="D495" s="41">
        <v>45957</v>
      </c>
      <c r="E495" s="41">
        <v>45987</v>
      </c>
      <c r="F495" s="41">
        <v>46091</v>
      </c>
      <c r="G495" s="42">
        <v>104</v>
      </c>
      <c r="H495" s="40" t="s">
        <v>536</v>
      </c>
      <c r="I495" s="39" t="s">
        <v>320</v>
      </c>
      <c r="J495" s="43">
        <v>40315.07</v>
      </c>
      <c r="K495" s="43">
        <v>0</v>
      </c>
      <c r="L495" s="43">
        <v>40315.07</v>
      </c>
      <c r="M495" s="44">
        <v>0</v>
      </c>
      <c r="N495" s="44">
        <f t="shared" si="7"/>
        <v>40315.07</v>
      </c>
      <c r="O495" s="44">
        <v>40315.07</v>
      </c>
      <c r="P495" s="40" t="s">
        <v>3099</v>
      </c>
      <c r="Q495" s="40" t="s">
        <v>3100</v>
      </c>
      <c r="R495" s="40" t="s">
        <v>494</v>
      </c>
      <c r="S495" s="40" t="s">
        <v>502</v>
      </c>
      <c r="T495" s="40" t="s">
        <v>280</v>
      </c>
      <c r="U495" s="40" t="s">
        <v>1427</v>
      </c>
      <c r="V495" s="40" t="s">
        <v>4285</v>
      </c>
      <c r="W495" s="40" t="s">
        <v>3101</v>
      </c>
    </row>
    <row r="496" spans="1:23" ht="12" x14ac:dyDescent="0.2">
      <c r="A496" s="39" t="s">
        <v>2185</v>
      </c>
      <c r="B496" s="40" t="s">
        <v>2186</v>
      </c>
      <c r="C496" s="40" t="s">
        <v>4286</v>
      </c>
      <c r="D496" s="41">
        <v>45957</v>
      </c>
      <c r="E496" s="41">
        <v>45987</v>
      </c>
      <c r="F496" s="41">
        <v>46091</v>
      </c>
      <c r="G496" s="42">
        <v>104</v>
      </c>
      <c r="H496" s="40" t="s">
        <v>536</v>
      </c>
      <c r="I496" s="39" t="s">
        <v>320</v>
      </c>
      <c r="J496" s="43">
        <v>15094.11</v>
      </c>
      <c r="K496" s="43">
        <v>0</v>
      </c>
      <c r="L496" s="43">
        <v>15094.11</v>
      </c>
      <c r="M496" s="44">
        <v>0</v>
      </c>
      <c r="N496" s="44">
        <f t="shared" si="7"/>
        <v>15094.11</v>
      </c>
      <c r="O496" s="44">
        <v>15094.11</v>
      </c>
      <c r="P496" s="40" t="s">
        <v>4287</v>
      </c>
      <c r="Q496" s="40" t="s">
        <v>4288</v>
      </c>
      <c r="R496" s="40" t="s">
        <v>494</v>
      </c>
      <c r="S496" s="40" t="s">
        <v>502</v>
      </c>
      <c r="T496" s="40" t="s">
        <v>191</v>
      </c>
      <c r="U496" s="40" t="s">
        <v>578</v>
      </c>
      <c r="V496" s="40" t="s">
        <v>4289</v>
      </c>
      <c r="W496" s="40"/>
    </row>
    <row r="497" spans="1:23" ht="12" x14ac:dyDescent="0.2">
      <c r="A497" s="39" t="s">
        <v>16</v>
      </c>
      <c r="B497" s="40" t="s">
        <v>414</v>
      </c>
      <c r="C497" s="40" t="s">
        <v>4290</v>
      </c>
      <c r="D497" s="41">
        <v>45958</v>
      </c>
      <c r="E497" s="41">
        <v>45988</v>
      </c>
      <c r="F497" s="41">
        <v>46091</v>
      </c>
      <c r="G497" s="42">
        <v>103</v>
      </c>
      <c r="H497" s="40" t="s">
        <v>536</v>
      </c>
      <c r="I497" s="39" t="s">
        <v>320</v>
      </c>
      <c r="J497" s="43">
        <v>135929.79</v>
      </c>
      <c r="K497" s="43">
        <v>0</v>
      </c>
      <c r="L497" s="43">
        <v>135929.79</v>
      </c>
      <c r="M497" s="44">
        <v>0</v>
      </c>
      <c r="N497" s="44">
        <f t="shared" si="7"/>
        <v>135929.79</v>
      </c>
      <c r="O497" s="44">
        <v>135929.79</v>
      </c>
      <c r="P497" s="40" t="s">
        <v>3049</v>
      </c>
      <c r="Q497" s="40" t="s">
        <v>3050</v>
      </c>
      <c r="R497" s="40" t="s">
        <v>494</v>
      </c>
      <c r="S497" s="40" t="s">
        <v>502</v>
      </c>
      <c r="T497" s="40" t="s">
        <v>512</v>
      </c>
      <c r="U497" s="40" t="s">
        <v>3051</v>
      </c>
      <c r="V497" s="40" t="s">
        <v>4291</v>
      </c>
      <c r="W497" s="40" t="s">
        <v>3052</v>
      </c>
    </row>
    <row r="498" spans="1:23" ht="12" x14ac:dyDescent="0.2">
      <c r="A498" s="39" t="s">
        <v>23</v>
      </c>
      <c r="B498" s="40" t="s">
        <v>370</v>
      </c>
      <c r="C498" s="40" t="s">
        <v>4292</v>
      </c>
      <c r="D498" s="41">
        <v>45958</v>
      </c>
      <c r="E498" s="41">
        <v>45988</v>
      </c>
      <c r="F498" s="41">
        <v>46091</v>
      </c>
      <c r="G498" s="42">
        <v>103</v>
      </c>
      <c r="H498" s="40" t="s">
        <v>536</v>
      </c>
      <c r="I498" s="39" t="s">
        <v>320</v>
      </c>
      <c r="J498" s="43">
        <v>3802.9</v>
      </c>
      <c r="K498" s="43">
        <v>0</v>
      </c>
      <c r="L498" s="43">
        <v>3802.9</v>
      </c>
      <c r="M498" s="44">
        <v>0</v>
      </c>
      <c r="N498" s="44">
        <f t="shared" si="7"/>
        <v>3802.9</v>
      </c>
      <c r="O498" s="44">
        <v>3802.9</v>
      </c>
      <c r="P498" s="40" t="s">
        <v>4293</v>
      </c>
      <c r="Q498" s="40" t="s">
        <v>4294</v>
      </c>
      <c r="R498" s="40" t="s">
        <v>494</v>
      </c>
      <c r="S498" s="40" t="s">
        <v>502</v>
      </c>
      <c r="T498" s="40" t="s">
        <v>280</v>
      </c>
      <c r="U498" s="40" t="s">
        <v>4295</v>
      </c>
      <c r="V498" s="40" t="s">
        <v>4296</v>
      </c>
      <c r="W498" s="40" t="s">
        <v>4297</v>
      </c>
    </row>
    <row r="499" spans="1:23" ht="12" x14ac:dyDescent="0.2">
      <c r="A499" s="39" t="s">
        <v>444</v>
      </c>
      <c r="B499" s="40" t="s">
        <v>443</v>
      </c>
      <c r="C499" s="40" t="s">
        <v>4298</v>
      </c>
      <c r="D499" s="41">
        <v>45958</v>
      </c>
      <c r="E499" s="41">
        <v>45988</v>
      </c>
      <c r="F499" s="41">
        <v>46091</v>
      </c>
      <c r="G499" s="42">
        <v>103</v>
      </c>
      <c r="H499" s="40" t="s">
        <v>536</v>
      </c>
      <c r="I499" s="39" t="s">
        <v>320</v>
      </c>
      <c r="J499" s="43">
        <v>74057.8</v>
      </c>
      <c r="K499" s="43">
        <v>0</v>
      </c>
      <c r="L499" s="43">
        <v>74057.8</v>
      </c>
      <c r="M499" s="44">
        <v>0</v>
      </c>
      <c r="N499" s="44">
        <f t="shared" si="7"/>
        <v>74057.8</v>
      </c>
      <c r="O499" s="44">
        <v>74057.8</v>
      </c>
      <c r="P499" s="40" t="s">
        <v>4299</v>
      </c>
      <c r="Q499" s="40" t="s">
        <v>4300</v>
      </c>
      <c r="R499" s="40" t="s">
        <v>494</v>
      </c>
      <c r="S499" s="40" t="s">
        <v>502</v>
      </c>
      <c r="T499" s="40" t="s">
        <v>513</v>
      </c>
      <c r="U499" s="40" t="s">
        <v>4301</v>
      </c>
      <c r="V499" s="40"/>
      <c r="W499" s="40" t="s">
        <v>4302</v>
      </c>
    </row>
    <row r="500" spans="1:23" ht="12" x14ac:dyDescent="0.2">
      <c r="A500" s="39" t="s">
        <v>41</v>
      </c>
      <c r="B500" s="40" t="s">
        <v>459</v>
      </c>
      <c r="C500" s="40" t="s">
        <v>4303</v>
      </c>
      <c r="D500" s="41">
        <v>45958</v>
      </c>
      <c r="E500" s="41">
        <v>45988</v>
      </c>
      <c r="F500" s="41">
        <v>46091</v>
      </c>
      <c r="G500" s="42">
        <v>103</v>
      </c>
      <c r="H500" s="40" t="s">
        <v>536</v>
      </c>
      <c r="I500" s="39" t="s">
        <v>320</v>
      </c>
      <c r="J500" s="43">
        <v>3989.23</v>
      </c>
      <c r="K500" s="43">
        <v>0</v>
      </c>
      <c r="L500" s="43">
        <v>3989.23</v>
      </c>
      <c r="M500" s="44">
        <v>0</v>
      </c>
      <c r="N500" s="44">
        <f t="shared" si="7"/>
        <v>3989.23</v>
      </c>
      <c r="O500" s="44">
        <v>3989.23</v>
      </c>
      <c r="P500" s="40" t="s">
        <v>2684</v>
      </c>
      <c r="Q500" s="40" t="s">
        <v>2685</v>
      </c>
      <c r="R500" s="40" t="s">
        <v>494</v>
      </c>
      <c r="S500" s="40" t="s">
        <v>502</v>
      </c>
      <c r="T500" s="40" t="s">
        <v>280</v>
      </c>
      <c r="U500" s="40" t="s">
        <v>753</v>
      </c>
      <c r="V500" s="40" t="s">
        <v>3954</v>
      </c>
      <c r="W500" s="40" t="s">
        <v>2686</v>
      </c>
    </row>
    <row r="501" spans="1:23" ht="12" x14ac:dyDescent="0.2">
      <c r="A501" s="39" t="s">
        <v>444</v>
      </c>
      <c r="B501" s="40" t="s">
        <v>443</v>
      </c>
      <c r="C501" s="40" t="s">
        <v>4304</v>
      </c>
      <c r="D501" s="41">
        <v>45958</v>
      </c>
      <c r="E501" s="41">
        <v>45988</v>
      </c>
      <c r="F501" s="41">
        <v>46091</v>
      </c>
      <c r="G501" s="42">
        <v>103</v>
      </c>
      <c r="H501" s="40" t="s">
        <v>536</v>
      </c>
      <c r="I501" s="39" t="s">
        <v>320</v>
      </c>
      <c r="J501" s="43">
        <v>-460464.83</v>
      </c>
      <c r="K501" s="43">
        <v>0</v>
      </c>
      <c r="L501" s="43">
        <v>-460464.83</v>
      </c>
      <c r="M501" s="44">
        <v>0</v>
      </c>
      <c r="N501" s="44">
        <f t="shared" si="7"/>
        <v>-460464.83</v>
      </c>
      <c r="O501" s="44">
        <v>-460464.83</v>
      </c>
      <c r="P501" s="40" t="s">
        <v>3251</v>
      </c>
      <c r="Q501" s="40" t="s">
        <v>3252</v>
      </c>
      <c r="R501" s="40" t="s">
        <v>494</v>
      </c>
      <c r="S501" s="40" t="s">
        <v>495</v>
      </c>
      <c r="T501" s="40" t="s">
        <v>3253</v>
      </c>
      <c r="U501" s="40" t="s">
        <v>3254</v>
      </c>
      <c r="V501" s="40"/>
      <c r="W501" s="40" t="s">
        <v>3255</v>
      </c>
    </row>
    <row r="502" spans="1:23" ht="12" x14ac:dyDescent="0.2">
      <c r="A502" s="39" t="s">
        <v>444</v>
      </c>
      <c r="B502" s="40" t="s">
        <v>443</v>
      </c>
      <c r="C502" s="40" t="s">
        <v>4305</v>
      </c>
      <c r="D502" s="41">
        <v>45958</v>
      </c>
      <c r="E502" s="41">
        <v>45988</v>
      </c>
      <c r="F502" s="41">
        <v>46091</v>
      </c>
      <c r="G502" s="42">
        <v>103</v>
      </c>
      <c r="H502" s="40" t="s">
        <v>536</v>
      </c>
      <c r="I502" s="39" t="s">
        <v>320</v>
      </c>
      <c r="J502" s="43">
        <v>-126492.11</v>
      </c>
      <c r="K502" s="43">
        <v>0</v>
      </c>
      <c r="L502" s="43">
        <v>-126492.11</v>
      </c>
      <c r="M502" s="44">
        <v>0</v>
      </c>
      <c r="N502" s="44">
        <f t="shared" si="7"/>
        <v>-126492.11</v>
      </c>
      <c r="O502" s="44">
        <v>-126492.11</v>
      </c>
      <c r="P502" s="40" t="s">
        <v>4306</v>
      </c>
      <c r="Q502" s="40" t="s">
        <v>4307</v>
      </c>
      <c r="R502" s="40" t="s">
        <v>494</v>
      </c>
      <c r="S502" s="40" t="s">
        <v>495</v>
      </c>
      <c r="T502" s="40" t="s">
        <v>3253</v>
      </c>
      <c r="U502" s="40" t="s">
        <v>3254</v>
      </c>
      <c r="V502" s="40"/>
      <c r="W502" s="40" t="s">
        <v>4308</v>
      </c>
    </row>
    <row r="503" spans="1:23" ht="12" x14ac:dyDescent="0.2">
      <c r="A503" s="39" t="s">
        <v>607</v>
      </c>
      <c r="B503" s="40" t="s">
        <v>1268</v>
      </c>
      <c r="C503" s="40" t="s">
        <v>4309</v>
      </c>
      <c r="D503" s="41">
        <v>45959</v>
      </c>
      <c r="E503" s="41">
        <v>45989</v>
      </c>
      <c r="F503" s="41">
        <v>46091</v>
      </c>
      <c r="G503" s="42">
        <v>102</v>
      </c>
      <c r="H503" s="40" t="s">
        <v>536</v>
      </c>
      <c r="I503" s="39" t="s">
        <v>323</v>
      </c>
      <c r="J503" s="43">
        <v>39748</v>
      </c>
      <c r="K503" s="43">
        <v>0</v>
      </c>
      <c r="L503" s="43">
        <v>39748</v>
      </c>
      <c r="M503" s="44">
        <v>0</v>
      </c>
      <c r="N503" s="44">
        <f t="shared" si="7"/>
        <v>29442.959999999999</v>
      </c>
      <c r="O503" s="44">
        <v>29442.959999999999</v>
      </c>
      <c r="P503" s="40" t="s">
        <v>608</v>
      </c>
      <c r="Q503" s="40" t="s">
        <v>1269</v>
      </c>
      <c r="R503" s="40" t="s">
        <v>494</v>
      </c>
      <c r="S503" s="40" t="s">
        <v>502</v>
      </c>
      <c r="T503" s="40" t="s">
        <v>330</v>
      </c>
      <c r="U503" s="40" t="s">
        <v>768</v>
      </c>
      <c r="V503" s="40" t="s">
        <v>4310</v>
      </c>
      <c r="W503" s="40"/>
    </row>
    <row r="504" spans="1:23" ht="12" x14ac:dyDescent="0.2">
      <c r="A504" s="39" t="s">
        <v>34</v>
      </c>
      <c r="B504" s="40" t="s">
        <v>465</v>
      </c>
      <c r="C504" s="40" t="s">
        <v>4311</v>
      </c>
      <c r="D504" s="41">
        <v>45959</v>
      </c>
      <c r="E504" s="41">
        <v>45989</v>
      </c>
      <c r="F504" s="41">
        <v>46091</v>
      </c>
      <c r="G504" s="42">
        <v>102</v>
      </c>
      <c r="H504" s="40" t="s">
        <v>536</v>
      </c>
      <c r="I504" s="39" t="s">
        <v>320</v>
      </c>
      <c r="J504" s="43">
        <v>19209</v>
      </c>
      <c r="K504" s="43">
        <v>0</v>
      </c>
      <c r="L504" s="43">
        <v>19209</v>
      </c>
      <c r="M504" s="44">
        <v>0</v>
      </c>
      <c r="N504" s="44">
        <f t="shared" si="7"/>
        <v>19209</v>
      </c>
      <c r="O504" s="44">
        <v>19209</v>
      </c>
      <c r="P504" s="40" t="s">
        <v>4312</v>
      </c>
      <c r="Q504" s="40" t="s">
        <v>4313</v>
      </c>
      <c r="R504" s="40" t="s">
        <v>494</v>
      </c>
      <c r="S504" s="40" t="s">
        <v>495</v>
      </c>
      <c r="T504" s="40" t="s">
        <v>221</v>
      </c>
      <c r="U504" s="40" t="s">
        <v>1842</v>
      </c>
      <c r="V504" s="40" t="s">
        <v>4048</v>
      </c>
      <c r="W504" s="40" t="s">
        <v>4314</v>
      </c>
    </row>
    <row r="505" spans="1:23" ht="12" x14ac:dyDescent="0.2">
      <c r="A505" s="39" t="s">
        <v>339</v>
      </c>
      <c r="B505" s="40" t="s">
        <v>338</v>
      </c>
      <c r="C505" s="40" t="s">
        <v>4315</v>
      </c>
      <c r="D505" s="41">
        <v>45959</v>
      </c>
      <c r="E505" s="41">
        <v>45989</v>
      </c>
      <c r="F505" s="41">
        <v>46091</v>
      </c>
      <c r="G505" s="42">
        <v>102</v>
      </c>
      <c r="H505" s="40" t="s">
        <v>536</v>
      </c>
      <c r="I505" s="39" t="s">
        <v>320</v>
      </c>
      <c r="J505" s="43">
        <v>45724.75</v>
      </c>
      <c r="K505" s="43">
        <v>0</v>
      </c>
      <c r="L505" s="43">
        <v>45724.75</v>
      </c>
      <c r="M505" s="44">
        <v>0</v>
      </c>
      <c r="N505" s="44">
        <f t="shared" si="7"/>
        <v>45724.75</v>
      </c>
      <c r="O505" s="44">
        <v>45724.75</v>
      </c>
      <c r="P505" s="40" t="s">
        <v>4316</v>
      </c>
      <c r="Q505" s="40" t="s">
        <v>4317</v>
      </c>
      <c r="R505" s="40" t="s">
        <v>494</v>
      </c>
      <c r="S505" s="40" t="s">
        <v>502</v>
      </c>
      <c r="T505" s="40" t="s">
        <v>4318</v>
      </c>
      <c r="U505" s="40" t="s">
        <v>4319</v>
      </c>
      <c r="V505" s="40" t="s">
        <v>4320</v>
      </c>
      <c r="W505" s="40" t="s">
        <v>4321</v>
      </c>
    </row>
    <row r="506" spans="1:23" ht="12" x14ac:dyDescent="0.2">
      <c r="A506" s="39" t="s">
        <v>26</v>
      </c>
      <c r="B506" s="40" t="s">
        <v>457</v>
      </c>
      <c r="C506" s="40" t="s">
        <v>4322</v>
      </c>
      <c r="D506" s="41">
        <v>45959</v>
      </c>
      <c r="E506" s="41">
        <v>45989</v>
      </c>
      <c r="F506" s="41">
        <v>46091</v>
      </c>
      <c r="G506" s="42">
        <v>102</v>
      </c>
      <c r="H506" s="40" t="s">
        <v>536</v>
      </c>
      <c r="I506" s="39" t="s">
        <v>320</v>
      </c>
      <c r="J506" s="43">
        <v>11931.16</v>
      </c>
      <c r="K506" s="43">
        <v>0</v>
      </c>
      <c r="L506" s="43">
        <v>11931.16</v>
      </c>
      <c r="M506" s="44">
        <v>0</v>
      </c>
      <c r="N506" s="44">
        <f t="shared" si="7"/>
        <v>11931.16</v>
      </c>
      <c r="O506" s="44">
        <v>11931.16</v>
      </c>
      <c r="P506" s="40" t="s">
        <v>3353</v>
      </c>
      <c r="Q506" s="40" t="s">
        <v>3354</v>
      </c>
      <c r="R506" s="40" t="s">
        <v>494</v>
      </c>
      <c r="S506" s="40" t="s">
        <v>502</v>
      </c>
      <c r="T506" s="40" t="s">
        <v>287</v>
      </c>
      <c r="U506" s="40" t="s">
        <v>3355</v>
      </c>
      <c r="V506" s="40" t="s">
        <v>4030</v>
      </c>
      <c r="W506" s="40" t="s">
        <v>4031</v>
      </c>
    </row>
    <row r="507" spans="1:23" ht="12" x14ac:dyDescent="0.2">
      <c r="A507" s="39" t="s">
        <v>4323</v>
      </c>
      <c r="B507" s="40" t="s">
        <v>4324</v>
      </c>
      <c r="C507" s="40" t="s">
        <v>4325</v>
      </c>
      <c r="D507" s="41">
        <v>45959</v>
      </c>
      <c r="E507" s="41">
        <v>45989</v>
      </c>
      <c r="F507" s="41">
        <v>46091</v>
      </c>
      <c r="G507" s="42">
        <v>102</v>
      </c>
      <c r="H507" s="40" t="s">
        <v>536</v>
      </c>
      <c r="I507" s="39" t="s">
        <v>341</v>
      </c>
      <c r="J507" s="43">
        <v>-15.31</v>
      </c>
      <c r="K507" s="43">
        <v>0</v>
      </c>
      <c r="L507" s="43">
        <v>-15.31</v>
      </c>
      <c r="M507" s="44">
        <v>0</v>
      </c>
      <c r="N507" s="44">
        <f t="shared" si="7"/>
        <v>-12.25</v>
      </c>
      <c r="O507" s="44">
        <v>-12.25</v>
      </c>
      <c r="P507" s="40" t="s">
        <v>4326</v>
      </c>
      <c r="Q507" s="40" t="s">
        <v>4327</v>
      </c>
      <c r="R507" s="40" t="s">
        <v>494</v>
      </c>
      <c r="S507" s="40" t="s">
        <v>495</v>
      </c>
      <c r="T507" s="40" t="s">
        <v>513</v>
      </c>
      <c r="U507" s="40" t="s">
        <v>4328</v>
      </c>
      <c r="V507" s="40"/>
      <c r="W507" s="40" t="s">
        <v>4329</v>
      </c>
    </row>
    <row r="508" spans="1:23" ht="12" x14ac:dyDescent="0.2">
      <c r="A508" s="39" t="s">
        <v>1070</v>
      </c>
      <c r="B508" s="40" t="s">
        <v>364</v>
      </c>
      <c r="C508" s="40" t="s">
        <v>4330</v>
      </c>
      <c r="D508" s="41">
        <v>45959</v>
      </c>
      <c r="E508" s="41">
        <v>45989</v>
      </c>
      <c r="F508" s="41">
        <v>46091</v>
      </c>
      <c r="G508" s="42">
        <v>102</v>
      </c>
      <c r="H508" s="40" t="s">
        <v>536</v>
      </c>
      <c r="I508" s="39" t="s">
        <v>320</v>
      </c>
      <c r="J508" s="43">
        <v>20062.03</v>
      </c>
      <c r="K508" s="43">
        <v>0</v>
      </c>
      <c r="L508" s="43">
        <v>20062.03</v>
      </c>
      <c r="M508" s="44">
        <v>0</v>
      </c>
      <c r="N508" s="44">
        <f t="shared" si="7"/>
        <v>20062.03</v>
      </c>
      <c r="O508" s="44">
        <v>20062.03</v>
      </c>
      <c r="P508" s="40" t="s">
        <v>4331</v>
      </c>
      <c r="Q508" s="40" t="s">
        <v>4332</v>
      </c>
      <c r="R508" s="40" t="s">
        <v>494</v>
      </c>
      <c r="S508" s="40" t="s">
        <v>502</v>
      </c>
      <c r="T508" s="40" t="s">
        <v>287</v>
      </c>
      <c r="U508" s="40" t="s">
        <v>4333</v>
      </c>
      <c r="V508" s="40" t="s">
        <v>4334</v>
      </c>
      <c r="W508" s="40" t="s">
        <v>4335</v>
      </c>
    </row>
    <row r="509" spans="1:23" ht="12" x14ac:dyDescent="0.2">
      <c r="A509" s="39" t="s">
        <v>788</v>
      </c>
      <c r="B509" s="40" t="s">
        <v>789</v>
      </c>
      <c r="C509" s="40" t="s">
        <v>4336</v>
      </c>
      <c r="D509" s="41">
        <v>45960</v>
      </c>
      <c r="E509" s="41">
        <v>45990</v>
      </c>
      <c r="F509" s="41">
        <v>46091</v>
      </c>
      <c r="G509" s="42">
        <v>101</v>
      </c>
      <c r="H509" s="40" t="s">
        <v>536</v>
      </c>
      <c r="I509" s="39" t="s">
        <v>320</v>
      </c>
      <c r="J509" s="43">
        <v>79384.77</v>
      </c>
      <c r="K509" s="43">
        <v>0</v>
      </c>
      <c r="L509" s="43">
        <v>79384.77</v>
      </c>
      <c r="M509" s="44">
        <v>0</v>
      </c>
      <c r="N509" s="44">
        <f t="shared" si="7"/>
        <v>79384.77</v>
      </c>
      <c r="O509" s="44">
        <v>79384.77</v>
      </c>
      <c r="P509" s="40" t="s">
        <v>790</v>
      </c>
      <c r="Q509" s="40" t="s">
        <v>791</v>
      </c>
      <c r="R509" s="40" t="s">
        <v>494</v>
      </c>
      <c r="S509" s="40" t="s">
        <v>502</v>
      </c>
      <c r="T509" s="40" t="s">
        <v>501</v>
      </c>
      <c r="U509" s="40" t="s">
        <v>640</v>
      </c>
      <c r="V509" s="40" t="s">
        <v>4337</v>
      </c>
      <c r="W509" s="40" t="s">
        <v>2983</v>
      </c>
    </row>
    <row r="510" spans="1:23" ht="12" x14ac:dyDescent="0.2">
      <c r="A510" s="39" t="s">
        <v>4338</v>
      </c>
      <c r="B510" s="40" t="s">
        <v>4339</v>
      </c>
      <c r="C510" s="40" t="s">
        <v>4340</v>
      </c>
      <c r="D510" s="41">
        <v>45960</v>
      </c>
      <c r="E510" s="41">
        <v>45990</v>
      </c>
      <c r="F510" s="41">
        <v>46091</v>
      </c>
      <c r="G510" s="42">
        <v>101</v>
      </c>
      <c r="H510" s="40" t="s">
        <v>536</v>
      </c>
      <c r="I510" s="39" t="s">
        <v>320</v>
      </c>
      <c r="J510" s="43">
        <v>2304.27</v>
      </c>
      <c r="K510" s="43">
        <v>0</v>
      </c>
      <c r="L510" s="43">
        <v>2304.27</v>
      </c>
      <c r="M510" s="44">
        <v>0</v>
      </c>
      <c r="N510" s="44">
        <f t="shared" si="7"/>
        <v>2304.27</v>
      </c>
      <c r="O510" s="44">
        <v>2304.27</v>
      </c>
      <c r="P510" s="40" t="s">
        <v>4341</v>
      </c>
      <c r="Q510" s="40" t="s">
        <v>4342</v>
      </c>
      <c r="R510" s="40" t="s">
        <v>494</v>
      </c>
      <c r="S510" s="40" t="s">
        <v>502</v>
      </c>
      <c r="T510" s="40" t="s">
        <v>287</v>
      </c>
      <c r="U510" s="40" t="s">
        <v>4343</v>
      </c>
      <c r="V510" s="40" t="s">
        <v>4344</v>
      </c>
      <c r="W510" s="40" t="s">
        <v>4345</v>
      </c>
    </row>
    <row r="511" spans="1:23" ht="12" x14ac:dyDescent="0.2">
      <c r="A511" s="39" t="s">
        <v>50</v>
      </c>
      <c r="B511" s="40" t="s">
        <v>328</v>
      </c>
      <c r="C511" s="40" t="s">
        <v>4346</v>
      </c>
      <c r="D511" s="41">
        <v>45960</v>
      </c>
      <c r="E511" s="41">
        <v>45990</v>
      </c>
      <c r="F511" s="41">
        <v>46091</v>
      </c>
      <c r="G511" s="42">
        <v>101</v>
      </c>
      <c r="H511" s="40" t="s">
        <v>536</v>
      </c>
      <c r="I511" s="39" t="s">
        <v>320</v>
      </c>
      <c r="J511" s="43">
        <v>131294.88</v>
      </c>
      <c r="K511" s="43">
        <v>21882.48</v>
      </c>
      <c r="L511" s="43">
        <v>131294.88</v>
      </c>
      <c r="M511" s="44">
        <v>21882.48</v>
      </c>
      <c r="N511" s="44">
        <f t="shared" si="7"/>
        <v>109412.40000000001</v>
      </c>
      <c r="O511" s="44">
        <v>131294.88</v>
      </c>
      <c r="P511" s="40" t="s">
        <v>4347</v>
      </c>
      <c r="Q511" s="40" t="s">
        <v>4348</v>
      </c>
      <c r="R511" s="40" t="s">
        <v>494</v>
      </c>
      <c r="S511" s="40" t="s">
        <v>502</v>
      </c>
      <c r="T511" s="40" t="s">
        <v>203</v>
      </c>
      <c r="U511" s="40" t="s">
        <v>1306</v>
      </c>
      <c r="V511" s="40" t="s">
        <v>4349</v>
      </c>
      <c r="W511" s="40" t="s">
        <v>4350</v>
      </c>
    </row>
    <row r="512" spans="1:23" ht="12" x14ac:dyDescent="0.2">
      <c r="A512" s="39" t="s">
        <v>335</v>
      </c>
      <c r="B512" s="40" t="s">
        <v>334</v>
      </c>
      <c r="C512" s="40" t="s">
        <v>4351</v>
      </c>
      <c r="D512" s="41">
        <v>45960</v>
      </c>
      <c r="E512" s="41">
        <v>45990</v>
      </c>
      <c r="F512" s="41">
        <v>46091</v>
      </c>
      <c r="G512" s="42">
        <v>101</v>
      </c>
      <c r="H512" s="40" t="s">
        <v>536</v>
      </c>
      <c r="I512" s="39" t="s">
        <v>320</v>
      </c>
      <c r="J512" s="43">
        <v>14398.51</v>
      </c>
      <c r="K512" s="43">
        <v>0</v>
      </c>
      <c r="L512" s="43">
        <v>14398.51</v>
      </c>
      <c r="M512" s="44">
        <v>0</v>
      </c>
      <c r="N512" s="44">
        <f t="shared" si="7"/>
        <v>14398.51</v>
      </c>
      <c r="O512" s="44">
        <v>14398.51</v>
      </c>
      <c r="P512" s="40" t="s">
        <v>4352</v>
      </c>
      <c r="Q512" s="40" t="s">
        <v>4353</v>
      </c>
      <c r="R512" s="40" t="s">
        <v>494</v>
      </c>
      <c r="S512" s="40" t="s">
        <v>495</v>
      </c>
      <c r="T512" s="40" t="s">
        <v>709</v>
      </c>
      <c r="U512" s="40" t="s">
        <v>4354</v>
      </c>
      <c r="V512" s="40" t="s">
        <v>4355</v>
      </c>
      <c r="W512" s="40" t="s">
        <v>4356</v>
      </c>
    </row>
    <row r="513" spans="1:23" ht="12" x14ac:dyDescent="0.2">
      <c r="A513" s="39" t="s">
        <v>2875</v>
      </c>
      <c r="B513" s="40" t="s">
        <v>2876</v>
      </c>
      <c r="C513" s="40" t="s">
        <v>4357</v>
      </c>
      <c r="D513" s="41">
        <v>45960</v>
      </c>
      <c r="E513" s="41">
        <v>45990</v>
      </c>
      <c r="F513" s="41">
        <v>46091</v>
      </c>
      <c r="G513" s="42">
        <v>101</v>
      </c>
      <c r="H513" s="40" t="s">
        <v>536</v>
      </c>
      <c r="I513" s="39" t="s">
        <v>320</v>
      </c>
      <c r="J513" s="43">
        <v>10000</v>
      </c>
      <c r="K513" s="43">
        <v>0</v>
      </c>
      <c r="L513" s="43">
        <v>10000</v>
      </c>
      <c r="M513" s="44">
        <v>0</v>
      </c>
      <c r="N513" s="44">
        <f t="shared" si="7"/>
        <v>10000</v>
      </c>
      <c r="O513" s="44">
        <v>10000</v>
      </c>
      <c r="P513" s="40" t="s">
        <v>2877</v>
      </c>
      <c r="Q513" s="40" t="s">
        <v>2878</v>
      </c>
      <c r="R513" s="40" t="s">
        <v>494</v>
      </c>
      <c r="S513" s="40" t="s">
        <v>502</v>
      </c>
      <c r="T513" s="40" t="s">
        <v>220</v>
      </c>
      <c r="U513" s="40" t="s">
        <v>1730</v>
      </c>
      <c r="V513" s="40" t="s">
        <v>4358</v>
      </c>
      <c r="W513" s="40" t="s">
        <v>2879</v>
      </c>
    </row>
    <row r="514" spans="1:23" ht="12" x14ac:dyDescent="0.2">
      <c r="A514" s="39" t="s">
        <v>357</v>
      </c>
      <c r="B514" s="40" t="s">
        <v>356</v>
      </c>
      <c r="C514" s="40" t="s">
        <v>4359</v>
      </c>
      <c r="D514" s="41">
        <v>45961</v>
      </c>
      <c r="E514" s="41">
        <v>45991</v>
      </c>
      <c r="F514" s="41">
        <v>46091</v>
      </c>
      <c r="G514" s="42">
        <v>100</v>
      </c>
      <c r="H514" s="40" t="s">
        <v>536</v>
      </c>
      <c r="I514" s="39" t="s">
        <v>341</v>
      </c>
      <c r="J514" s="43">
        <v>21690.31</v>
      </c>
      <c r="K514" s="43">
        <v>0</v>
      </c>
      <c r="L514" s="43">
        <v>11813.25</v>
      </c>
      <c r="M514" s="44">
        <v>0</v>
      </c>
      <c r="N514" s="44">
        <f t="shared" si="7"/>
        <v>10017.049999999999</v>
      </c>
      <c r="O514" s="44">
        <v>10017.049999999999</v>
      </c>
      <c r="P514" s="40" t="s">
        <v>4360</v>
      </c>
      <c r="Q514" s="40" t="s">
        <v>4361</v>
      </c>
      <c r="R514" s="40" t="s">
        <v>494</v>
      </c>
      <c r="S514" s="40" t="s">
        <v>495</v>
      </c>
      <c r="T514" s="40" t="s">
        <v>224</v>
      </c>
      <c r="U514" s="40" t="s">
        <v>3476</v>
      </c>
      <c r="V514" s="40"/>
      <c r="W514" s="40" t="s">
        <v>4362</v>
      </c>
    </row>
    <row r="515" spans="1:23" ht="12" x14ac:dyDescent="0.2">
      <c r="A515" s="39" t="s">
        <v>357</v>
      </c>
      <c r="B515" s="40" t="s">
        <v>356</v>
      </c>
      <c r="C515" s="40" t="s">
        <v>4363</v>
      </c>
      <c r="D515" s="41">
        <v>45961</v>
      </c>
      <c r="E515" s="41">
        <v>45991</v>
      </c>
      <c r="F515" s="41">
        <v>46091</v>
      </c>
      <c r="G515" s="42">
        <v>100</v>
      </c>
      <c r="H515" s="40" t="s">
        <v>536</v>
      </c>
      <c r="I515" s="39" t="s">
        <v>341</v>
      </c>
      <c r="J515" s="43">
        <v>178321.39</v>
      </c>
      <c r="K515" s="43">
        <v>0</v>
      </c>
      <c r="L515" s="43">
        <v>30509.82</v>
      </c>
      <c r="M515" s="44">
        <v>0</v>
      </c>
      <c r="N515" s="44">
        <f t="shared" ref="N515:N578" si="8">IF(I515="GBP",L515-K515,O515-K515)</f>
        <v>26050.81</v>
      </c>
      <c r="O515" s="44">
        <v>26050.81</v>
      </c>
      <c r="P515" s="40" t="s">
        <v>4364</v>
      </c>
      <c r="Q515" s="40" t="s">
        <v>4365</v>
      </c>
      <c r="R515" s="40" t="s">
        <v>494</v>
      </c>
      <c r="S515" s="40" t="s">
        <v>495</v>
      </c>
      <c r="T515" s="40" t="s">
        <v>222</v>
      </c>
      <c r="U515" s="40" t="s">
        <v>553</v>
      </c>
      <c r="V515" s="40"/>
      <c r="W515" s="40" t="s">
        <v>4366</v>
      </c>
    </row>
    <row r="516" spans="1:23" ht="12" x14ac:dyDescent="0.2">
      <c r="A516" s="39" t="s">
        <v>357</v>
      </c>
      <c r="B516" s="40" t="s">
        <v>356</v>
      </c>
      <c r="C516" s="40" t="s">
        <v>4367</v>
      </c>
      <c r="D516" s="41">
        <v>45961</v>
      </c>
      <c r="E516" s="41">
        <v>45991</v>
      </c>
      <c r="F516" s="41">
        <v>46091</v>
      </c>
      <c r="G516" s="42">
        <v>100</v>
      </c>
      <c r="H516" s="40" t="s">
        <v>536</v>
      </c>
      <c r="I516" s="39" t="s">
        <v>341</v>
      </c>
      <c r="J516" s="43">
        <v>7469.58</v>
      </c>
      <c r="K516" s="43">
        <v>0</v>
      </c>
      <c r="L516" s="43">
        <v>7469.58</v>
      </c>
      <c r="M516" s="44">
        <v>0</v>
      </c>
      <c r="N516" s="44">
        <f t="shared" si="8"/>
        <v>6377.9</v>
      </c>
      <c r="O516" s="44">
        <v>6377.9</v>
      </c>
      <c r="P516" s="40" t="s">
        <v>4364</v>
      </c>
      <c r="Q516" s="40" t="s">
        <v>4365</v>
      </c>
      <c r="R516" s="40" t="s">
        <v>494</v>
      </c>
      <c r="S516" s="40" t="s">
        <v>495</v>
      </c>
      <c r="T516" s="40" t="s">
        <v>222</v>
      </c>
      <c r="U516" s="40" t="s">
        <v>553</v>
      </c>
      <c r="V516" s="40"/>
      <c r="W516" s="40" t="s">
        <v>4366</v>
      </c>
    </row>
    <row r="517" spans="1:23" ht="12" x14ac:dyDescent="0.2">
      <c r="A517" s="39" t="s">
        <v>57</v>
      </c>
      <c r="B517" s="40" t="s">
        <v>397</v>
      </c>
      <c r="C517" s="40" t="s">
        <v>4368</v>
      </c>
      <c r="D517" s="41">
        <v>45961</v>
      </c>
      <c r="E517" s="41">
        <v>45991</v>
      </c>
      <c r="F517" s="41">
        <v>46091</v>
      </c>
      <c r="G517" s="42">
        <v>100</v>
      </c>
      <c r="H517" s="40" t="s">
        <v>536</v>
      </c>
      <c r="I517" s="39" t="s">
        <v>320</v>
      </c>
      <c r="J517" s="43">
        <v>30202.77</v>
      </c>
      <c r="K517" s="43">
        <v>0</v>
      </c>
      <c r="L517" s="43">
        <v>30202.77</v>
      </c>
      <c r="M517" s="44">
        <v>0</v>
      </c>
      <c r="N517" s="44">
        <f t="shared" si="8"/>
        <v>30202.77</v>
      </c>
      <c r="O517" s="44">
        <v>30202.77</v>
      </c>
      <c r="P517" s="40" t="s">
        <v>4369</v>
      </c>
      <c r="Q517" s="40" t="s">
        <v>4370</v>
      </c>
      <c r="R517" s="40" t="s">
        <v>494</v>
      </c>
      <c r="S517" s="40" t="s">
        <v>502</v>
      </c>
      <c r="T517" s="40" t="s">
        <v>180</v>
      </c>
      <c r="U517" s="40" t="s">
        <v>4371</v>
      </c>
      <c r="V517" s="40" t="s">
        <v>4372</v>
      </c>
      <c r="W517" s="40" t="s">
        <v>4373</v>
      </c>
    </row>
    <row r="518" spans="1:23" ht="12" x14ac:dyDescent="0.2">
      <c r="A518" s="39" t="s">
        <v>3298</v>
      </c>
      <c r="B518" s="40" t="s">
        <v>3299</v>
      </c>
      <c r="C518" s="40" t="s">
        <v>4374</v>
      </c>
      <c r="D518" s="41">
        <v>45961</v>
      </c>
      <c r="E518" s="41">
        <v>45991</v>
      </c>
      <c r="F518" s="41">
        <v>46091</v>
      </c>
      <c r="G518" s="42">
        <v>100</v>
      </c>
      <c r="H518" s="40" t="s">
        <v>536</v>
      </c>
      <c r="I518" s="39" t="s">
        <v>320</v>
      </c>
      <c r="J518" s="43">
        <v>9762.07</v>
      </c>
      <c r="K518" s="43">
        <v>0</v>
      </c>
      <c r="L518" s="43">
        <v>9762.07</v>
      </c>
      <c r="M518" s="44">
        <v>0</v>
      </c>
      <c r="N518" s="44">
        <f t="shared" si="8"/>
        <v>9762.07</v>
      </c>
      <c r="O518" s="44">
        <v>9762.07</v>
      </c>
      <c r="P518" s="40" t="s">
        <v>3301</v>
      </c>
      <c r="Q518" s="40" t="s">
        <v>3302</v>
      </c>
      <c r="R518" s="40" t="s">
        <v>494</v>
      </c>
      <c r="S518" s="40" t="s">
        <v>502</v>
      </c>
      <c r="T518" s="40" t="s">
        <v>191</v>
      </c>
      <c r="U518" s="40" t="s">
        <v>3303</v>
      </c>
      <c r="V518" s="40" t="s">
        <v>4027</v>
      </c>
      <c r="W518" s="40" t="s">
        <v>3304</v>
      </c>
    </row>
    <row r="519" spans="1:23" ht="12" x14ac:dyDescent="0.2">
      <c r="A519" s="39" t="s">
        <v>4375</v>
      </c>
      <c r="B519" s="40" t="s">
        <v>4376</v>
      </c>
      <c r="C519" s="40" t="s">
        <v>4377</v>
      </c>
      <c r="D519" s="41">
        <v>45961</v>
      </c>
      <c r="E519" s="41">
        <v>45991</v>
      </c>
      <c r="F519" s="41">
        <v>46091</v>
      </c>
      <c r="G519" s="42">
        <v>100</v>
      </c>
      <c r="H519" s="40" t="s">
        <v>536</v>
      </c>
      <c r="I519" s="39" t="s">
        <v>323</v>
      </c>
      <c r="J519" s="43">
        <v>2291.25</v>
      </c>
      <c r="K519" s="43">
        <v>0</v>
      </c>
      <c r="L519" s="43">
        <v>2291.25</v>
      </c>
      <c r="M519" s="44">
        <v>0</v>
      </c>
      <c r="N519" s="44">
        <f t="shared" si="8"/>
        <v>1697.22</v>
      </c>
      <c r="O519" s="44">
        <v>1697.22</v>
      </c>
      <c r="P519" s="40" t="s">
        <v>4378</v>
      </c>
      <c r="Q519" s="40" t="s">
        <v>4379</v>
      </c>
      <c r="R519" s="40" t="s">
        <v>494</v>
      </c>
      <c r="S519" s="40" t="s">
        <v>502</v>
      </c>
      <c r="T519" s="40" t="s">
        <v>215</v>
      </c>
      <c r="U519" s="40" t="s">
        <v>4380</v>
      </c>
      <c r="V519" s="40" t="s">
        <v>4381</v>
      </c>
      <c r="W519" s="40" t="s">
        <v>4382</v>
      </c>
    </row>
    <row r="520" spans="1:23" ht="12" x14ac:dyDescent="0.2">
      <c r="A520" s="39" t="s">
        <v>374</v>
      </c>
      <c r="B520" s="40" t="s">
        <v>373</v>
      </c>
      <c r="C520" s="40" t="s">
        <v>4383</v>
      </c>
      <c r="D520" s="41">
        <v>45961</v>
      </c>
      <c r="E520" s="41">
        <v>45991</v>
      </c>
      <c r="F520" s="41">
        <v>46091</v>
      </c>
      <c r="G520" s="42">
        <v>100</v>
      </c>
      <c r="H520" s="40" t="s">
        <v>536</v>
      </c>
      <c r="I520" s="39" t="s">
        <v>320</v>
      </c>
      <c r="J520" s="43">
        <v>3080.78</v>
      </c>
      <c r="K520" s="43">
        <v>0</v>
      </c>
      <c r="L520" s="43">
        <v>3080.78</v>
      </c>
      <c r="M520" s="44">
        <v>0</v>
      </c>
      <c r="N520" s="44">
        <f t="shared" si="8"/>
        <v>3080.78</v>
      </c>
      <c r="O520" s="44">
        <v>3080.78</v>
      </c>
      <c r="P520" s="40" t="s">
        <v>4384</v>
      </c>
      <c r="Q520" s="40" t="s">
        <v>4385</v>
      </c>
      <c r="R520" s="40" t="s">
        <v>494</v>
      </c>
      <c r="S520" s="40" t="s">
        <v>502</v>
      </c>
      <c r="T520" s="40" t="s">
        <v>506</v>
      </c>
      <c r="U520" s="40" t="s">
        <v>2892</v>
      </c>
      <c r="V520" s="40" t="s">
        <v>4386</v>
      </c>
      <c r="W520" s="40" t="s">
        <v>4387</v>
      </c>
    </row>
    <row r="521" spans="1:23" ht="12" x14ac:dyDescent="0.2">
      <c r="A521" s="39" t="s">
        <v>32</v>
      </c>
      <c r="B521" s="40" t="s">
        <v>324</v>
      </c>
      <c r="C521" s="40" t="s">
        <v>4388</v>
      </c>
      <c r="D521" s="41">
        <v>45961</v>
      </c>
      <c r="E521" s="41">
        <v>45991</v>
      </c>
      <c r="F521" s="41">
        <v>46091</v>
      </c>
      <c r="G521" s="42">
        <v>100</v>
      </c>
      <c r="H521" s="40" t="s">
        <v>536</v>
      </c>
      <c r="I521" s="39" t="s">
        <v>320</v>
      </c>
      <c r="J521" s="43">
        <v>19067.43</v>
      </c>
      <c r="K521" s="43">
        <v>0</v>
      </c>
      <c r="L521" s="43">
        <v>19067.43</v>
      </c>
      <c r="M521" s="44">
        <v>0</v>
      </c>
      <c r="N521" s="44">
        <f t="shared" si="8"/>
        <v>19067.43</v>
      </c>
      <c r="O521" s="44">
        <v>19067.43</v>
      </c>
      <c r="P521" s="40" t="s">
        <v>1101</v>
      </c>
      <c r="Q521" s="40" t="s">
        <v>1102</v>
      </c>
      <c r="R521" s="40" t="s">
        <v>494</v>
      </c>
      <c r="S521" s="40" t="s">
        <v>502</v>
      </c>
      <c r="T521" s="40" t="s">
        <v>185</v>
      </c>
      <c r="U521" s="40" t="s">
        <v>1103</v>
      </c>
      <c r="V521" s="40" t="s">
        <v>4389</v>
      </c>
      <c r="W521" s="40" t="s">
        <v>2114</v>
      </c>
    </row>
    <row r="522" spans="1:23" ht="12" x14ac:dyDescent="0.2">
      <c r="A522" s="39" t="s">
        <v>906</v>
      </c>
      <c r="B522" s="40" t="s">
        <v>907</v>
      </c>
      <c r="C522" s="40" t="s">
        <v>4390</v>
      </c>
      <c r="D522" s="41">
        <v>45961</v>
      </c>
      <c r="E522" s="41">
        <v>45991</v>
      </c>
      <c r="F522" s="41">
        <v>46091</v>
      </c>
      <c r="G522" s="42">
        <v>100</v>
      </c>
      <c r="H522" s="40" t="s">
        <v>536</v>
      </c>
      <c r="I522" s="39" t="s">
        <v>320</v>
      </c>
      <c r="J522" s="43">
        <v>987.69</v>
      </c>
      <c r="K522" s="43">
        <v>0</v>
      </c>
      <c r="L522" s="43">
        <v>987.69</v>
      </c>
      <c r="M522" s="44">
        <v>0</v>
      </c>
      <c r="N522" s="44">
        <f t="shared" si="8"/>
        <v>987.69</v>
      </c>
      <c r="O522" s="44">
        <v>987.69</v>
      </c>
      <c r="P522" s="40" t="s">
        <v>4391</v>
      </c>
      <c r="Q522" s="40" t="s">
        <v>4392</v>
      </c>
      <c r="R522" s="40" t="s">
        <v>494</v>
      </c>
      <c r="S522" s="40" t="s">
        <v>502</v>
      </c>
      <c r="T522" s="40" t="s">
        <v>330</v>
      </c>
      <c r="U522" s="40" t="s">
        <v>4393</v>
      </c>
      <c r="V522" s="40" t="s">
        <v>4394</v>
      </c>
      <c r="W522" s="40" t="s">
        <v>4395</v>
      </c>
    </row>
    <row r="523" spans="1:23" ht="12" x14ac:dyDescent="0.2">
      <c r="A523" s="39" t="s">
        <v>337</v>
      </c>
      <c r="B523" s="40" t="s">
        <v>336</v>
      </c>
      <c r="C523" s="40" t="s">
        <v>4396</v>
      </c>
      <c r="D523" s="41">
        <v>45961</v>
      </c>
      <c r="E523" s="41">
        <v>45991</v>
      </c>
      <c r="F523" s="41">
        <v>46091</v>
      </c>
      <c r="G523" s="42">
        <v>100</v>
      </c>
      <c r="H523" s="40" t="s">
        <v>536</v>
      </c>
      <c r="I523" s="39" t="s">
        <v>320</v>
      </c>
      <c r="J523" s="43">
        <v>-6291.59</v>
      </c>
      <c r="K523" s="43">
        <v>0</v>
      </c>
      <c r="L523" s="43">
        <v>-6291.59</v>
      </c>
      <c r="M523" s="44">
        <v>0</v>
      </c>
      <c r="N523" s="44">
        <f t="shared" si="8"/>
        <v>-6291.59</v>
      </c>
      <c r="O523" s="44">
        <v>-6291.59</v>
      </c>
      <c r="P523" s="40" t="s">
        <v>1177</v>
      </c>
      <c r="Q523" s="40" t="s">
        <v>1178</v>
      </c>
      <c r="R523" s="40" t="s">
        <v>494</v>
      </c>
      <c r="S523" s="40" t="s">
        <v>502</v>
      </c>
      <c r="T523" s="40" t="s">
        <v>289</v>
      </c>
      <c r="U523" s="40" t="s">
        <v>1179</v>
      </c>
      <c r="V523" s="40"/>
      <c r="W523" s="40" t="s">
        <v>1180</v>
      </c>
    </row>
    <row r="524" spans="1:23" ht="12" x14ac:dyDescent="0.2">
      <c r="A524" s="39" t="s">
        <v>742</v>
      </c>
      <c r="B524" s="40" t="s">
        <v>743</v>
      </c>
      <c r="C524" s="40" t="s">
        <v>4397</v>
      </c>
      <c r="D524" s="41">
        <v>45961</v>
      </c>
      <c r="E524" s="41">
        <v>45991</v>
      </c>
      <c r="F524" s="41">
        <v>46091</v>
      </c>
      <c r="G524" s="42">
        <v>100</v>
      </c>
      <c r="H524" s="40" t="s">
        <v>536</v>
      </c>
      <c r="I524" s="39" t="s">
        <v>323</v>
      </c>
      <c r="J524" s="43">
        <v>277343.71999999997</v>
      </c>
      <c r="K524" s="43">
        <v>0</v>
      </c>
      <c r="L524" s="43">
        <v>277343.71999999997</v>
      </c>
      <c r="M524" s="44">
        <v>0</v>
      </c>
      <c r="N524" s="44">
        <f t="shared" si="8"/>
        <v>206145.27</v>
      </c>
      <c r="O524" s="44">
        <v>206145.27</v>
      </c>
      <c r="P524" s="40" t="s">
        <v>2621</v>
      </c>
      <c r="Q524" s="40" t="s">
        <v>2622</v>
      </c>
      <c r="R524" s="40" t="s">
        <v>494</v>
      </c>
      <c r="S524" s="40" t="s">
        <v>502</v>
      </c>
      <c r="T524" s="40" t="s">
        <v>773</v>
      </c>
      <c r="U524" s="40" t="s">
        <v>708</v>
      </c>
      <c r="V524" s="40"/>
      <c r="W524" s="40" t="s">
        <v>321</v>
      </c>
    </row>
    <row r="525" spans="1:23" ht="12" x14ac:dyDescent="0.2">
      <c r="A525" s="39" t="s">
        <v>54</v>
      </c>
      <c r="B525" s="40" t="s">
        <v>455</v>
      </c>
      <c r="C525" s="40" t="s">
        <v>4398</v>
      </c>
      <c r="D525" s="41">
        <v>45961</v>
      </c>
      <c r="E525" s="41">
        <v>45991</v>
      </c>
      <c r="F525" s="41">
        <v>46091</v>
      </c>
      <c r="G525" s="42">
        <v>100</v>
      </c>
      <c r="H525" s="40" t="s">
        <v>536</v>
      </c>
      <c r="I525" s="39" t="s">
        <v>320</v>
      </c>
      <c r="J525" s="43">
        <v>2317.3000000000002</v>
      </c>
      <c r="K525" s="43">
        <v>0</v>
      </c>
      <c r="L525" s="43">
        <v>2317.3000000000002</v>
      </c>
      <c r="M525" s="44">
        <v>0</v>
      </c>
      <c r="N525" s="44">
        <f t="shared" si="8"/>
        <v>2317.3000000000002</v>
      </c>
      <c r="O525" s="44">
        <v>2317.3000000000002</v>
      </c>
      <c r="P525" s="40" t="s">
        <v>4399</v>
      </c>
      <c r="Q525" s="40" t="s">
        <v>4400</v>
      </c>
      <c r="R525" s="40" t="s">
        <v>494</v>
      </c>
      <c r="S525" s="40" t="s">
        <v>502</v>
      </c>
      <c r="T525" s="40" t="s">
        <v>180</v>
      </c>
      <c r="U525" s="40" t="s">
        <v>4401</v>
      </c>
      <c r="V525" s="40" t="s">
        <v>4402</v>
      </c>
      <c r="W525" s="40" t="s">
        <v>4403</v>
      </c>
    </row>
    <row r="526" spans="1:23" ht="12" x14ac:dyDescent="0.2">
      <c r="A526" s="39" t="s">
        <v>31</v>
      </c>
      <c r="B526" s="40" t="s">
        <v>353</v>
      </c>
      <c r="C526" s="40" t="s">
        <v>4404</v>
      </c>
      <c r="D526" s="41">
        <v>45965</v>
      </c>
      <c r="E526" s="41">
        <v>45995</v>
      </c>
      <c r="F526" s="41">
        <v>46091</v>
      </c>
      <c r="G526" s="42">
        <v>96</v>
      </c>
      <c r="H526" s="40" t="s">
        <v>536</v>
      </c>
      <c r="I526" s="39" t="s">
        <v>320</v>
      </c>
      <c r="J526" s="43">
        <v>-4382.25</v>
      </c>
      <c r="K526" s="43">
        <v>0</v>
      </c>
      <c r="L526" s="43">
        <v>-4382.25</v>
      </c>
      <c r="M526" s="44">
        <v>0</v>
      </c>
      <c r="N526" s="44">
        <f t="shared" si="8"/>
        <v>-4382.25</v>
      </c>
      <c r="O526" s="44">
        <v>-4382.25</v>
      </c>
      <c r="P526" s="40" t="s">
        <v>4405</v>
      </c>
      <c r="Q526" s="40" t="s">
        <v>4406</v>
      </c>
      <c r="R526" s="40" t="s">
        <v>494</v>
      </c>
      <c r="S526" s="40" t="s">
        <v>495</v>
      </c>
      <c r="T526" s="40" t="s">
        <v>813</v>
      </c>
      <c r="U526" s="40" t="s">
        <v>1034</v>
      </c>
      <c r="V526" s="40"/>
      <c r="W526" s="40" t="s">
        <v>4407</v>
      </c>
    </row>
    <row r="527" spans="1:23" ht="12" x14ac:dyDescent="0.2">
      <c r="A527" s="39" t="s">
        <v>2997</v>
      </c>
      <c r="B527" s="40" t="s">
        <v>2998</v>
      </c>
      <c r="C527" s="40" t="s">
        <v>4408</v>
      </c>
      <c r="D527" s="41">
        <v>45965</v>
      </c>
      <c r="E527" s="41">
        <v>45995</v>
      </c>
      <c r="F527" s="41">
        <v>46091</v>
      </c>
      <c r="G527" s="42">
        <v>96</v>
      </c>
      <c r="H527" s="40" t="s">
        <v>536</v>
      </c>
      <c r="I527" s="39" t="s">
        <v>323</v>
      </c>
      <c r="J527" s="43">
        <v>43273.09</v>
      </c>
      <c r="K527" s="43">
        <v>0</v>
      </c>
      <c r="L527" s="43">
        <v>43273.09</v>
      </c>
      <c r="M527" s="44">
        <v>0</v>
      </c>
      <c r="N527" s="44">
        <f t="shared" si="8"/>
        <v>30909.35</v>
      </c>
      <c r="O527" s="44">
        <v>30909.35</v>
      </c>
      <c r="P527" s="40" t="s">
        <v>2999</v>
      </c>
      <c r="Q527" s="40" t="s">
        <v>3000</v>
      </c>
      <c r="R527" s="40" t="s">
        <v>494</v>
      </c>
      <c r="S527" s="40" t="s">
        <v>502</v>
      </c>
      <c r="T527" s="40" t="s">
        <v>301</v>
      </c>
      <c r="U527" s="40" t="s">
        <v>3001</v>
      </c>
      <c r="V527" s="40" t="s">
        <v>4409</v>
      </c>
      <c r="W527" s="40" t="s">
        <v>2898</v>
      </c>
    </row>
    <row r="528" spans="1:23" ht="12" x14ac:dyDescent="0.2">
      <c r="A528" s="39" t="s">
        <v>3216</v>
      </c>
      <c r="B528" s="40" t="s">
        <v>3217</v>
      </c>
      <c r="C528" s="40" t="s">
        <v>4410</v>
      </c>
      <c r="D528" s="41">
        <v>45965</v>
      </c>
      <c r="E528" s="41">
        <v>45995</v>
      </c>
      <c r="F528" s="41">
        <v>46091</v>
      </c>
      <c r="G528" s="42">
        <v>96</v>
      </c>
      <c r="H528" s="40" t="s">
        <v>536</v>
      </c>
      <c r="I528" s="39" t="s">
        <v>392</v>
      </c>
      <c r="J528" s="43">
        <v>32982.51</v>
      </c>
      <c r="K528" s="43">
        <v>0</v>
      </c>
      <c r="L528" s="43">
        <v>32982.51</v>
      </c>
      <c r="M528" s="44">
        <v>0</v>
      </c>
      <c r="N528" s="44">
        <f t="shared" si="8"/>
        <v>16745.28</v>
      </c>
      <c r="O528" s="44">
        <v>16745.28</v>
      </c>
      <c r="P528" s="40" t="s">
        <v>3218</v>
      </c>
      <c r="Q528" s="40" t="s">
        <v>3219</v>
      </c>
      <c r="R528" s="40" t="s">
        <v>494</v>
      </c>
      <c r="S528" s="40" t="s">
        <v>502</v>
      </c>
      <c r="T528" s="40" t="s">
        <v>330</v>
      </c>
      <c r="U528" s="40" t="s">
        <v>3220</v>
      </c>
      <c r="V528" s="40" t="s">
        <v>4411</v>
      </c>
      <c r="W528" s="40" t="s">
        <v>4412</v>
      </c>
    </row>
    <row r="529" spans="1:23" ht="12" x14ac:dyDescent="0.2">
      <c r="A529" s="39" t="s">
        <v>54</v>
      </c>
      <c r="B529" s="40" t="s">
        <v>455</v>
      </c>
      <c r="C529" s="40" t="s">
        <v>4413</v>
      </c>
      <c r="D529" s="41">
        <v>45965</v>
      </c>
      <c r="E529" s="41">
        <v>45995</v>
      </c>
      <c r="F529" s="41">
        <v>46091</v>
      </c>
      <c r="G529" s="42">
        <v>96</v>
      </c>
      <c r="H529" s="40" t="s">
        <v>536</v>
      </c>
      <c r="I529" s="39" t="s">
        <v>320</v>
      </c>
      <c r="J529" s="43">
        <v>33031.93</v>
      </c>
      <c r="K529" s="43">
        <v>0</v>
      </c>
      <c r="L529" s="43">
        <v>33031.93</v>
      </c>
      <c r="M529" s="44">
        <v>0</v>
      </c>
      <c r="N529" s="44">
        <f t="shared" si="8"/>
        <v>33031.93</v>
      </c>
      <c r="O529" s="44">
        <v>33031.93</v>
      </c>
      <c r="P529" s="40" t="s">
        <v>961</v>
      </c>
      <c r="Q529" s="40" t="s">
        <v>3568</v>
      </c>
      <c r="R529" s="40" t="s">
        <v>494</v>
      </c>
      <c r="S529" s="40" t="s">
        <v>502</v>
      </c>
      <c r="T529" s="40" t="s">
        <v>733</v>
      </c>
      <c r="U529" s="40" t="s">
        <v>2155</v>
      </c>
      <c r="V529" s="40" t="s">
        <v>4402</v>
      </c>
      <c r="W529" s="40" t="s">
        <v>3569</v>
      </c>
    </row>
    <row r="530" spans="1:23" ht="12" x14ac:dyDescent="0.2">
      <c r="A530" s="39" t="s">
        <v>54</v>
      </c>
      <c r="B530" s="40" t="s">
        <v>455</v>
      </c>
      <c r="C530" s="40" t="s">
        <v>4414</v>
      </c>
      <c r="D530" s="41">
        <v>45965</v>
      </c>
      <c r="E530" s="41">
        <v>45995</v>
      </c>
      <c r="F530" s="41">
        <v>46091</v>
      </c>
      <c r="G530" s="42">
        <v>96</v>
      </c>
      <c r="H530" s="40" t="s">
        <v>536</v>
      </c>
      <c r="I530" s="39" t="s">
        <v>320</v>
      </c>
      <c r="J530" s="43">
        <v>66766.820000000007</v>
      </c>
      <c r="K530" s="43">
        <v>0</v>
      </c>
      <c r="L530" s="43">
        <v>66766.820000000007</v>
      </c>
      <c r="M530" s="44">
        <v>0</v>
      </c>
      <c r="N530" s="44">
        <f t="shared" si="8"/>
        <v>66766.820000000007</v>
      </c>
      <c r="O530" s="44">
        <v>66766.820000000007</v>
      </c>
      <c r="P530" s="40" t="s">
        <v>2243</v>
      </c>
      <c r="Q530" s="40" t="s">
        <v>2244</v>
      </c>
      <c r="R530" s="40" t="s">
        <v>494</v>
      </c>
      <c r="S530" s="40" t="s">
        <v>502</v>
      </c>
      <c r="T530" s="40" t="s">
        <v>221</v>
      </c>
      <c r="U530" s="40" t="s">
        <v>1026</v>
      </c>
      <c r="V530" s="40" t="s">
        <v>4402</v>
      </c>
      <c r="W530" s="40" t="s">
        <v>2973</v>
      </c>
    </row>
    <row r="531" spans="1:23" ht="12" x14ac:dyDescent="0.2">
      <c r="A531" s="39" t="s">
        <v>54</v>
      </c>
      <c r="B531" s="40" t="s">
        <v>455</v>
      </c>
      <c r="C531" s="40" t="s">
        <v>4415</v>
      </c>
      <c r="D531" s="41">
        <v>45965</v>
      </c>
      <c r="E531" s="41">
        <v>45995</v>
      </c>
      <c r="F531" s="41">
        <v>46091</v>
      </c>
      <c r="G531" s="42">
        <v>96</v>
      </c>
      <c r="H531" s="40" t="s">
        <v>536</v>
      </c>
      <c r="I531" s="39" t="s">
        <v>320</v>
      </c>
      <c r="J531" s="43">
        <v>29491.56</v>
      </c>
      <c r="K531" s="43">
        <v>0</v>
      </c>
      <c r="L531" s="43">
        <v>29491.56</v>
      </c>
      <c r="M531" s="44">
        <v>0</v>
      </c>
      <c r="N531" s="44">
        <f t="shared" si="8"/>
        <v>29491.56</v>
      </c>
      <c r="O531" s="44">
        <v>29491.56</v>
      </c>
      <c r="P531" s="40" t="s">
        <v>1603</v>
      </c>
      <c r="Q531" s="40" t="s">
        <v>3613</v>
      </c>
      <c r="R531" s="40" t="s">
        <v>494</v>
      </c>
      <c r="S531" s="40" t="s">
        <v>502</v>
      </c>
      <c r="T531" s="40" t="s">
        <v>303</v>
      </c>
      <c r="U531" s="40" t="s">
        <v>3614</v>
      </c>
      <c r="V531" s="40" t="s">
        <v>4402</v>
      </c>
      <c r="W531" s="40" t="s">
        <v>3615</v>
      </c>
    </row>
    <row r="532" spans="1:23" ht="12" x14ac:dyDescent="0.2">
      <c r="A532" s="39" t="s">
        <v>4416</v>
      </c>
      <c r="B532" s="40" t="s">
        <v>4417</v>
      </c>
      <c r="C532" s="40" t="s">
        <v>4418</v>
      </c>
      <c r="D532" s="41">
        <v>45965</v>
      </c>
      <c r="E532" s="41">
        <v>45995</v>
      </c>
      <c r="F532" s="41">
        <v>46091</v>
      </c>
      <c r="G532" s="42">
        <v>96</v>
      </c>
      <c r="H532" s="40" t="s">
        <v>536</v>
      </c>
      <c r="I532" s="39" t="s">
        <v>320</v>
      </c>
      <c r="J532" s="43">
        <v>50000</v>
      </c>
      <c r="K532" s="43">
        <v>0</v>
      </c>
      <c r="L532" s="43">
        <v>50000</v>
      </c>
      <c r="M532" s="44">
        <v>0</v>
      </c>
      <c r="N532" s="44">
        <f t="shared" si="8"/>
        <v>50000</v>
      </c>
      <c r="O532" s="44">
        <v>50000</v>
      </c>
      <c r="P532" s="40" t="s">
        <v>4419</v>
      </c>
      <c r="Q532" s="40" t="s">
        <v>4420</v>
      </c>
      <c r="R532" s="40" t="s">
        <v>494</v>
      </c>
      <c r="S532" s="40" t="s">
        <v>502</v>
      </c>
      <c r="T532" s="40" t="s">
        <v>218</v>
      </c>
      <c r="U532" s="40" t="s">
        <v>570</v>
      </c>
      <c r="V532" s="40" t="s">
        <v>4421</v>
      </c>
      <c r="W532" s="40" t="s">
        <v>4422</v>
      </c>
    </row>
    <row r="533" spans="1:23" ht="12" x14ac:dyDescent="0.2">
      <c r="A533" s="39" t="s">
        <v>37</v>
      </c>
      <c r="B533" s="40" t="s">
        <v>452</v>
      </c>
      <c r="C533" s="40" t="s">
        <v>4423</v>
      </c>
      <c r="D533" s="41">
        <v>45965</v>
      </c>
      <c r="E533" s="41">
        <v>45995</v>
      </c>
      <c r="F533" s="41">
        <v>46091</v>
      </c>
      <c r="G533" s="42">
        <v>96</v>
      </c>
      <c r="H533" s="40" t="s">
        <v>536</v>
      </c>
      <c r="I533" s="39" t="s">
        <v>320</v>
      </c>
      <c r="J533" s="43">
        <v>48127.11</v>
      </c>
      <c r="K533" s="43">
        <v>0</v>
      </c>
      <c r="L533" s="43">
        <v>48127.11</v>
      </c>
      <c r="M533" s="44">
        <v>0</v>
      </c>
      <c r="N533" s="44">
        <f t="shared" si="8"/>
        <v>48127.11</v>
      </c>
      <c r="O533" s="44">
        <v>48127.11</v>
      </c>
      <c r="P533" s="40" t="s">
        <v>1159</v>
      </c>
      <c r="Q533" s="40" t="s">
        <v>3592</v>
      </c>
      <c r="R533" s="40" t="s">
        <v>494</v>
      </c>
      <c r="S533" s="40" t="s">
        <v>502</v>
      </c>
      <c r="T533" s="40" t="s">
        <v>287</v>
      </c>
      <c r="U533" s="40" t="s">
        <v>599</v>
      </c>
      <c r="V533" s="40" t="s">
        <v>4424</v>
      </c>
      <c r="W533" s="40" t="s">
        <v>3593</v>
      </c>
    </row>
    <row r="534" spans="1:23" ht="12" x14ac:dyDescent="0.2">
      <c r="A534" s="39" t="s">
        <v>16</v>
      </c>
      <c r="B534" s="40" t="s">
        <v>414</v>
      </c>
      <c r="C534" s="40" t="s">
        <v>4425</v>
      </c>
      <c r="D534" s="41">
        <v>45966</v>
      </c>
      <c r="E534" s="41">
        <v>45996</v>
      </c>
      <c r="F534" s="41">
        <v>46091</v>
      </c>
      <c r="G534" s="42">
        <v>95</v>
      </c>
      <c r="H534" s="40" t="s">
        <v>536</v>
      </c>
      <c r="I534" s="39" t="s">
        <v>320</v>
      </c>
      <c r="J534" s="43">
        <v>5358.02</v>
      </c>
      <c r="K534" s="43">
        <v>0</v>
      </c>
      <c r="L534" s="43">
        <v>5358.02</v>
      </c>
      <c r="M534" s="44">
        <v>0</v>
      </c>
      <c r="N534" s="44">
        <f t="shared" si="8"/>
        <v>5358.02</v>
      </c>
      <c r="O534" s="44">
        <v>5358.02</v>
      </c>
      <c r="P534" s="40" t="s">
        <v>4426</v>
      </c>
      <c r="Q534" s="40" t="s">
        <v>4427</v>
      </c>
      <c r="R534" s="40" t="s">
        <v>494</v>
      </c>
      <c r="S534" s="40" t="s">
        <v>502</v>
      </c>
      <c r="T534" s="40" t="s">
        <v>280</v>
      </c>
      <c r="U534" s="40" t="s">
        <v>2376</v>
      </c>
      <c r="V534" s="40" t="s">
        <v>4428</v>
      </c>
      <c r="W534" s="40" t="s">
        <v>4429</v>
      </c>
    </row>
    <row r="535" spans="1:23" ht="12" x14ac:dyDescent="0.2">
      <c r="A535" s="39" t="s">
        <v>724</v>
      </c>
      <c r="B535" s="40" t="s">
        <v>617</v>
      </c>
      <c r="C535" s="40" t="s">
        <v>4430</v>
      </c>
      <c r="D535" s="41">
        <v>45966</v>
      </c>
      <c r="E535" s="41">
        <v>45996</v>
      </c>
      <c r="F535" s="41">
        <v>46091</v>
      </c>
      <c r="G535" s="42">
        <v>95</v>
      </c>
      <c r="H535" s="40" t="s">
        <v>536</v>
      </c>
      <c r="I535" s="39" t="s">
        <v>320</v>
      </c>
      <c r="J535" s="43">
        <v>54994.43</v>
      </c>
      <c r="K535" s="43">
        <v>0</v>
      </c>
      <c r="L535" s="43">
        <v>54994.43</v>
      </c>
      <c r="M535" s="44">
        <v>0</v>
      </c>
      <c r="N535" s="44">
        <f t="shared" si="8"/>
        <v>54994.43</v>
      </c>
      <c r="O535" s="44">
        <v>54994.43</v>
      </c>
      <c r="P535" s="40" t="s">
        <v>4431</v>
      </c>
      <c r="Q535" s="40" t="s">
        <v>4432</v>
      </c>
      <c r="R535" s="40" t="s">
        <v>494</v>
      </c>
      <c r="S535" s="40" t="s">
        <v>495</v>
      </c>
      <c r="T535" s="40" t="s">
        <v>280</v>
      </c>
      <c r="U535" s="40" t="s">
        <v>1145</v>
      </c>
      <c r="V535" s="40" t="s">
        <v>4433</v>
      </c>
      <c r="W535" s="40"/>
    </row>
    <row r="536" spans="1:23" ht="12" x14ac:dyDescent="0.2">
      <c r="A536" s="39" t="s">
        <v>3493</v>
      </c>
      <c r="B536" s="40" t="s">
        <v>3494</v>
      </c>
      <c r="C536" s="40" t="s">
        <v>4434</v>
      </c>
      <c r="D536" s="41">
        <v>45966</v>
      </c>
      <c r="E536" s="41">
        <v>45996</v>
      </c>
      <c r="F536" s="41">
        <v>46091</v>
      </c>
      <c r="G536" s="42">
        <v>95</v>
      </c>
      <c r="H536" s="40" t="s">
        <v>536</v>
      </c>
      <c r="I536" s="39" t="s">
        <v>323</v>
      </c>
      <c r="J536" s="43">
        <v>5061961.2</v>
      </c>
      <c r="K536" s="43">
        <v>843660.2</v>
      </c>
      <c r="L536" s="43">
        <v>5061961.2</v>
      </c>
      <c r="M536" s="44">
        <v>624933.48148148146</v>
      </c>
      <c r="N536" s="44">
        <f t="shared" si="8"/>
        <v>2905940.6900000004</v>
      </c>
      <c r="O536" s="44">
        <v>3749600.89</v>
      </c>
      <c r="P536" s="40" t="s">
        <v>4435</v>
      </c>
      <c r="Q536" s="40" t="s">
        <v>4436</v>
      </c>
      <c r="R536" s="40" t="s">
        <v>494</v>
      </c>
      <c r="S536" s="40" t="s">
        <v>502</v>
      </c>
      <c r="T536" s="40" t="s">
        <v>497</v>
      </c>
      <c r="U536" s="40" t="s">
        <v>4437</v>
      </c>
      <c r="V536" s="40" t="s">
        <v>4438</v>
      </c>
      <c r="W536" s="40" t="s">
        <v>4439</v>
      </c>
    </row>
    <row r="537" spans="1:23" ht="12" x14ac:dyDescent="0.2">
      <c r="A537" s="39" t="s">
        <v>1552</v>
      </c>
      <c r="B537" s="40" t="s">
        <v>2643</v>
      </c>
      <c r="C537" s="40" t="s">
        <v>4440</v>
      </c>
      <c r="D537" s="41">
        <v>45967</v>
      </c>
      <c r="E537" s="41">
        <v>45997</v>
      </c>
      <c r="F537" s="41">
        <v>46091</v>
      </c>
      <c r="G537" s="42">
        <v>94</v>
      </c>
      <c r="H537" s="40" t="s">
        <v>536</v>
      </c>
      <c r="I537" s="39" t="s">
        <v>341</v>
      </c>
      <c r="J537" s="43">
        <v>1536802.64</v>
      </c>
      <c r="K537" s="43">
        <v>0</v>
      </c>
      <c r="L537" s="43">
        <v>1536802.64</v>
      </c>
      <c r="M537" s="44">
        <v>0</v>
      </c>
      <c r="N537" s="44">
        <f t="shared" si="8"/>
        <v>1304586.28</v>
      </c>
      <c r="O537" s="44">
        <v>1304586.28</v>
      </c>
      <c r="P537" s="40" t="s">
        <v>2645</v>
      </c>
      <c r="Q537" s="40" t="s">
        <v>2646</v>
      </c>
      <c r="R537" s="40" t="s">
        <v>494</v>
      </c>
      <c r="S537" s="40" t="s">
        <v>495</v>
      </c>
      <c r="T537" s="40" t="s">
        <v>773</v>
      </c>
      <c r="U537" s="40" t="s">
        <v>1940</v>
      </c>
      <c r="V537" s="40" t="s">
        <v>3949</v>
      </c>
      <c r="W537" s="40" t="s">
        <v>2647</v>
      </c>
    </row>
    <row r="538" spans="1:23" ht="12" x14ac:dyDescent="0.2">
      <c r="A538" s="39" t="s">
        <v>69</v>
      </c>
      <c r="B538" s="40" t="s">
        <v>453</v>
      </c>
      <c r="C538" s="40" t="s">
        <v>4441</v>
      </c>
      <c r="D538" s="41">
        <v>45967</v>
      </c>
      <c r="E538" s="41">
        <v>45997</v>
      </c>
      <c r="F538" s="41">
        <v>46091</v>
      </c>
      <c r="G538" s="42">
        <v>94</v>
      </c>
      <c r="H538" s="40" t="s">
        <v>536</v>
      </c>
      <c r="I538" s="39" t="s">
        <v>320</v>
      </c>
      <c r="J538" s="43">
        <v>1763.48</v>
      </c>
      <c r="K538" s="43">
        <v>0</v>
      </c>
      <c r="L538" s="43">
        <v>1763.48</v>
      </c>
      <c r="M538" s="44">
        <v>0</v>
      </c>
      <c r="N538" s="44">
        <f t="shared" si="8"/>
        <v>1763.48</v>
      </c>
      <c r="O538" s="44">
        <v>1763.48</v>
      </c>
      <c r="P538" s="40" t="s">
        <v>62</v>
      </c>
      <c r="Q538" s="40" t="s">
        <v>644</v>
      </c>
      <c r="R538" s="40" t="s">
        <v>494</v>
      </c>
      <c r="S538" s="40" t="s">
        <v>495</v>
      </c>
      <c r="T538" s="40" t="s">
        <v>512</v>
      </c>
      <c r="U538" s="40" t="s">
        <v>645</v>
      </c>
      <c r="V538" s="40" t="s">
        <v>4442</v>
      </c>
      <c r="W538" s="40" t="s">
        <v>1249</v>
      </c>
    </row>
    <row r="539" spans="1:23" ht="12" x14ac:dyDescent="0.2">
      <c r="A539" s="39" t="s">
        <v>357</v>
      </c>
      <c r="B539" s="40" t="s">
        <v>356</v>
      </c>
      <c r="C539" s="40" t="s">
        <v>4443</v>
      </c>
      <c r="D539" s="41">
        <v>45967</v>
      </c>
      <c r="E539" s="41">
        <v>45997</v>
      </c>
      <c r="F539" s="41">
        <v>46091</v>
      </c>
      <c r="G539" s="42">
        <v>94</v>
      </c>
      <c r="H539" s="40" t="s">
        <v>536</v>
      </c>
      <c r="I539" s="39" t="s">
        <v>341</v>
      </c>
      <c r="J539" s="43">
        <v>196623.98</v>
      </c>
      <c r="K539" s="43">
        <v>0</v>
      </c>
      <c r="L539" s="43">
        <v>7481.16</v>
      </c>
      <c r="M539" s="44">
        <v>0</v>
      </c>
      <c r="N539" s="44">
        <f t="shared" si="8"/>
        <v>6321.58</v>
      </c>
      <c r="O539" s="44">
        <v>6321.58</v>
      </c>
      <c r="P539" s="40" t="s">
        <v>4444</v>
      </c>
      <c r="Q539" s="40" t="s">
        <v>4445</v>
      </c>
      <c r="R539" s="40" t="s">
        <v>494</v>
      </c>
      <c r="S539" s="40" t="s">
        <v>495</v>
      </c>
      <c r="T539" s="40" t="s">
        <v>538</v>
      </c>
      <c r="U539" s="40" t="s">
        <v>863</v>
      </c>
      <c r="V539" s="40" t="s">
        <v>3791</v>
      </c>
      <c r="W539" s="40" t="s">
        <v>4446</v>
      </c>
    </row>
    <row r="540" spans="1:23" ht="12" x14ac:dyDescent="0.2">
      <c r="A540" s="39" t="s">
        <v>339</v>
      </c>
      <c r="B540" s="40" t="s">
        <v>338</v>
      </c>
      <c r="C540" s="40" t="s">
        <v>4447</v>
      </c>
      <c r="D540" s="41">
        <v>45967</v>
      </c>
      <c r="E540" s="41">
        <v>45997</v>
      </c>
      <c r="F540" s="41">
        <v>46091</v>
      </c>
      <c r="G540" s="42">
        <v>94</v>
      </c>
      <c r="H540" s="40" t="s">
        <v>536</v>
      </c>
      <c r="I540" s="39" t="s">
        <v>320</v>
      </c>
      <c r="J540" s="43">
        <v>-95153.05</v>
      </c>
      <c r="K540" s="43">
        <v>0</v>
      </c>
      <c r="L540" s="43">
        <v>-95153.05</v>
      </c>
      <c r="M540" s="44">
        <v>0</v>
      </c>
      <c r="N540" s="44">
        <f t="shared" si="8"/>
        <v>-95153.05</v>
      </c>
      <c r="O540" s="44">
        <v>-95153.05</v>
      </c>
      <c r="P540" s="40" t="s">
        <v>4448</v>
      </c>
      <c r="Q540" s="40" t="s">
        <v>4449</v>
      </c>
      <c r="R540" s="40" t="s">
        <v>494</v>
      </c>
      <c r="S540" s="40" t="s">
        <v>495</v>
      </c>
      <c r="T540" s="40" t="s">
        <v>508</v>
      </c>
      <c r="U540" s="40" t="s">
        <v>4450</v>
      </c>
      <c r="V540" s="40" t="s">
        <v>4451</v>
      </c>
      <c r="W540" s="40" t="s">
        <v>4452</v>
      </c>
    </row>
    <row r="541" spans="1:23" ht="12" x14ac:dyDescent="0.2">
      <c r="A541" s="39" t="s">
        <v>48</v>
      </c>
      <c r="B541" s="40" t="s">
        <v>389</v>
      </c>
      <c r="C541" s="40" t="s">
        <v>4453</v>
      </c>
      <c r="D541" s="41">
        <v>45967</v>
      </c>
      <c r="E541" s="41">
        <v>45997</v>
      </c>
      <c r="F541" s="41">
        <v>46091</v>
      </c>
      <c r="G541" s="42">
        <v>94</v>
      </c>
      <c r="H541" s="40" t="s">
        <v>536</v>
      </c>
      <c r="I541" s="39" t="s">
        <v>320</v>
      </c>
      <c r="J541" s="43">
        <v>37694.5</v>
      </c>
      <c r="K541" s="43">
        <v>0</v>
      </c>
      <c r="L541" s="43">
        <v>37336.339999999997</v>
      </c>
      <c r="M541" s="44">
        <v>0</v>
      </c>
      <c r="N541" s="44">
        <f t="shared" si="8"/>
        <v>37336.339999999997</v>
      </c>
      <c r="O541" s="44">
        <v>37336.339999999997</v>
      </c>
      <c r="P541" s="40" t="s">
        <v>4454</v>
      </c>
      <c r="Q541" s="40" t="s">
        <v>4455</v>
      </c>
      <c r="R541" s="40" t="s">
        <v>494</v>
      </c>
      <c r="S541" s="40" t="s">
        <v>495</v>
      </c>
      <c r="T541" s="40" t="s">
        <v>508</v>
      </c>
      <c r="U541" s="40" t="s">
        <v>3716</v>
      </c>
      <c r="V541" s="40"/>
      <c r="W541" s="40" t="s">
        <v>4456</v>
      </c>
    </row>
    <row r="542" spans="1:23" ht="12" x14ac:dyDescent="0.2">
      <c r="A542" s="39" t="s">
        <v>4457</v>
      </c>
      <c r="B542" s="40" t="s">
        <v>4458</v>
      </c>
      <c r="C542" s="40" t="s">
        <v>4459</v>
      </c>
      <c r="D542" s="41">
        <v>45967</v>
      </c>
      <c r="E542" s="41">
        <v>45997</v>
      </c>
      <c r="F542" s="41">
        <v>46091</v>
      </c>
      <c r="G542" s="42">
        <v>94</v>
      </c>
      <c r="H542" s="40" t="s">
        <v>536</v>
      </c>
      <c r="I542" s="39" t="s">
        <v>320</v>
      </c>
      <c r="J542" s="43">
        <v>12869.12</v>
      </c>
      <c r="K542" s="43">
        <v>0</v>
      </c>
      <c r="L542" s="43">
        <v>12869.12</v>
      </c>
      <c r="M542" s="44">
        <v>0</v>
      </c>
      <c r="N542" s="44">
        <f t="shared" si="8"/>
        <v>12869.12</v>
      </c>
      <c r="O542" s="44">
        <v>12869.12</v>
      </c>
      <c r="P542" s="40" t="s">
        <v>4460</v>
      </c>
      <c r="Q542" s="40" t="s">
        <v>4461</v>
      </c>
      <c r="R542" s="40" t="s">
        <v>494</v>
      </c>
      <c r="S542" s="40" t="s">
        <v>502</v>
      </c>
      <c r="T542" s="40" t="s">
        <v>287</v>
      </c>
      <c r="U542" s="40" t="s">
        <v>2329</v>
      </c>
      <c r="V542" s="40" t="s">
        <v>4462</v>
      </c>
      <c r="W542" s="40" t="s">
        <v>4463</v>
      </c>
    </row>
    <row r="543" spans="1:23" ht="12" x14ac:dyDescent="0.2">
      <c r="A543" s="39" t="s">
        <v>16</v>
      </c>
      <c r="B543" s="40" t="s">
        <v>414</v>
      </c>
      <c r="C543" s="40" t="s">
        <v>4464</v>
      </c>
      <c r="D543" s="41">
        <v>45967</v>
      </c>
      <c r="E543" s="41">
        <v>45997</v>
      </c>
      <c r="F543" s="41">
        <v>46091</v>
      </c>
      <c r="G543" s="42">
        <v>94</v>
      </c>
      <c r="H543" s="40" t="s">
        <v>536</v>
      </c>
      <c r="I543" s="39" t="s">
        <v>320</v>
      </c>
      <c r="J543" s="43">
        <v>80984.350000000006</v>
      </c>
      <c r="K543" s="43">
        <v>0</v>
      </c>
      <c r="L543" s="43">
        <v>80984.350000000006</v>
      </c>
      <c r="M543" s="44">
        <v>0</v>
      </c>
      <c r="N543" s="44">
        <f t="shared" si="8"/>
        <v>80984.350000000006</v>
      </c>
      <c r="O543" s="44">
        <v>80984.350000000006</v>
      </c>
      <c r="P543" s="40" t="s">
        <v>3203</v>
      </c>
      <c r="Q543" s="40" t="s">
        <v>3204</v>
      </c>
      <c r="R543" s="40" t="s">
        <v>494</v>
      </c>
      <c r="S543" s="40" t="s">
        <v>502</v>
      </c>
      <c r="T543" s="40" t="s">
        <v>327</v>
      </c>
      <c r="U543" s="40" t="s">
        <v>550</v>
      </c>
      <c r="V543" s="40" t="s">
        <v>4465</v>
      </c>
      <c r="W543" s="40" t="s">
        <v>3052</v>
      </c>
    </row>
    <row r="544" spans="1:23" ht="12" x14ac:dyDescent="0.2">
      <c r="A544" s="39" t="s">
        <v>2502</v>
      </c>
      <c r="B544" s="40" t="s">
        <v>2503</v>
      </c>
      <c r="C544" s="40" t="s">
        <v>4466</v>
      </c>
      <c r="D544" s="41">
        <v>45967</v>
      </c>
      <c r="E544" s="41">
        <v>45997</v>
      </c>
      <c r="F544" s="41">
        <v>46091</v>
      </c>
      <c r="G544" s="42">
        <v>94</v>
      </c>
      <c r="H544" s="40" t="s">
        <v>536</v>
      </c>
      <c r="I544" s="39" t="s">
        <v>320</v>
      </c>
      <c r="J544" s="43">
        <v>60437.49</v>
      </c>
      <c r="K544" s="43">
        <v>0</v>
      </c>
      <c r="L544" s="43">
        <v>60437.49</v>
      </c>
      <c r="M544" s="44">
        <v>0</v>
      </c>
      <c r="N544" s="44">
        <f t="shared" si="8"/>
        <v>60437.49</v>
      </c>
      <c r="O544" s="44">
        <v>60437.49</v>
      </c>
      <c r="P544" s="40" t="s">
        <v>2504</v>
      </c>
      <c r="Q544" s="40" t="s">
        <v>2505</v>
      </c>
      <c r="R544" s="40" t="s">
        <v>494</v>
      </c>
      <c r="S544" s="40" t="s">
        <v>502</v>
      </c>
      <c r="T544" s="40" t="s">
        <v>218</v>
      </c>
      <c r="U544" s="40" t="s">
        <v>2506</v>
      </c>
      <c r="V544" s="40" t="s">
        <v>4467</v>
      </c>
      <c r="W544" s="40" t="s">
        <v>2507</v>
      </c>
    </row>
    <row r="545" spans="1:23" ht="12" x14ac:dyDescent="0.2">
      <c r="A545" s="39" t="s">
        <v>2178</v>
      </c>
      <c r="B545" s="40" t="s">
        <v>2179</v>
      </c>
      <c r="C545" s="40" t="s">
        <v>4468</v>
      </c>
      <c r="D545" s="41">
        <v>45967</v>
      </c>
      <c r="E545" s="41">
        <v>45997</v>
      </c>
      <c r="F545" s="41">
        <v>46091</v>
      </c>
      <c r="G545" s="42">
        <v>94</v>
      </c>
      <c r="H545" s="40" t="s">
        <v>536</v>
      </c>
      <c r="I545" s="39" t="s">
        <v>320</v>
      </c>
      <c r="J545" s="43">
        <v>-40081.72</v>
      </c>
      <c r="K545" s="43">
        <v>0</v>
      </c>
      <c r="L545" s="43">
        <v>-40081.72</v>
      </c>
      <c r="M545" s="44">
        <v>0</v>
      </c>
      <c r="N545" s="44">
        <f t="shared" si="8"/>
        <v>-40081.72</v>
      </c>
      <c r="O545" s="44">
        <v>-40081.72</v>
      </c>
      <c r="P545" s="40" t="s">
        <v>4469</v>
      </c>
      <c r="Q545" s="40" t="s">
        <v>4470</v>
      </c>
      <c r="R545" s="40" t="s">
        <v>494</v>
      </c>
      <c r="S545" s="40" t="s">
        <v>502</v>
      </c>
      <c r="T545" s="40" t="s">
        <v>497</v>
      </c>
      <c r="U545" s="40" t="s">
        <v>940</v>
      </c>
      <c r="V545" s="40"/>
      <c r="W545" s="40" t="s">
        <v>4471</v>
      </c>
    </row>
    <row r="546" spans="1:23" ht="12" x14ac:dyDescent="0.2">
      <c r="A546" s="39" t="s">
        <v>357</v>
      </c>
      <c r="B546" s="40" t="s">
        <v>356</v>
      </c>
      <c r="C546" s="40" t="s">
        <v>4472</v>
      </c>
      <c r="D546" s="41">
        <v>45967</v>
      </c>
      <c r="E546" s="41">
        <v>45997</v>
      </c>
      <c r="F546" s="41">
        <v>46091</v>
      </c>
      <c r="G546" s="42">
        <v>94</v>
      </c>
      <c r="H546" s="40" t="s">
        <v>536</v>
      </c>
      <c r="I546" s="39" t="s">
        <v>341</v>
      </c>
      <c r="J546" s="43">
        <v>2631792.3199999998</v>
      </c>
      <c r="K546" s="43">
        <v>0</v>
      </c>
      <c r="L546" s="43">
        <v>811141.76</v>
      </c>
      <c r="M546" s="44">
        <v>0</v>
      </c>
      <c r="N546" s="44">
        <f t="shared" si="8"/>
        <v>699236.5</v>
      </c>
      <c r="O546" s="44">
        <v>699236.5</v>
      </c>
      <c r="P546" s="40" t="s">
        <v>4473</v>
      </c>
      <c r="Q546" s="40" t="s">
        <v>4474</v>
      </c>
      <c r="R546" s="40" t="s">
        <v>494</v>
      </c>
      <c r="S546" s="40" t="s">
        <v>502</v>
      </c>
      <c r="T546" s="40" t="s">
        <v>3817</v>
      </c>
      <c r="U546" s="40" t="s">
        <v>4475</v>
      </c>
      <c r="V546" s="40" t="s">
        <v>4476</v>
      </c>
      <c r="W546" s="40" t="s">
        <v>4477</v>
      </c>
    </row>
    <row r="547" spans="1:23" ht="12" x14ac:dyDescent="0.2">
      <c r="A547" s="39" t="s">
        <v>357</v>
      </c>
      <c r="B547" s="40" t="s">
        <v>356</v>
      </c>
      <c r="C547" s="40" t="s">
        <v>4478</v>
      </c>
      <c r="D547" s="41">
        <v>45968</v>
      </c>
      <c r="E547" s="41">
        <v>45998</v>
      </c>
      <c r="F547" s="41">
        <v>46091</v>
      </c>
      <c r="G547" s="42">
        <v>93</v>
      </c>
      <c r="H547" s="40" t="s">
        <v>536</v>
      </c>
      <c r="I547" s="39" t="s">
        <v>341</v>
      </c>
      <c r="J547" s="43">
        <v>145832.39000000001</v>
      </c>
      <c r="K547" s="43">
        <v>0</v>
      </c>
      <c r="L547" s="43">
        <v>145832.39000000001</v>
      </c>
      <c r="M547" s="44">
        <v>0</v>
      </c>
      <c r="N547" s="44">
        <f t="shared" si="8"/>
        <v>123378.58</v>
      </c>
      <c r="O547" s="44">
        <v>123378.58</v>
      </c>
      <c r="P547" s="40" t="s">
        <v>1874</v>
      </c>
      <c r="Q547" s="40" t="s">
        <v>1875</v>
      </c>
      <c r="R547" s="40" t="s">
        <v>494</v>
      </c>
      <c r="S547" s="40" t="s">
        <v>502</v>
      </c>
      <c r="T547" s="40" t="s">
        <v>769</v>
      </c>
      <c r="U547" s="40" t="s">
        <v>1876</v>
      </c>
      <c r="V547" s="40" t="s">
        <v>4037</v>
      </c>
      <c r="W547" s="40" t="s">
        <v>1877</v>
      </c>
    </row>
    <row r="548" spans="1:23" ht="12" x14ac:dyDescent="0.2">
      <c r="A548" s="39" t="s">
        <v>27</v>
      </c>
      <c r="B548" s="40" t="s">
        <v>476</v>
      </c>
      <c r="C548" s="40" t="s">
        <v>4479</v>
      </c>
      <c r="D548" s="41">
        <v>45968</v>
      </c>
      <c r="E548" s="41">
        <v>45998</v>
      </c>
      <c r="F548" s="41">
        <v>46091</v>
      </c>
      <c r="G548" s="42">
        <v>93</v>
      </c>
      <c r="H548" s="40" t="s">
        <v>536</v>
      </c>
      <c r="I548" s="39" t="s">
        <v>4480</v>
      </c>
      <c r="J548" s="43">
        <v>453139323.10000002</v>
      </c>
      <c r="K548" s="43">
        <v>0</v>
      </c>
      <c r="L548" s="43">
        <v>238510245.91</v>
      </c>
      <c r="M548" s="44">
        <v>0</v>
      </c>
      <c r="N548" s="44">
        <f t="shared" si="8"/>
        <v>1388456.55</v>
      </c>
      <c r="O548" s="44">
        <v>1388456.55</v>
      </c>
      <c r="P548" s="40" t="s">
        <v>4481</v>
      </c>
      <c r="Q548" s="40" t="s">
        <v>4482</v>
      </c>
      <c r="R548" s="40" t="s">
        <v>494</v>
      </c>
      <c r="S548" s="40" t="s">
        <v>502</v>
      </c>
      <c r="T548" s="40" t="s">
        <v>178</v>
      </c>
      <c r="U548" s="40" t="s">
        <v>1865</v>
      </c>
      <c r="V548" s="40" t="s">
        <v>4070</v>
      </c>
      <c r="W548" s="40" t="s">
        <v>4483</v>
      </c>
    </row>
    <row r="549" spans="1:23" ht="12" x14ac:dyDescent="0.2">
      <c r="A549" s="39" t="s">
        <v>16</v>
      </c>
      <c r="B549" s="40" t="s">
        <v>414</v>
      </c>
      <c r="C549" s="40" t="s">
        <v>4484</v>
      </c>
      <c r="D549" s="41">
        <v>45968</v>
      </c>
      <c r="E549" s="41">
        <v>45998</v>
      </c>
      <c r="F549" s="41">
        <v>46091</v>
      </c>
      <c r="G549" s="42">
        <v>93</v>
      </c>
      <c r="H549" s="40" t="s">
        <v>536</v>
      </c>
      <c r="I549" s="39" t="s">
        <v>320</v>
      </c>
      <c r="J549" s="43">
        <v>120983.53</v>
      </c>
      <c r="K549" s="43">
        <v>0</v>
      </c>
      <c r="L549" s="43">
        <v>120983.53</v>
      </c>
      <c r="M549" s="44">
        <v>0</v>
      </c>
      <c r="N549" s="44">
        <f t="shared" si="8"/>
        <v>120983.53</v>
      </c>
      <c r="O549" s="44">
        <v>120983.53</v>
      </c>
      <c r="P549" s="40" t="s">
        <v>4485</v>
      </c>
      <c r="Q549" s="40" t="s">
        <v>4486</v>
      </c>
      <c r="R549" s="40" t="s">
        <v>494</v>
      </c>
      <c r="S549" s="40" t="s">
        <v>502</v>
      </c>
      <c r="T549" s="40" t="s">
        <v>280</v>
      </c>
      <c r="U549" s="40" t="s">
        <v>559</v>
      </c>
      <c r="V549" s="40" t="s">
        <v>4487</v>
      </c>
      <c r="W549" s="40" t="s">
        <v>4488</v>
      </c>
    </row>
    <row r="550" spans="1:23" ht="12" x14ac:dyDescent="0.2">
      <c r="A550" s="39" t="s">
        <v>1604</v>
      </c>
      <c r="B550" s="40" t="s">
        <v>1776</v>
      </c>
      <c r="C550" s="40" t="s">
        <v>4489</v>
      </c>
      <c r="D550" s="41">
        <v>45968</v>
      </c>
      <c r="E550" s="41">
        <v>45998</v>
      </c>
      <c r="F550" s="41">
        <v>46091</v>
      </c>
      <c r="G550" s="42">
        <v>93</v>
      </c>
      <c r="H550" s="40" t="s">
        <v>536</v>
      </c>
      <c r="I550" s="39" t="s">
        <v>320</v>
      </c>
      <c r="J550" s="43">
        <v>22501.78</v>
      </c>
      <c r="K550" s="43">
        <v>0</v>
      </c>
      <c r="L550" s="43">
        <v>22501.78</v>
      </c>
      <c r="M550" s="44">
        <v>0</v>
      </c>
      <c r="N550" s="44">
        <f t="shared" si="8"/>
        <v>22501.78</v>
      </c>
      <c r="O550" s="44">
        <v>22501.78</v>
      </c>
      <c r="P550" s="40" t="s">
        <v>2087</v>
      </c>
      <c r="Q550" s="40" t="s">
        <v>2530</v>
      </c>
      <c r="R550" s="40" t="s">
        <v>494</v>
      </c>
      <c r="S550" s="40" t="s">
        <v>502</v>
      </c>
      <c r="T550" s="40" t="s">
        <v>178</v>
      </c>
      <c r="U550" s="40" t="s">
        <v>1777</v>
      </c>
      <c r="V550" s="40" t="s">
        <v>4490</v>
      </c>
      <c r="W550" s="40" t="s">
        <v>2531</v>
      </c>
    </row>
    <row r="551" spans="1:23" ht="12" x14ac:dyDescent="0.2">
      <c r="A551" s="39" t="s">
        <v>27</v>
      </c>
      <c r="B551" s="40" t="s">
        <v>476</v>
      </c>
      <c r="C551" s="40" t="s">
        <v>4491</v>
      </c>
      <c r="D551" s="41">
        <v>45968</v>
      </c>
      <c r="E551" s="41">
        <v>45998</v>
      </c>
      <c r="F551" s="41">
        <v>46091</v>
      </c>
      <c r="G551" s="42">
        <v>93</v>
      </c>
      <c r="H551" s="40" t="s">
        <v>536</v>
      </c>
      <c r="I551" s="39" t="s">
        <v>4480</v>
      </c>
      <c r="J551" s="43">
        <v>21288386.75</v>
      </c>
      <c r="K551" s="43">
        <v>0</v>
      </c>
      <c r="L551" s="43">
        <v>1897577.53</v>
      </c>
      <c r="M551" s="44">
        <v>0</v>
      </c>
      <c r="N551" s="44">
        <f t="shared" si="8"/>
        <v>11046.5</v>
      </c>
      <c r="O551" s="44">
        <v>11046.5</v>
      </c>
      <c r="P551" s="40" t="s">
        <v>4492</v>
      </c>
      <c r="Q551" s="40" t="s">
        <v>4493</v>
      </c>
      <c r="R551" s="40" t="s">
        <v>494</v>
      </c>
      <c r="S551" s="40" t="s">
        <v>502</v>
      </c>
      <c r="T551" s="40" t="s">
        <v>178</v>
      </c>
      <c r="U551" s="40" t="s">
        <v>1865</v>
      </c>
      <c r="V551" s="40" t="s">
        <v>4070</v>
      </c>
      <c r="W551" s="40" t="s">
        <v>4494</v>
      </c>
    </row>
    <row r="552" spans="1:23" ht="12" x14ac:dyDescent="0.2">
      <c r="A552" s="39" t="s">
        <v>2178</v>
      </c>
      <c r="B552" s="40" t="s">
        <v>2179</v>
      </c>
      <c r="C552" s="40" t="s">
        <v>4495</v>
      </c>
      <c r="D552" s="41">
        <v>45971</v>
      </c>
      <c r="E552" s="41">
        <v>46001</v>
      </c>
      <c r="F552" s="41">
        <v>46091</v>
      </c>
      <c r="G552" s="42">
        <v>90</v>
      </c>
      <c r="H552" s="40" t="s">
        <v>541</v>
      </c>
      <c r="I552" s="39" t="s">
        <v>320</v>
      </c>
      <c r="J552" s="43">
        <v>-14650.25</v>
      </c>
      <c r="K552" s="43">
        <v>0</v>
      </c>
      <c r="L552" s="43">
        <v>-14650.25</v>
      </c>
      <c r="M552" s="44">
        <v>0</v>
      </c>
      <c r="N552" s="44">
        <f t="shared" si="8"/>
        <v>-14650.25</v>
      </c>
      <c r="O552" s="44">
        <v>-14650.25</v>
      </c>
      <c r="P552" s="40" t="s">
        <v>4496</v>
      </c>
      <c r="Q552" s="40" t="s">
        <v>4497</v>
      </c>
      <c r="R552" s="40" t="s">
        <v>494</v>
      </c>
      <c r="S552" s="40" t="s">
        <v>502</v>
      </c>
      <c r="T552" s="40" t="s">
        <v>282</v>
      </c>
      <c r="U552" s="40" t="s">
        <v>1767</v>
      </c>
      <c r="V552" s="40"/>
      <c r="W552" s="40" t="s">
        <v>4498</v>
      </c>
    </row>
    <row r="553" spans="1:23" ht="12" x14ac:dyDescent="0.2">
      <c r="A553" s="39" t="s">
        <v>442</v>
      </c>
      <c r="B553" s="40" t="s">
        <v>441</v>
      </c>
      <c r="C553" s="40" t="s">
        <v>4499</v>
      </c>
      <c r="D553" s="41">
        <v>45971</v>
      </c>
      <c r="E553" s="41">
        <v>46001</v>
      </c>
      <c r="F553" s="41">
        <v>46091</v>
      </c>
      <c r="G553" s="42">
        <v>90</v>
      </c>
      <c r="H553" s="40" t="s">
        <v>541</v>
      </c>
      <c r="I553" s="39" t="s">
        <v>320</v>
      </c>
      <c r="J553" s="43">
        <v>-4875.97</v>
      </c>
      <c r="K553" s="43">
        <v>0</v>
      </c>
      <c r="L553" s="43">
        <v>-4875.97</v>
      </c>
      <c r="M553" s="44">
        <v>0</v>
      </c>
      <c r="N553" s="44">
        <f t="shared" si="8"/>
        <v>-4875.97</v>
      </c>
      <c r="O553" s="44">
        <v>-4875.97</v>
      </c>
      <c r="P553" s="40" t="s">
        <v>3171</v>
      </c>
      <c r="Q553" s="40" t="s">
        <v>3172</v>
      </c>
      <c r="R553" s="40" t="s">
        <v>494</v>
      </c>
      <c r="S553" s="40" t="s">
        <v>495</v>
      </c>
      <c r="T553" s="40" t="s">
        <v>224</v>
      </c>
      <c r="U553" s="40" t="s">
        <v>3173</v>
      </c>
      <c r="V553" s="40" t="s">
        <v>4013</v>
      </c>
      <c r="W553" s="40" t="s">
        <v>3174</v>
      </c>
    </row>
    <row r="554" spans="1:23" ht="12" x14ac:dyDescent="0.2">
      <c r="A554" s="39" t="s">
        <v>1593</v>
      </c>
      <c r="B554" s="40" t="s">
        <v>3400</v>
      </c>
      <c r="C554" s="40" t="s">
        <v>4500</v>
      </c>
      <c r="D554" s="41">
        <v>45971</v>
      </c>
      <c r="E554" s="41">
        <v>46001</v>
      </c>
      <c r="F554" s="41">
        <v>46091</v>
      </c>
      <c r="G554" s="42">
        <v>90</v>
      </c>
      <c r="H554" s="40" t="s">
        <v>541</v>
      </c>
      <c r="I554" s="39" t="s">
        <v>320</v>
      </c>
      <c r="J554" s="43">
        <v>-23318.7</v>
      </c>
      <c r="K554" s="43">
        <v>0</v>
      </c>
      <c r="L554" s="43">
        <v>-23318.7</v>
      </c>
      <c r="M554" s="44">
        <v>0</v>
      </c>
      <c r="N554" s="44">
        <f t="shared" si="8"/>
        <v>-23318.7</v>
      </c>
      <c r="O554" s="44">
        <v>-23318.7</v>
      </c>
      <c r="P554" s="40" t="s">
        <v>1592</v>
      </c>
      <c r="Q554" s="40" t="s">
        <v>4501</v>
      </c>
      <c r="R554" s="40" t="s">
        <v>494</v>
      </c>
      <c r="S554" s="40" t="s">
        <v>495</v>
      </c>
      <c r="T554" s="40" t="s">
        <v>222</v>
      </c>
      <c r="U554" s="40" t="s">
        <v>553</v>
      </c>
      <c r="V554" s="40" t="s">
        <v>4017</v>
      </c>
      <c r="W554" s="40" t="s">
        <v>321</v>
      </c>
    </row>
    <row r="555" spans="1:23" ht="12" x14ac:dyDescent="0.2">
      <c r="A555" s="39" t="s">
        <v>337</v>
      </c>
      <c r="B555" s="40" t="s">
        <v>336</v>
      </c>
      <c r="C555" s="40" t="s">
        <v>4502</v>
      </c>
      <c r="D555" s="41">
        <v>45972</v>
      </c>
      <c r="E555" s="41">
        <v>46002</v>
      </c>
      <c r="F555" s="41">
        <v>46091</v>
      </c>
      <c r="G555" s="42">
        <v>89</v>
      </c>
      <c r="H555" s="40" t="s">
        <v>541</v>
      </c>
      <c r="I555" s="39" t="s">
        <v>320</v>
      </c>
      <c r="J555" s="43">
        <v>32056.58</v>
      </c>
      <c r="K555" s="43">
        <v>0</v>
      </c>
      <c r="L555" s="43">
        <v>32056.58</v>
      </c>
      <c r="M555" s="44">
        <v>0</v>
      </c>
      <c r="N555" s="44">
        <f t="shared" si="8"/>
        <v>32056.58</v>
      </c>
      <c r="O555" s="44">
        <v>32056.58</v>
      </c>
      <c r="P555" s="40" t="s">
        <v>4503</v>
      </c>
      <c r="Q555" s="40" t="s">
        <v>4504</v>
      </c>
      <c r="R555" s="40" t="s">
        <v>494</v>
      </c>
      <c r="S555" s="40" t="s">
        <v>495</v>
      </c>
      <c r="T555" s="40" t="s">
        <v>289</v>
      </c>
      <c r="U555" s="40" t="s">
        <v>1076</v>
      </c>
      <c r="V555" s="40" t="s">
        <v>4505</v>
      </c>
      <c r="W555" s="40" t="s">
        <v>4506</v>
      </c>
    </row>
    <row r="556" spans="1:23" ht="12" x14ac:dyDescent="0.2">
      <c r="A556" s="39" t="s">
        <v>337</v>
      </c>
      <c r="B556" s="40" t="s">
        <v>336</v>
      </c>
      <c r="C556" s="40" t="s">
        <v>4507</v>
      </c>
      <c r="D556" s="41">
        <v>45972</v>
      </c>
      <c r="E556" s="41">
        <v>46002</v>
      </c>
      <c r="F556" s="41">
        <v>46091</v>
      </c>
      <c r="G556" s="42">
        <v>89</v>
      </c>
      <c r="H556" s="40" t="s">
        <v>541</v>
      </c>
      <c r="I556" s="39" t="s">
        <v>320</v>
      </c>
      <c r="J556" s="43">
        <v>60441.64</v>
      </c>
      <c r="K556" s="43">
        <v>0</v>
      </c>
      <c r="L556" s="43">
        <v>60441.64</v>
      </c>
      <c r="M556" s="44">
        <v>0</v>
      </c>
      <c r="N556" s="44">
        <f t="shared" si="8"/>
        <v>60441.64</v>
      </c>
      <c r="O556" s="44">
        <v>60441.64</v>
      </c>
      <c r="P556" s="40" t="s">
        <v>1651</v>
      </c>
      <c r="Q556" s="40" t="s">
        <v>1652</v>
      </c>
      <c r="R556" s="40" t="s">
        <v>494</v>
      </c>
      <c r="S556" s="40" t="s">
        <v>502</v>
      </c>
      <c r="T556" s="40" t="s">
        <v>289</v>
      </c>
      <c r="U556" s="40" t="s">
        <v>637</v>
      </c>
      <c r="V556" s="40" t="s">
        <v>4508</v>
      </c>
      <c r="W556" s="40" t="s">
        <v>1653</v>
      </c>
    </row>
    <row r="557" spans="1:23" ht="12" x14ac:dyDescent="0.2">
      <c r="A557" s="39" t="s">
        <v>4509</v>
      </c>
      <c r="B557" s="40" t="s">
        <v>4510</v>
      </c>
      <c r="C557" s="40" t="s">
        <v>4511</v>
      </c>
      <c r="D557" s="41">
        <v>45972</v>
      </c>
      <c r="E557" s="41">
        <v>46002</v>
      </c>
      <c r="F557" s="41">
        <v>46091</v>
      </c>
      <c r="G557" s="42">
        <v>89</v>
      </c>
      <c r="H557" s="40" t="s">
        <v>541</v>
      </c>
      <c r="I557" s="39" t="s">
        <v>323</v>
      </c>
      <c r="J557" s="43">
        <v>-2933.97</v>
      </c>
      <c r="K557" s="43">
        <v>0</v>
      </c>
      <c r="L557" s="43">
        <v>-2933.97</v>
      </c>
      <c r="M557" s="44">
        <v>0</v>
      </c>
      <c r="N557" s="44">
        <f t="shared" si="8"/>
        <v>-2173.31</v>
      </c>
      <c r="O557" s="44">
        <v>-2173.31</v>
      </c>
      <c r="P557" s="40" t="s">
        <v>4512</v>
      </c>
      <c r="Q557" s="40" t="s">
        <v>4513</v>
      </c>
      <c r="R557" s="40" t="s">
        <v>494</v>
      </c>
      <c r="S557" s="40" t="s">
        <v>495</v>
      </c>
      <c r="T557" s="40" t="s">
        <v>301</v>
      </c>
      <c r="U557" s="40" t="s">
        <v>1290</v>
      </c>
      <c r="V557" s="40" t="s">
        <v>4017</v>
      </c>
      <c r="W557" s="40" t="s">
        <v>4514</v>
      </c>
    </row>
    <row r="558" spans="1:23" ht="12" x14ac:dyDescent="0.2">
      <c r="A558" s="39" t="s">
        <v>1544</v>
      </c>
      <c r="B558" s="40" t="s">
        <v>4515</v>
      </c>
      <c r="C558" s="40" t="s">
        <v>4516</v>
      </c>
      <c r="D558" s="41">
        <v>45973</v>
      </c>
      <c r="E558" s="41">
        <v>46003</v>
      </c>
      <c r="F558" s="41">
        <v>46091</v>
      </c>
      <c r="G558" s="42">
        <v>88</v>
      </c>
      <c r="H558" s="40" t="s">
        <v>541</v>
      </c>
      <c r="I558" s="39" t="s">
        <v>320</v>
      </c>
      <c r="J558" s="43">
        <v>37226.74</v>
      </c>
      <c r="K558" s="43">
        <v>0</v>
      </c>
      <c r="L558" s="43">
        <v>37226.74</v>
      </c>
      <c r="M558" s="44">
        <v>0</v>
      </c>
      <c r="N558" s="44">
        <f t="shared" si="8"/>
        <v>37226.74</v>
      </c>
      <c r="O558" s="44">
        <v>37226.74</v>
      </c>
      <c r="P558" s="40" t="s">
        <v>1537</v>
      </c>
      <c r="Q558" s="40" t="s">
        <v>4517</v>
      </c>
      <c r="R558" s="40" t="s">
        <v>494</v>
      </c>
      <c r="S558" s="40" t="s">
        <v>495</v>
      </c>
      <c r="T558" s="40" t="s">
        <v>330</v>
      </c>
      <c r="U558" s="40" t="s">
        <v>633</v>
      </c>
      <c r="V558" s="40" t="s">
        <v>4518</v>
      </c>
      <c r="W558" s="40" t="s">
        <v>4519</v>
      </c>
    </row>
    <row r="559" spans="1:23" ht="12" x14ac:dyDescent="0.2">
      <c r="A559" s="39" t="s">
        <v>10</v>
      </c>
      <c r="B559" s="40" t="s">
        <v>393</v>
      </c>
      <c r="C559" s="40" t="s">
        <v>4520</v>
      </c>
      <c r="D559" s="41">
        <v>45973</v>
      </c>
      <c r="E559" s="41">
        <v>46003</v>
      </c>
      <c r="F559" s="41">
        <v>46091</v>
      </c>
      <c r="G559" s="42">
        <v>88</v>
      </c>
      <c r="H559" s="40" t="s">
        <v>541</v>
      </c>
      <c r="I559" s="39" t="s">
        <v>320</v>
      </c>
      <c r="J559" s="43">
        <v>136879</v>
      </c>
      <c r="K559" s="43">
        <v>0</v>
      </c>
      <c r="L559" s="43">
        <v>136879</v>
      </c>
      <c r="M559" s="44">
        <v>0</v>
      </c>
      <c r="N559" s="44">
        <f t="shared" si="8"/>
        <v>136879</v>
      </c>
      <c r="O559" s="44">
        <v>136879</v>
      </c>
      <c r="P559" s="40" t="s">
        <v>2083</v>
      </c>
      <c r="Q559" s="40" t="s">
        <v>4521</v>
      </c>
      <c r="R559" s="40" t="s">
        <v>494</v>
      </c>
      <c r="S559" s="40" t="s">
        <v>502</v>
      </c>
      <c r="T559" s="40" t="s">
        <v>191</v>
      </c>
      <c r="U559" s="40" t="s">
        <v>4522</v>
      </c>
      <c r="V559" s="40" t="s">
        <v>4523</v>
      </c>
      <c r="W559" s="40" t="s">
        <v>4524</v>
      </c>
    </row>
    <row r="560" spans="1:23" ht="12" x14ac:dyDescent="0.2">
      <c r="A560" s="39" t="s">
        <v>27</v>
      </c>
      <c r="B560" s="40" t="s">
        <v>476</v>
      </c>
      <c r="C560" s="40" t="s">
        <v>4525</v>
      </c>
      <c r="D560" s="41">
        <v>45974</v>
      </c>
      <c r="E560" s="41">
        <v>46004</v>
      </c>
      <c r="F560" s="41">
        <v>46091</v>
      </c>
      <c r="G560" s="42">
        <v>87</v>
      </c>
      <c r="H560" s="40" t="s">
        <v>541</v>
      </c>
      <c r="I560" s="39" t="s">
        <v>1267</v>
      </c>
      <c r="J560" s="43">
        <v>126440048.09</v>
      </c>
      <c r="K560" s="43">
        <v>0</v>
      </c>
      <c r="L560" s="43">
        <v>1609891.95</v>
      </c>
      <c r="M560" s="44">
        <v>0</v>
      </c>
      <c r="N560" s="44">
        <f t="shared" si="8"/>
        <v>39942.74</v>
      </c>
      <c r="O560" s="44">
        <v>39942.74</v>
      </c>
      <c r="P560" s="40" t="s">
        <v>4526</v>
      </c>
      <c r="Q560" s="40" t="s">
        <v>4527</v>
      </c>
      <c r="R560" s="40" t="s">
        <v>494</v>
      </c>
      <c r="S560" s="40" t="s">
        <v>495</v>
      </c>
      <c r="T560" s="40" t="s">
        <v>178</v>
      </c>
      <c r="U560" s="40" t="s">
        <v>615</v>
      </c>
      <c r="V560" s="40" t="s">
        <v>3809</v>
      </c>
      <c r="W560" s="40" t="s">
        <v>4528</v>
      </c>
    </row>
    <row r="561" spans="1:23" ht="12" x14ac:dyDescent="0.2">
      <c r="A561" s="39" t="s">
        <v>366</v>
      </c>
      <c r="B561" s="40" t="s">
        <v>365</v>
      </c>
      <c r="C561" s="40" t="s">
        <v>4529</v>
      </c>
      <c r="D561" s="41">
        <v>45974</v>
      </c>
      <c r="E561" s="41">
        <v>46004</v>
      </c>
      <c r="F561" s="41">
        <v>46091</v>
      </c>
      <c r="G561" s="42">
        <v>87</v>
      </c>
      <c r="H561" s="40" t="s">
        <v>541</v>
      </c>
      <c r="I561" s="39" t="s">
        <v>320</v>
      </c>
      <c r="J561" s="43">
        <v>23310.240000000002</v>
      </c>
      <c r="K561" s="43">
        <v>0</v>
      </c>
      <c r="L561" s="43">
        <v>23310.240000000002</v>
      </c>
      <c r="M561" s="44">
        <v>0</v>
      </c>
      <c r="N561" s="44">
        <f t="shared" si="8"/>
        <v>23310.240000000002</v>
      </c>
      <c r="O561" s="44">
        <v>23310.240000000002</v>
      </c>
      <c r="P561" s="40" t="s">
        <v>4530</v>
      </c>
      <c r="Q561" s="40" t="s">
        <v>4531</v>
      </c>
      <c r="R561" s="40" t="s">
        <v>494</v>
      </c>
      <c r="S561" s="40" t="s">
        <v>502</v>
      </c>
      <c r="T561" s="40" t="s">
        <v>218</v>
      </c>
      <c r="U561" s="40" t="s">
        <v>4532</v>
      </c>
      <c r="V561" s="40" t="s">
        <v>4533</v>
      </c>
      <c r="W561" s="40" t="s">
        <v>4534</v>
      </c>
    </row>
    <row r="562" spans="1:23" ht="12" x14ac:dyDescent="0.2">
      <c r="A562" s="39" t="s">
        <v>337</v>
      </c>
      <c r="B562" s="40" t="s">
        <v>336</v>
      </c>
      <c r="C562" s="40" t="s">
        <v>4535</v>
      </c>
      <c r="D562" s="41">
        <v>45974</v>
      </c>
      <c r="E562" s="41">
        <v>46004</v>
      </c>
      <c r="F562" s="41">
        <v>46091</v>
      </c>
      <c r="G562" s="42">
        <v>87</v>
      </c>
      <c r="H562" s="40" t="s">
        <v>541</v>
      </c>
      <c r="I562" s="39" t="s">
        <v>320</v>
      </c>
      <c r="J562" s="43">
        <v>30628.79</v>
      </c>
      <c r="K562" s="43">
        <v>0</v>
      </c>
      <c r="L562" s="43">
        <v>30628.79</v>
      </c>
      <c r="M562" s="44">
        <v>0</v>
      </c>
      <c r="N562" s="44">
        <f t="shared" si="8"/>
        <v>30628.79</v>
      </c>
      <c r="O562" s="44">
        <v>30628.79</v>
      </c>
      <c r="P562" s="40" t="s">
        <v>1746</v>
      </c>
      <c r="Q562" s="40" t="s">
        <v>1747</v>
      </c>
      <c r="R562" s="40" t="s">
        <v>494</v>
      </c>
      <c r="S562" s="40" t="s">
        <v>502</v>
      </c>
      <c r="T562" s="40" t="s">
        <v>289</v>
      </c>
      <c r="U562" s="40" t="s">
        <v>1748</v>
      </c>
      <c r="V562" s="40" t="s">
        <v>3880</v>
      </c>
      <c r="W562" s="40" t="s">
        <v>1749</v>
      </c>
    </row>
    <row r="563" spans="1:23" ht="12" x14ac:dyDescent="0.2">
      <c r="A563" s="39" t="s">
        <v>27</v>
      </c>
      <c r="B563" s="40" t="s">
        <v>476</v>
      </c>
      <c r="C563" s="40" t="s">
        <v>4536</v>
      </c>
      <c r="D563" s="41">
        <v>45974</v>
      </c>
      <c r="E563" s="41">
        <v>46004</v>
      </c>
      <c r="F563" s="41">
        <v>46091</v>
      </c>
      <c r="G563" s="42">
        <v>87</v>
      </c>
      <c r="H563" s="40" t="s">
        <v>541</v>
      </c>
      <c r="I563" s="39" t="s">
        <v>1267</v>
      </c>
      <c r="J563" s="43">
        <v>1662749.72</v>
      </c>
      <c r="K563" s="43">
        <v>0</v>
      </c>
      <c r="L563" s="43">
        <v>1662749.72</v>
      </c>
      <c r="M563" s="44">
        <v>0</v>
      </c>
      <c r="N563" s="44">
        <f t="shared" si="8"/>
        <v>41254.18</v>
      </c>
      <c r="O563" s="44">
        <v>41254.18</v>
      </c>
      <c r="P563" s="40" t="s">
        <v>1839</v>
      </c>
      <c r="Q563" s="40" t="s">
        <v>1840</v>
      </c>
      <c r="R563" s="40" t="s">
        <v>494</v>
      </c>
      <c r="S563" s="40" t="s">
        <v>495</v>
      </c>
      <c r="T563" s="40" t="s">
        <v>178</v>
      </c>
      <c r="U563" s="40" t="s">
        <v>615</v>
      </c>
      <c r="V563" s="40" t="s">
        <v>3809</v>
      </c>
      <c r="W563" s="40" t="s">
        <v>1841</v>
      </c>
    </row>
    <row r="564" spans="1:23" ht="12" x14ac:dyDescent="0.2">
      <c r="A564" s="39" t="s">
        <v>56</v>
      </c>
      <c r="B564" s="40" t="s">
        <v>470</v>
      </c>
      <c r="C564" s="40" t="s">
        <v>4537</v>
      </c>
      <c r="D564" s="41">
        <v>45978</v>
      </c>
      <c r="E564" s="41">
        <v>46008</v>
      </c>
      <c r="F564" s="41">
        <v>46091</v>
      </c>
      <c r="G564" s="42">
        <v>83</v>
      </c>
      <c r="H564" s="40" t="s">
        <v>541</v>
      </c>
      <c r="I564" s="39" t="s">
        <v>323</v>
      </c>
      <c r="J564" s="43">
        <v>-15805.78</v>
      </c>
      <c r="K564" s="43">
        <v>0</v>
      </c>
      <c r="L564" s="43">
        <v>-15805.78</v>
      </c>
      <c r="M564" s="44">
        <v>0</v>
      </c>
      <c r="N564" s="44">
        <f t="shared" si="8"/>
        <v>-10900.54</v>
      </c>
      <c r="O564" s="44">
        <v>-10900.54</v>
      </c>
      <c r="P564" s="40" t="s">
        <v>2695</v>
      </c>
      <c r="Q564" s="40" t="s">
        <v>2696</v>
      </c>
      <c r="R564" s="40" t="s">
        <v>494</v>
      </c>
      <c r="S564" s="40" t="s">
        <v>502</v>
      </c>
      <c r="T564" s="40" t="s">
        <v>363</v>
      </c>
      <c r="U564" s="40" t="s">
        <v>2697</v>
      </c>
      <c r="V564" s="40" t="s">
        <v>4017</v>
      </c>
      <c r="W564" s="40" t="s">
        <v>4538</v>
      </c>
    </row>
    <row r="565" spans="1:23" ht="12" x14ac:dyDescent="0.2">
      <c r="A565" s="39" t="s">
        <v>27</v>
      </c>
      <c r="B565" s="40" t="s">
        <v>476</v>
      </c>
      <c r="C565" s="40" t="s">
        <v>4539</v>
      </c>
      <c r="D565" s="41">
        <v>45978</v>
      </c>
      <c r="E565" s="41">
        <v>46008</v>
      </c>
      <c r="F565" s="41">
        <v>46091</v>
      </c>
      <c r="G565" s="42">
        <v>83</v>
      </c>
      <c r="H565" s="40" t="s">
        <v>541</v>
      </c>
      <c r="I565" s="39" t="s">
        <v>320</v>
      </c>
      <c r="J565" s="43">
        <v>2104594.4700000002</v>
      </c>
      <c r="K565" s="43">
        <v>0</v>
      </c>
      <c r="L565" s="43">
        <v>1763097.15</v>
      </c>
      <c r="M565" s="44">
        <v>0</v>
      </c>
      <c r="N565" s="44">
        <f t="shared" si="8"/>
        <v>1763097.15</v>
      </c>
      <c r="O565" s="44">
        <v>1763097.15</v>
      </c>
      <c r="P565" s="40" t="s">
        <v>966</v>
      </c>
      <c r="Q565" s="40" t="s">
        <v>967</v>
      </c>
      <c r="R565" s="40" t="s">
        <v>494</v>
      </c>
      <c r="S565" s="40" t="s">
        <v>495</v>
      </c>
      <c r="T565" s="40" t="s">
        <v>178</v>
      </c>
      <c r="U565" s="40" t="s">
        <v>615</v>
      </c>
      <c r="V565" s="40" t="s">
        <v>3809</v>
      </c>
      <c r="W565" s="40" t="s">
        <v>968</v>
      </c>
    </row>
    <row r="566" spans="1:23" ht="12" x14ac:dyDescent="0.2">
      <c r="A566" s="39" t="s">
        <v>4540</v>
      </c>
      <c r="B566" s="40" t="s">
        <v>4541</v>
      </c>
      <c r="C566" s="40" t="s">
        <v>4542</v>
      </c>
      <c r="D566" s="41">
        <v>45978</v>
      </c>
      <c r="E566" s="41">
        <v>46008</v>
      </c>
      <c r="F566" s="41">
        <v>46091</v>
      </c>
      <c r="G566" s="42">
        <v>83</v>
      </c>
      <c r="H566" s="40" t="s">
        <v>541</v>
      </c>
      <c r="I566" s="39" t="s">
        <v>320</v>
      </c>
      <c r="J566" s="43">
        <v>21250</v>
      </c>
      <c r="K566" s="43">
        <v>0</v>
      </c>
      <c r="L566" s="43">
        <v>21250</v>
      </c>
      <c r="M566" s="44">
        <v>0</v>
      </c>
      <c r="N566" s="44">
        <f t="shared" si="8"/>
        <v>21250</v>
      </c>
      <c r="O566" s="44">
        <v>21250</v>
      </c>
      <c r="P566" s="40" t="s">
        <v>4543</v>
      </c>
      <c r="Q566" s="40" t="s">
        <v>4544</v>
      </c>
      <c r="R566" s="40" t="s">
        <v>494</v>
      </c>
      <c r="S566" s="40" t="s">
        <v>495</v>
      </c>
      <c r="T566" s="40" t="s">
        <v>733</v>
      </c>
      <c r="U566" s="40" t="s">
        <v>4545</v>
      </c>
      <c r="V566" s="40" t="s">
        <v>4546</v>
      </c>
      <c r="W566" s="40" t="s">
        <v>4547</v>
      </c>
    </row>
    <row r="567" spans="1:23" ht="12" x14ac:dyDescent="0.2">
      <c r="A567" s="39" t="s">
        <v>4548</v>
      </c>
      <c r="B567" s="40" t="s">
        <v>4549</v>
      </c>
      <c r="C567" s="40" t="s">
        <v>4550</v>
      </c>
      <c r="D567" s="41">
        <v>45978</v>
      </c>
      <c r="E567" s="41">
        <v>46008</v>
      </c>
      <c r="F567" s="41">
        <v>46091</v>
      </c>
      <c r="G567" s="42">
        <v>83</v>
      </c>
      <c r="H567" s="40" t="s">
        <v>541</v>
      </c>
      <c r="I567" s="39" t="s">
        <v>320</v>
      </c>
      <c r="J567" s="43">
        <v>-24136.49</v>
      </c>
      <c r="K567" s="43">
        <v>0</v>
      </c>
      <c r="L567" s="43">
        <v>-24136.49</v>
      </c>
      <c r="M567" s="44">
        <v>0</v>
      </c>
      <c r="N567" s="44">
        <f t="shared" si="8"/>
        <v>-24136.49</v>
      </c>
      <c r="O567" s="44">
        <v>-24136.49</v>
      </c>
      <c r="P567" s="40" t="s">
        <v>4551</v>
      </c>
      <c r="Q567" s="40" t="s">
        <v>4552</v>
      </c>
      <c r="R567" s="40" t="s">
        <v>494</v>
      </c>
      <c r="S567" s="40" t="s">
        <v>495</v>
      </c>
      <c r="T567" s="40" t="s">
        <v>538</v>
      </c>
      <c r="U567" s="40" t="s">
        <v>4553</v>
      </c>
      <c r="V567" s="40" t="s">
        <v>4554</v>
      </c>
      <c r="W567" s="40" t="s">
        <v>4555</v>
      </c>
    </row>
    <row r="568" spans="1:23" ht="12" x14ac:dyDescent="0.2">
      <c r="A568" s="39" t="s">
        <v>2178</v>
      </c>
      <c r="B568" s="40" t="s">
        <v>2179</v>
      </c>
      <c r="C568" s="40" t="s">
        <v>4556</v>
      </c>
      <c r="D568" s="41">
        <v>45978</v>
      </c>
      <c r="E568" s="41">
        <v>46008</v>
      </c>
      <c r="F568" s="41">
        <v>46091</v>
      </c>
      <c r="G568" s="42">
        <v>83</v>
      </c>
      <c r="H568" s="40" t="s">
        <v>541</v>
      </c>
      <c r="I568" s="39" t="s">
        <v>320</v>
      </c>
      <c r="J568" s="43">
        <v>53054.63</v>
      </c>
      <c r="K568" s="43">
        <v>0</v>
      </c>
      <c r="L568" s="43">
        <v>2069.62</v>
      </c>
      <c r="M568" s="44">
        <v>0</v>
      </c>
      <c r="N568" s="44">
        <f t="shared" si="8"/>
        <v>2069.62</v>
      </c>
      <c r="O568" s="44">
        <v>2069.62</v>
      </c>
      <c r="P568" s="40" t="s">
        <v>4557</v>
      </c>
      <c r="Q568" s="40" t="s">
        <v>4558</v>
      </c>
      <c r="R568" s="40" t="s">
        <v>494</v>
      </c>
      <c r="S568" s="40" t="s">
        <v>502</v>
      </c>
      <c r="T568" s="40" t="s">
        <v>218</v>
      </c>
      <c r="U568" s="40" t="s">
        <v>4559</v>
      </c>
      <c r="V568" s="40"/>
      <c r="W568" s="40" t="s">
        <v>4560</v>
      </c>
    </row>
    <row r="569" spans="1:23" ht="12" x14ac:dyDescent="0.2">
      <c r="A569" s="39" t="s">
        <v>2178</v>
      </c>
      <c r="B569" s="40" t="s">
        <v>2179</v>
      </c>
      <c r="C569" s="40" t="s">
        <v>4561</v>
      </c>
      <c r="D569" s="41">
        <v>45978</v>
      </c>
      <c r="E569" s="41">
        <v>46008</v>
      </c>
      <c r="F569" s="41">
        <v>46091</v>
      </c>
      <c r="G569" s="42">
        <v>83</v>
      </c>
      <c r="H569" s="40" t="s">
        <v>541</v>
      </c>
      <c r="I569" s="39" t="s">
        <v>320</v>
      </c>
      <c r="J569" s="43">
        <v>57209.72</v>
      </c>
      <c r="K569" s="43">
        <v>0</v>
      </c>
      <c r="L569" s="43">
        <v>27787.25</v>
      </c>
      <c r="M569" s="44">
        <v>0</v>
      </c>
      <c r="N569" s="44">
        <f t="shared" si="8"/>
        <v>27787.25</v>
      </c>
      <c r="O569" s="44">
        <v>27787.25</v>
      </c>
      <c r="P569" s="40" t="s">
        <v>4562</v>
      </c>
      <c r="Q569" s="40" t="s">
        <v>4563</v>
      </c>
      <c r="R569" s="40" t="s">
        <v>494</v>
      </c>
      <c r="S569" s="40" t="s">
        <v>502</v>
      </c>
      <c r="T569" s="40" t="s">
        <v>218</v>
      </c>
      <c r="U569" s="40" t="s">
        <v>982</v>
      </c>
      <c r="V569" s="40"/>
      <c r="W569" s="40" t="s">
        <v>4564</v>
      </c>
    </row>
    <row r="570" spans="1:23" ht="12" x14ac:dyDescent="0.2">
      <c r="A570" s="39" t="s">
        <v>51</v>
      </c>
      <c r="B570" s="40" t="s">
        <v>451</v>
      </c>
      <c r="C570" s="40" t="s">
        <v>4565</v>
      </c>
      <c r="D570" s="41">
        <v>45978</v>
      </c>
      <c r="E570" s="41">
        <v>46008</v>
      </c>
      <c r="F570" s="41">
        <v>46091</v>
      </c>
      <c r="G570" s="42">
        <v>83</v>
      </c>
      <c r="H570" s="40" t="s">
        <v>541</v>
      </c>
      <c r="I570" s="39" t="s">
        <v>320</v>
      </c>
      <c r="J570" s="43">
        <v>124347.46</v>
      </c>
      <c r="K570" s="43">
        <v>20724.599999999999</v>
      </c>
      <c r="L570" s="43">
        <v>124347.46</v>
      </c>
      <c r="M570" s="44">
        <v>20724.599999999999</v>
      </c>
      <c r="N570" s="44">
        <f t="shared" si="8"/>
        <v>103622.86000000002</v>
      </c>
      <c r="O570" s="44">
        <v>124347.46</v>
      </c>
      <c r="P570" s="40" t="s">
        <v>4566</v>
      </c>
      <c r="Q570" s="40" t="s">
        <v>4567</v>
      </c>
      <c r="R570" s="40" t="s">
        <v>494</v>
      </c>
      <c r="S570" s="40" t="s">
        <v>495</v>
      </c>
      <c r="T570" s="40" t="s">
        <v>166</v>
      </c>
      <c r="U570" s="40" t="s">
        <v>4568</v>
      </c>
      <c r="V570" s="40" t="s">
        <v>4569</v>
      </c>
      <c r="W570" s="40" t="s">
        <v>4570</v>
      </c>
    </row>
    <row r="571" spans="1:23" ht="12" x14ac:dyDescent="0.2">
      <c r="A571" s="39" t="s">
        <v>742</v>
      </c>
      <c r="B571" s="40" t="s">
        <v>743</v>
      </c>
      <c r="C571" s="40" t="s">
        <v>4571</v>
      </c>
      <c r="D571" s="41">
        <v>45979</v>
      </c>
      <c r="E571" s="41">
        <v>46009</v>
      </c>
      <c r="F571" s="41">
        <v>46091</v>
      </c>
      <c r="G571" s="42">
        <v>82</v>
      </c>
      <c r="H571" s="40" t="s">
        <v>541</v>
      </c>
      <c r="I571" s="39" t="s">
        <v>323</v>
      </c>
      <c r="J571" s="43">
        <v>755619.07</v>
      </c>
      <c r="K571" s="43">
        <v>0</v>
      </c>
      <c r="L571" s="43">
        <v>483626.61</v>
      </c>
      <c r="M571" s="44">
        <v>0</v>
      </c>
      <c r="N571" s="44">
        <f t="shared" si="8"/>
        <v>380745.4</v>
      </c>
      <c r="O571" s="44">
        <v>380745.4</v>
      </c>
      <c r="P571" s="40" t="s">
        <v>4572</v>
      </c>
      <c r="Q571" s="40" t="s">
        <v>4573</v>
      </c>
      <c r="R571" s="40" t="s">
        <v>494</v>
      </c>
      <c r="S571" s="40" t="s">
        <v>502</v>
      </c>
      <c r="T571" s="40" t="s">
        <v>773</v>
      </c>
      <c r="U571" s="40" t="s">
        <v>576</v>
      </c>
      <c r="V571" s="40" t="s">
        <v>4574</v>
      </c>
      <c r="W571" s="40" t="s">
        <v>4575</v>
      </c>
    </row>
    <row r="572" spans="1:23" ht="12" x14ac:dyDescent="0.2">
      <c r="A572" s="39" t="s">
        <v>54</v>
      </c>
      <c r="B572" s="40" t="s">
        <v>455</v>
      </c>
      <c r="C572" s="40" t="s">
        <v>4576</v>
      </c>
      <c r="D572" s="41">
        <v>45979</v>
      </c>
      <c r="E572" s="41">
        <v>46009</v>
      </c>
      <c r="F572" s="41">
        <v>46091</v>
      </c>
      <c r="G572" s="42">
        <v>82</v>
      </c>
      <c r="H572" s="40" t="s">
        <v>541</v>
      </c>
      <c r="I572" s="39" t="s">
        <v>323</v>
      </c>
      <c r="J572" s="43">
        <v>5211.8999999999996</v>
      </c>
      <c r="K572" s="43">
        <v>0</v>
      </c>
      <c r="L572" s="43">
        <v>5211.8999999999996</v>
      </c>
      <c r="M572" s="44">
        <v>0</v>
      </c>
      <c r="N572" s="44">
        <f t="shared" si="8"/>
        <v>3860.67</v>
      </c>
      <c r="O572" s="44">
        <v>3860.67</v>
      </c>
      <c r="P572" s="40" t="s">
        <v>4577</v>
      </c>
      <c r="Q572" s="40" t="s">
        <v>4578</v>
      </c>
      <c r="R572" s="40" t="s">
        <v>494</v>
      </c>
      <c r="S572" s="40" t="s">
        <v>495</v>
      </c>
      <c r="T572" s="40" t="s">
        <v>363</v>
      </c>
      <c r="U572" s="40" t="s">
        <v>4579</v>
      </c>
      <c r="V572" s="40" t="s">
        <v>4402</v>
      </c>
      <c r="W572" s="40" t="s">
        <v>4580</v>
      </c>
    </row>
    <row r="573" spans="1:23" ht="12" x14ac:dyDescent="0.2">
      <c r="A573" s="39" t="s">
        <v>4581</v>
      </c>
      <c r="B573" s="40" t="s">
        <v>4582</v>
      </c>
      <c r="C573" s="40" t="s">
        <v>4583</v>
      </c>
      <c r="D573" s="41">
        <v>45979</v>
      </c>
      <c r="E573" s="41">
        <v>46009</v>
      </c>
      <c r="F573" s="41">
        <v>46091</v>
      </c>
      <c r="G573" s="42">
        <v>82</v>
      </c>
      <c r="H573" s="40" t="s">
        <v>541</v>
      </c>
      <c r="I573" s="39" t="s">
        <v>320</v>
      </c>
      <c r="J573" s="43">
        <v>68738</v>
      </c>
      <c r="K573" s="43">
        <v>0</v>
      </c>
      <c r="L573" s="43">
        <v>68738</v>
      </c>
      <c r="M573" s="44">
        <v>0</v>
      </c>
      <c r="N573" s="44">
        <f t="shared" si="8"/>
        <v>68738</v>
      </c>
      <c r="O573" s="44">
        <v>68738</v>
      </c>
      <c r="P573" s="40" t="s">
        <v>4584</v>
      </c>
      <c r="Q573" s="40" t="s">
        <v>4585</v>
      </c>
      <c r="R573" s="40" t="s">
        <v>494</v>
      </c>
      <c r="S573" s="40" t="s">
        <v>502</v>
      </c>
      <c r="T573" s="40" t="s">
        <v>289</v>
      </c>
      <c r="U573" s="40" t="s">
        <v>4586</v>
      </c>
      <c r="V573" s="40" t="s">
        <v>4587</v>
      </c>
      <c r="W573" s="40" t="s">
        <v>3221</v>
      </c>
    </row>
    <row r="574" spans="1:23" ht="12" x14ac:dyDescent="0.2">
      <c r="A574" s="39" t="s">
        <v>374</v>
      </c>
      <c r="B574" s="40" t="s">
        <v>373</v>
      </c>
      <c r="C574" s="40" t="s">
        <v>4588</v>
      </c>
      <c r="D574" s="41">
        <v>45979</v>
      </c>
      <c r="E574" s="41">
        <v>46009</v>
      </c>
      <c r="F574" s="41">
        <v>46091</v>
      </c>
      <c r="G574" s="42">
        <v>82</v>
      </c>
      <c r="H574" s="40" t="s">
        <v>541</v>
      </c>
      <c r="I574" s="39" t="s">
        <v>320</v>
      </c>
      <c r="J574" s="43">
        <v>22912.03</v>
      </c>
      <c r="K574" s="43">
        <v>0</v>
      </c>
      <c r="L574" s="43">
        <v>22912.03</v>
      </c>
      <c r="M574" s="44">
        <v>0</v>
      </c>
      <c r="N574" s="44">
        <f t="shared" si="8"/>
        <v>22912.03</v>
      </c>
      <c r="O574" s="44">
        <v>22912.03</v>
      </c>
      <c r="P574" s="40" t="s">
        <v>4589</v>
      </c>
      <c r="Q574" s="40" t="s">
        <v>4590</v>
      </c>
      <c r="R574" s="40" t="s">
        <v>494</v>
      </c>
      <c r="S574" s="40" t="s">
        <v>495</v>
      </c>
      <c r="T574" s="40" t="s">
        <v>198</v>
      </c>
      <c r="U574" s="40" t="s">
        <v>4591</v>
      </c>
      <c r="V574" s="40" t="s">
        <v>4245</v>
      </c>
      <c r="W574" s="40" t="s">
        <v>4592</v>
      </c>
    </row>
    <row r="575" spans="1:23" ht="12" x14ac:dyDescent="0.2">
      <c r="A575" s="39" t="s">
        <v>742</v>
      </c>
      <c r="B575" s="40" t="s">
        <v>743</v>
      </c>
      <c r="C575" s="40" t="s">
        <v>4593</v>
      </c>
      <c r="D575" s="41">
        <v>45979</v>
      </c>
      <c r="E575" s="41">
        <v>46009</v>
      </c>
      <c r="F575" s="41">
        <v>46091</v>
      </c>
      <c r="G575" s="42">
        <v>82</v>
      </c>
      <c r="H575" s="40" t="s">
        <v>541</v>
      </c>
      <c r="I575" s="39" t="s">
        <v>323</v>
      </c>
      <c r="J575" s="43">
        <v>-19625.59</v>
      </c>
      <c r="K575" s="43">
        <v>0</v>
      </c>
      <c r="L575" s="43">
        <v>-19625.59</v>
      </c>
      <c r="M575" s="44">
        <v>0</v>
      </c>
      <c r="N575" s="44">
        <f t="shared" si="8"/>
        <v>-15212.22</v>
      </c>
      <c r="O575" s="44">
        <v>-15212.22</v>
      </c>
      <c r="P575" s="40" t="s">
        <v>2621</v>
      </c>
      <c r="Q575" s="40" t="s">
        <v>2622</v>
      </c>
      <c r="R575" s="40" t="s">
        <v>494</v>
      </c>
      <c r="S575" s="40" t="s">
        <v>502</v>
      </c>
      <c r="T575" s="40" t="s">
        <v>773</v>
      </c>
      <c r="U575" s="40" t="s">
        <v>708</v>
      </c>
      <c r="V575" s="40" t="s">
        <v>3944</v>
      </c>
      <c r="W575" s="40" t="s">
        <v>321</v>
      </c>
    </row>
    <row r="576" spans="1:23" ht="12" x14ac:dyDescent="0.2">
      <c r="A576" s="39" t="s">
        <v>742</v>
      </c>
      <c r="B576" s="40" t="s">
        <v>743</v>
      </c>
      <c r="C576" s="40" t="s">
        <v>4594</v>
      </c>
      <c r="D576" s="41">
        <v>45979</v>
      </c>
      <c r="E576" s="41">
        <v>46009</v>
      </c>
      <c r="F576" s="41">
        <v>46091</v>
      </c>
      <c r="G576" s="42">
        <v>82</v>
      </c>
      <c r="H576" s="40" t="s">
        <v>541</v>
      </c>
      <c r="I576" s="39" t="s">
        <v>323</v>
      </c>
      <c r="J576" s="43">
        <v>181914.1</v>
      </c>
      <c r="K576" s="43">
        <v>0</v>
      </c>
      <c r="L576" s="43">
        <v>181914.1</v>
      </c>
      <c r="M576" s="44">
        <v>0</v>
      </c>
      <c r="N576" s="44">
        <f t="shared" si="8"/>
        <v>142644.16</v>
      </c>
      <c r="O576" s="44">
        <v>142644.16</v>
      </c>
      <c r="P576" s="40" t="s">
        <v>4595</v>
      </c>
      <c r="Q576" s="40" t="s">
        <v>4596</v>
      </c>
      <c r="R576" s="40" t="s">
        <v>494</v>
      </c>
      <c r="S576" s="40" t="s">
        <v>502</v>
      </c>
      <c r="T576" s="40" t="s">
        <v>284</v>
      </c>
      <c r="U576" s="40" t="s">
        <v>4597</v>
      </c>
      <c r="V576" s="40" t="s">
        <v>4598</v>
      </c>
      <c r="W576" s="40" t="s">
        <v>4599</v>
      </c>
    </row>
    <row r="577" spans="1:23" ht="12" x14ac:dyDescent="0.2">
      <c r="A577" s="39" t="s">
        <v>16</v>
      </c>
      <c r="B577" s="40" t="s">
        <v>414</v>
      </c>
      <c r="C577" s="40" t="s">
        <v>4600</v>
      </c>
      <c r="D577" s="41">
        <v>45979</v>
      </c>
      <c r="E577" s="41">
        <v>46009</v>
      </c>
      <c r="F577" s="41">
        <v>46091</v>
      </c>
      <c r="G577" s="42">
        <v>82</v>
      </c>
      <c r="H577" s="40" t="s">
        <v>541</v>
      </c>
      <c r="I577" s="39" t="s">
        <v>320</v>
      </c>
      <c r="J577" s="43">
        <v>7027.21</v>
      </c>
      <c r="K577" s="43">
        <v>0</v>
      </c>
      <c r="L577" s="43">
        <v>7027.21</v>
      </c>
      <c r="M577" s="44">
        <v>0</v>
      </c>
      <c r="N577" s="44">
        <f t="shared" si="8"/>
        <v>7027.21</v>
      </c>
      <c r="O577" s="44">
        <v>7027.21</v>
      </c>
      <c r="P577" s="40" t="s">
        <v>2296</v>
      </c>
      <c r="Q577" s="40" t="s">
        <v>2297</v>
      </c>
      <c r="R577" s="40" t="s">
        <v>494</v>
      </c>
      <c r="S577" s="40" t="s">
        <v>502</v>
      </c>
      <c r="T577" s="40" t="s">
        <v>327</v>
      </c>
      <c r="U577" s="40" t="s">
        <v>550</v>
      </c>
      <c r="V577" s="40" t="s">
        <v>4601</v>
      </c>
      <c r="W577" s="40" t="s">
        <v>2298</v>
      </c>
    </row>
    <row r="578" spans="1:23" ht="12" x14ac:dyDescent="0.2">
      <c r="A578" s="39" t="s">
        <v>624</v>
      </c>
      <c r="B578" s="40" t="s">
        <v>4602</v>
      </c>
      <c r="C578" s="40" t="s">
        <v>4603</v>
      </c>
      <c r="D578" s="41">
        <v>45980</v>
      </c>
      <c r="E578" s="41">
        <v>46010</v>
      </c>
      <c r="F578" s="41">
        <v>46091</v>
      </c>
      <c r="G578" s="42">
        <v>81</v>
      </c>
      <c r="H578" s="40" t="s">
        <v>541</v>
      </c>
      <c r="I578" s="39" t="s">
        <v>320</v>
      </c>
      <c r="J578" s="43">
        <v>99907.69</v>
      </c>
      <c r="K578" s="43">
        <v>0</v>
      </c>
      <c r="L578" s="43">
        <v>99907.69</v>
      </c>
      <c r="M578" s="44">
        <v>0</v>
      </c>
      <c r="N578" s="44">
        <f t="shared" si="8"/>
        <v>99907.69</v>
      </c>
      <c r="O578" s="44">
        <v>99907.69</v>
      </c>
      <c r="P578" s="40" t="s">
        <v>4604</v>
      </c>
      <c r="Q578" s="40" t="s">
        <v>4605</v>
      </c>
      <c r="R578" s="40" t="s">
        <v>494</v>
      </c>
      <c r="S578" s="40" t="s">
        <v>502</v>
      </c>
      <c r="T578" s="40" t="s">
        <v>190</v>
      </c>
      <c r="U578" s="40" t="s">
        <v>4606</v>
      </c>
      <c r="V578" s="40" t="s">
        <v>4607</v>
      </c>
      <c r="W578" s="40" t="s">
        <v>4608</v>
      </c>
    </row>
    <row r="579" spans="1:23" ht="12" x14ac:dyDescent="0.2">
      <c r="A579" s="39" t="s">
        <v>40</v>
      </c>
      <c r="B579" s="40" t="s">
        <v>456</v>
      </c>
      <c r="C579" s="40" t="s">
        <v>4609</v>
      </c>
      <c r="D579" s="41">
        <v>45980</v>
      </c>
      <c r="E579" s="41">
        <v>46010</v>
      </c>
      <c r="F579" s="41">
        <v>46091</v>
      </c>
      <c r="G579" s="42">
        <v>81</v>
      </c>
      <c r="H579" s="40" t="s">
        <v>541</v>
      </c>
      <c r="I579" s="39" t="s">
        <v>320</v>
      </c>
      <c r="J579" s="43">
        <v>325.77</v>
      </c>
      <c r="K579" s="43">
        <v>0</v>
      </c>
      <c r="L579" s="43">
        <v>325.77</v>
      </c>
      <c r="M579" s="44">
        <v>0</v>
      </c>
      <c r="N579" s="44">
        <f t="shared" ref="N579:N642" si="9">IF(I579="GBP",L579-K579,O579-K579)</f>
        <v>325.77</v>
      </c>
      <c r="O579" s="44">
        <v>325.77</v>
      </c>
      <c r="P579" s="40" t="s">
        <v>4610</v>
      </c>
      <c r="Q579" s="40" t="s">
        <v>4611</v>
      </c>
      <c r="R579" s="40" t="s">
        <v>494</v>
      </c>
      <c r="S579" s="40" t="s">
        <v>502</v>
      </c>
      <c r="T579" s="40" t="s">
        <v>219</v>
      </c>
      <c r="U579" s="40" t="s">
        <v>4612</v>
      </c>
      <c r="V579" s="40" t="s">
        <v>4613</v>
      </c>
      <c r="W579" s="40" t="s">
        <v>4614</v>
      </c>
    </row>
    <row r="580" spans="1:23" ht="12" x14ac:dyDescent="0.2">
      <c r="A580" s="39" t="s">
        <v>337</v>
      </c>
      <c r="B580" s="40" t="s">
        <v>336</v>
      </c>
      <c r="C580" s="40" t="s">
        <v>4615</v>
      </c>
      <c r="D580" s="41">
        <v>45981</v>
      </c>
      <c r="E580" s="41">
        <v>46011</v>
      </c>
      <c r="F580" s="41">
        <v>46091</v>
      </c>
      <c r="G580" s="42">
        <v>80</v>
      </c>
      <c r="H580" s="40" t="s">
        <v>541</v>
      </c>
      <c r="I580" s="39" t="s">
        <v>320</v>
      </c>
      <c r="J580" s="43">
        <v>67325.78</v>
      </c>
      <c r="K580" s="43">
        <v>0</v>
      </c>
      <c r="L580" s="43">
        <v>67325.78</v>
      </c>
      <c r="M580" s="44">
        <v>0</v>
      </c>
      <c r="N580" s="44">
        <f t="shared" si="9"/>
        <v>67325.78</v>
      </c>
      <c r="O580" s="44">
        <v>67325.78</v>
      </c>
      <c r="P580" s="40" t="s">
        <v>1005</v>
      </c>
      <c r="Q580" s="40" t="s">
        <v>1006</v>
      </c>
      <c r="R580" s="40" t="s">
        <v>494</v>
      </c>
      <c r="S580" s="40" t="s">
        <v>502</v>
      </c>
      <c r="T580" s="40" t="s">
        <v>289</v>
      </c>
      <c r="U580" s="40" t="s">
        <v>571</v>
      </c>
      <c r="V580" s="40" t="s">
        <v>3980</v>
      </c>
      <c r="W580" s="40" t="s">
        <v>1007</v>
      </c>
    </row>
    <row r="581" spans="1:23" ht="12" x14ac:dyDescent="0.2">
      <c r="A581" s="39" t="s">
        <v>3267</v>
      </c>
      <c r="B581" s="40" t="s">
        <v>3268</v>
      </c>
      <c r="C581" s="40" t="s">
        <v>4616</v>
      </c>
      <c r="D581" s="41">
        <v>45981</v>
      </c>
      <c r="E581" s="41">
        <v>46011</v>
      </c>
      <c r="F581" s="41">
        <v>46091</v>
      </c>
      <c r="G581" s="42">
        <v>80</v>
      </c>
      <c r="H581" s="40" t="s">
        <v>541</v>
      </c>
      <c r="I581" s="39" t="s">
        <v>323</v>
      </c>
      <c r="J581" s="43">
        <v>8219.3700000000008</v>
      </c>
      <c r="K581" s="43">
        <v>0</v>
      </c>
      <c r="L581" s="43">
        <v>5805.81</v>
      </c>
      <c r="M581" s="44">
        <v>0</v>
      </c>
      <c r="N581" s="44">
        <f t="shared" si="9"/>
        <v>4300.6000000000004</v>
      </c>
      <c r="O581" s="44">
        <v>4300.6000000000004</v>
      </c>
      <c r="P581" s="40" t="s">
        <v>4617</v>
      </c>
      <c r="Q581" s="40" t="s">
        <v>4618</v>
      </c>
      <c r="R581" s="40" t="s">
        <v>494</v>
      </c>
      <c r="S581" s="40" t="s">
        <v>495</v>
      </c>
      <c r="T581" s="40" t="s">
        <v>284</v>
      </c>
      <c r="U581" s="40" t="s">
        <v>678</v>
      </c>
      <c r="V581" s="40" t="s">
        <v>4619</v>
      </c>
      <c r="W581" s="40" t="s">
        <v>4620</v>
      </c>
    </row>
    <row r="582" spans="1:23" ht="12" x14ac:dyDescent="0.2">
      <c r="A582" s="39" t="s">
        <v>436</v>
      </c>
      <c r="B582" s="40" t="s">
        <v>3384</v>
      </c>
      <c r="C582" s="40" t="s">
        <v>4621</v>
      </c>
      <c r="D582" s="41">
        <v>45981</v>
      </c>
      <c r="E582" s="41">
        <v>46011</v>
      </c>
      <c r="F582" s="41">
        <v>46091</v>
      </c>
      <c r="G582" s="42">
        <v>80</v>
      </c>
      <c r="H582" s="40" t="s">
        <v>541</v>
      </c>
      <c r="I582" s="39" t="s">
        <v>320</v>
      </c>
      <c r="J582" s="43">
        <v>14436.84</v>
      </c>
      <c r="K582" s="43">
        <v>0</v>
      </c>
      <c r="L582" s="43">
        <v>14436.84</v>
      </c>
      <c r="M582" s="44">
        <v>0</v>
      </c>
      <c r="N582" s="44">
        <f t="shared" si="9"/>
        <v>14436.84</v>
      </c>
      <c r="O582" s="44">
        <v>14436.84</v>
      </c>
      <c r="P582" s="40" t="s">
        <v>4622</v>
      </c>
      <c r="Q582" s="40" t="s">
        <v>4623</v>
      </c>
      <c r="R582" s="40" t="s">
        <v>494</v>
      </c>
      <c r="S582" s="40" t="s">
        <v>502</v>
      </c>
      <c r="T582" s="40" t="s">
        <v>178</v>
      </c>
      <c r="U582" s="40" t="s">
        <v>4624</v>
      </c>
      <c r="V582" s="40" t="s">
        <v>4625</v>
      </c>
      <c r="W582" s="40" t="s">
        <v>4626</v>
      </c>
    </row>
    <row r="583" spans="1:23" ht="12" x14ac:dyDescent="0.2">
      <c r="A583" s="39" t="s">
        <v>4627</v>
      </c>
      <c r="B583" s="40" t="s">
        <v>4628</v>
      </c>
      <c r="C583" s="40" t="s">
        <v>4629</v>
      </c>
      <c r="D583" s="41">
        <v>45982</v>
      </c>
      <c r="E583" s="41">
        <v>46012</v>
      </c>
      <c r="F583" s="41">
        <v>46091</v>
      </c>
      <c r="G583" s="42">
        <v>79</v>
      </c>
      <c r="H583" s="40" t="s">
        <v>541</v>
      </c>
      <c r="I583" s="39" t="s">
        <v>323</v>
      </c>
      <c r="J583" s="43">
        <v>42688.06</v>
      </c>
      <c r="K583" s="43">
        <v>0</v>
      </c>
      <c r="L583" s="43">
        <v>42688.06</v>
      </c>
      <c r="M583" s="44">
        <v>0</v>
      </c>
      <c r="N583" s="44">
        <f t="shared" si="9"/>
        <v>34150.449999999997</v>
      </c>
      <c r="O583" s="44">
        <v>34150.449999999997</v>
      </c>
      <c r="P583" s="40" t="s">
        <v>4630</v>
      </c>
      <c r="Q583" s="40" t="s">
        <v>4631</v>
      </c>
      <c r="R583" s="40" t="s">
        <v>494</v>
      </c>
      <c r="S583" s="40" t="s">
        <v>502</v>
      </c>
      <c r="T583" s="40" t="s">
        <v>164</v>
      </c>
      <c r="U583" s="40" t="s">
        <v>4632</v>
      </c>
      <c r="V583" s="40"/>
      <c r="W583" s="40" t="s">
        <v>4633</v>
      </c>
    </row>
    <row r="584" spans="1:23" ht="12" x14ac:dyDescent="0.2">
      <c r="A584" s="39" t="s">
        <v>21</v>
      </c>
      <c r="B584" s="40" t="s">
        <v>707</v>
      </c>
      <c r="C584" s="40" t="s">
        <v>4634</v>
      </c>
      <c r="D584" s="41">
        <v>45982</v>
      </c>
      <c r="E584" s="41">
        <v>46012</v>
      </c>
      <c r="F584" s="41">
        <v>46091</v>
      </c>
      <c r="G584" s="42">
        <v>79</v>
      </c>
      <c r="H584" s="40" t="s">
        <v>541</v>
      </c>
      <c r="I584" s="39" t="s">
        <v>320</v>
      </c>
      <c r="J584" s="43">
        <v>1956.36</v>
      </c>
      <c r="K584" s="43">
        <v>0</v>
      </c>
      <c r="L584" s="43">
        <v>1956.36</v>
      </c>
      <c r="M584" s="44">
        <v>0</v>
      </c>
      <c r="N584" s="44">
        <f t="shared" si="9"/>
        <v>1956.36</v>
      </c>
      <c r="O584" s="44">
        <v>1956.36</v>
      </c>
      <c r="P584" s="40" t="s">
        <v>3190</v>
      </c>
      <c r="Q584" s="40" t="s">
        <v>3191</v>
      </c>
      <c r="R584" s="40" t="s">
        <v>494</v>
      </c>
      <c r="S584" s="40" t="s">
        <v>502</v>
      </c>
      <c r="T584" s="40" t="s">
        <v>164</v>
      </c>
      <c r="U584" s="40" t="s">
        <v>3192</v>
      </c>
      <c r="V584" s="40" t="s">
        <v>4635</v>
      </c>
      <c r="W584" s="40" t="s">
        <v>3193</v>
      </c>
    </row>
    <row r="585" spans="1:23" ht="12" x14ac:dyDescent="0.2">
      <c r="A585" s="39" t="s">
        <v>337</v>
      </c>
      <c r="B585" s="40" t="s">
        <v>336</v>
      </c>
      <c r="C585" s="40" t="s">
        <v>4636</v>
      </c>
      <c r="D585" s="41">
        <v>45982</v>
      </c>
      <c r="E585" s="41">
        <v>46012</v>
      </c>
      <c r="F585" s="41">
        <v>46091</v>
      </c>
      <c r="G585" s="42">
        <v>79</v>
      </c>
      <c r="H585" s="40" t="s">
        <v>541</v>
      </c>
      <c r="I585" s="39" t="s">
        <v>320</v>
      </c>
      <c r="J585" s="43">
        <v>6020.39</v>
      </c>
      <c r="K585" s="43">
        <v>0</v>
      </c>
      <c r="L585" s="43">
        <v>6020.39</v>
      </c>
      <c r="M585" s="44">
        <v>0</v>
      </c>
      <c r="N585" s="44">
        <f t="shared" si="9"/>
        <v>6020.39</v>
      </c>
      <c r="O585" s="44">
        <v>6020.39</v>
      </c>
      <c r="P585" s="40" t="s">
        <v>3130</v>
      </c>
      <c r="Q585" s="40" t="s">
        <v>3131</v>
      </c>
      <c r="R585" s="40" t="s">
        <v>494</v>
      </c>
      <c r="S585" s="40" t="s">
        <v>502</v>
      </c>
      <c r="T585" s="40" t="s">
        <v>507</v>
      </c>
      <c r="U585" s="40" t="s">
        <v>1232</v>
      </c>
      <c r="V585" s="40" t="s">
        <v>4012</v>
      </c>
      <c r="W585" s="40" t="s">
        <v>3132</v>
      </c>
    </row>
    <row r="586" spans="1:23" ht="12" x14ac:dyDescent="0.2">
      <c r="A586" s="39" t="s">
        <v>4637</v>
      </c>
      <c r="B586" s="40" t="s">
        <v>4638</v>
      </c>
      <c r="C586" s="40" t="s">
        <v>4639</v>
      </c>
      <c r="D586" s="41">
        <v>45982</v>
      </c>
      <c r="E586" s="41">
        <v>46012</v>
      </c>
      <c r="F586" s="41">
        <v>46091</v>
      </c>
      <c r="G586" s="42">
        <v>79</v>
      </c>
      <c r="H586" s="40" t="s">
        <v>541</v>
      </c>
      <c r="I586" s="39" t="s">
        <v>320</v>
      </c>
      <c r="J586" s="43">
        <v>1500</v>
      </c>
      <c r="K586" s="43">
        <v>0</v>
      </c>
      <c r="L586" s="43">
        <v>1500</v>
      </c>
      <c r="M586" s="44">
        <v>0</v>
      </c>
      <c r="N586" s="44">
        <f t="shared" si="9"/>
        <v>1500</v>
      </c>
      <c r="O586" s="44">
        <v>1500</v>
      </c>
      <c r="P586" s="40" t="s">
        <v>4640</v>
      </c>
      <c r="Q586" s="40" t="s">
        <v>4641</v>
      </c>
      <c r="R586" s="40" t="s">
        <v>494</v>
      </c>
      <c r="S586" s="40" t="s">
        <v>502</v>
      </c>
      <c r="T586" s="40" t="s">
        <v>218</v>
      </c>
      <c r="U586" s="40" t="s">
        <v>4642</v>
      </c>
      <c r="V586" s="40" t="s">
        <v>4643</v>
      </c>
      <c r="W586" s="40" t="s">
        <v>321</v>
      </c>
    </row>
    <row r="587" spans="1:23" ht="12" x14ac:dyDescent="0.2">
      <c r="A587" s="39" t="s">
        <v>3222</v>
      </c>
      <c r="B587" s="40" t="s">
        <v>3223</v>
      </c>
      <c r="C587" s="40" t="s">
        <v>4644</v>
      </c>
      <c r="D587" s="41">
        <v>45982</v>
      </c>
      <c r="E587" s="41">
        <v>46012</v>
      </c>
      <c r="F587" s="41">
        <v>46091</v>
      </c>
      <c r="G587" s="42">
        <v>79</v>
      </c>
      <c r="H587" s="40" t="s">
        <v>541</v>
      </c>
      <c r="I587" s="39" t="s">
        <v>323</v>
      </c>
      <c r="J587" s="43">
        <v>180000</v>
      </c>
      <c r="K587" s="43">
        <v>30000</v>
      </c>
      <c r="L587" s="43">
        <v>180000</v>
      </c>
      <c r="M587" s="44">
        <v>22222.222222222223</v>
      </c>
      <c r="N587" s="44">
        <f t="shared" si="9"/>
        <v>103333.32999999999</v>
      </c>
      <c r="O587" s="44">
        <v>133333.32999999999</v>
      </c>
      <c r="P587" s="40" t="s">
        <v>3224</v>
      </c>
      <c r="Q587" s="40" t="s">
        <v>3225</v>
      </c>
      <c r="R587" s="40" t="s">
        <v>494</v>
      </c>
      <c r="S587" s="40" t="s">
        <v>502</v>
      </c>
      <c r="T587" s="40" t="s">
        <v>218</v>
      </c>
      <c r="U587" s="40" t="s">
        <v>3226</v>
      </c>
      <c r="V587" s="40" t="s">
        <v>4645</v>
      </c>
      <c r="W587" s="40" t="s">
        <v>4646</v>
      </c>
    </row>
    <row r="588" spans="1:23" ht="12" x14ac:dyDescent="0.2">
      <c r="A588" s="39" t="s">
        <v>911</v>
      </c>
      <c r="B588" s="40" t="s">
        <v>912</v>
      </c>
      <c r="C588" s="40" t="s">
        <v>4647</v>
      </c>
      <c r="D588" s="41">
        <v>45983</v>
      </c>
      <c r="E588" s="41">
        <v>46013</v>
      </c>
      <c r="F588" s="41">
        <v>46091</v>
      </c>
      <c r="G588" s="42">
        <v>78</v>
      </c>
      <c r="H588" s="40" t="s">
        <v>541</v>
      </c>
      <c r="I588" s="39" t="s">
        <v>323</v>
      </c>
      <c r="J588" s="43">
        <v>22425.91</v>
      </c>
      <c r="K588" s="43">
        <v>0</v>
      </c>
      <c r="L588" s="43">
        <v>22425.91</v>
      </c>
      <c r="M588" s="44">
        <v>0</v>
      </c>
      <c r="N588" s="44">
        <f t="shared" si="9"/>
        <v>17940.73</v>
      </c>
      <c r="O588" s="44">
        <v>17940.73</v>
      </c>
      <c r="P588" s="40" t="s">
        <v>4648</v>
      </c>
      <c r="Q588" s="40" t="s">
        <v>4649</v>
      </c>
      <c r="R588" s="40" t="s">
        <v>494</v>
      </c>
      <c r="S588" s="40" t="s">
        <v>502</v>
      </c>
      <c r="T588" s="40" t="s">
        <v>513</v>
      </c>
      <c r="U588" s="40" t="s">
        <v>4006</v>
      </c>
      <c r="V588" s="40"/>
      <c r="W588" s="40" t="s">
        <v>4650</v>
      </c>
    </row>
    <row r="589" spans="1:23" ht="12" x14ac:dyDescent="0.2">
      <c r="A589" s="39" t="s">
        <v>911</v>
      </c>
      <c r="B589" s="40" t="s">
        <v>912</v>
      </c>
      <c r="C589" s="40" t="s">
        <v>4651</v>
      </c>
      <c r="D589" s="41">
        <v>45983</v>
      </c>
      <c r="E589" s="41">
        <v>46013</v>
      </c>
      <c r="F589" s="41">
        <v>46091</v>
      </c>
      <c r="G589" s="42">
        <v>78</v>
      </c>
      <c r="H589" s="40" t="s">
        <v>541</v>
      </c>
      <c r="I589" s="39" t="s">
        <v>323</v>
      </c>
      <c r="J589" s="43">
        <v>6781.43</v>
      </c>
      <c r="K589" s="43">
        <v>0</v>
      </c>
      <c r="L589" s="43">
        <v>6781.43</v>
      </c>
      <c r="M589" s="44">
        <v>0</v>
      </c>
      <c r="N589" s="44">
        <f t="shared" si="9"/>
        <v>5425.14</v>
      </c>
      <c r="O589" s="44">
        <v>5425.14</v>
      </c>
      <c r="P589" s="40" t="s">
        <v>4648</v>
      </c>
      <c r="Q589" s="40" t="s">
        <v>4649</v>
      </c>
      <c r="R589" s="40" t="s">
        <v>494</v>
      </c>
      <c r="S589" s="40" t="s">
        <v>502</v>
      </c>
      <c r="T589" s="40" t="s">
        <v>513</v>
      </c>
      <c r="U589" s="40" t="s">
        <v>4006</v>
      </c>
      <c r="V589" s="40"/>
      <c r="W589" s="40" t="s">
        <v>4650</v>
      </c>
    </row>
    <row r="590" spans="1:23" ht="12" x14ac:dyDescent="0.2">
      <c r="A590" s="39" t="s">
        <v>911</v>
      </c>
      <c r="B590" s="40" t="s">
        <v>912</v>
      </c>
      <c r="C590" s="40" t="s">
        <v>4652</v>
      </c>
      <c r="D590" s="41">
        <v>45983</v>
      </c>
      <c r="E590" s="41">
        <v>46013</v>
      </c>
      <c r="F590" s="41">
        <v>46091</v>
      </c>
      <c r="G590" s="42">
        <v>78</v>
      </c>
      <c r="H590" s="40" t="s">
        <v>541</v>
      </c>
      <c r="I590" s="39" t="s">
        <v>323</v>
      </c>
      <c r="J590" s="43">
        <v>82078.559999999998</v>
      </c>
      <c r="K590" s="43">
        <v>0</v>
      </c>
      <c r="L590" s="43">
        <v>82078.559999999998</v>
      </c>
      <c r="M590" s="44">
        <v>0</v>
      </c>
      <c r="N590" s="44">
        <f t="shared" si="9"/>
        <v>60798.93</v>
      </c>
      <c r="O590" s="44">
        <v>60798.93</v>
      </c>
      <c r="P590" s="40" t="s">
        <v>4653</v>
      </c>
      <c r="Q590" s="40" t="s">
        <v>4654</v>
      </c>
      <c r="R590" s="40" t="s">
        <v>494</v>
      </c>
      <c r="S590" s="40" t="s">
        <v>502</v>
      </c>
      <c r="T590" s="40" t="s">
        <v>513</v>
      </c>
      <c r="U590" s="40" t="s">
        <v>630</v>
      </c>
      <c r="V590" s="40"/>
      <c r="W590" s="40" t="s">
        <v>4655</v>
      </c>
    </row>
    <row r="591" spans="1:23" ht="12" x14ac:dyDescent="0.2">
      <c r="A591" s="39" t="s">
        <v>911</v>
      </c>
      <c r="B591" s="40" t="s">
        <v>912</v>
      </c>
      <c r="C591" s="40" t="s">
        <v>4656</v>
      </c>
      <c r="D591" s="41">
        <v>45983</v>
      </c>
      <c r="E591" s="41">
        <v>46013</v>
      </c>
      <c r="F591" s="41">
        <v>46091</v>
      </c>
      <c r="G591" s="42">
        <v>78</v>
      </c>
      <c r="H591" s="40" t="s">
        <v>541</v>
      </c>
      <c r="I591" s="39" t="s">
        <v>323</v>
      </c>
      <c r="J591" s="43">
        <v>44325.32</v>
      </c>
      <c r="K591" s="43">
        <v>0</v>
      </c>
      <c r="L591" s="43">
        <v>44325.32</v>
      </c>
      <c r="M591" s="44">
        <v>0</v>
      </c>
      <c r="N591" s="44">
        <f t="shared" si="9"/>
        <v>32833.57</v>
      </c>
      <c r="O591" s="44">
        <v>32833.57</v>
      </c>
      <c r="P591" s="40" t="s">
        <v>4657</v>
      </c>
      <c r="Q591" s="40" t="s">
        <v>4658</v>
      </c>
      <c r="R591" s="40" t="s">
        <v>494</v>
      </c>
      <c r="S591" s="40" t="s">
        <v>502</v>
      </c>
      <c r="T591" s="40" t="s">
        <v>513</v>
      </c>
      <c r="U591" s="40" t="s">
        <v>4006</v>
      </c>
      <c r="V591" s="40"/>
      <c r="W591" s="40" t="s">
        <v>4659</v>
      </c>
    </row>
    <row r="592" spans="1:23" ht="12" x14ac:dyDescent="0.2">
      <c r="A592" s="39" t="s">
        <v>911</v>
      </c>
      <c r="B592" s="40" t="s">
        <v>912</v>
      </c>
      <c r="C592" s="40" t="s">
        <v>4660</v>
      </c>
      <c r="D592" s="41">
        <v>45983</v>
      </c>
      <c r="E592" s="41">
        <v>46013</v>
      </c>
      <c r="F592" s="41">
        <v>46091</v>
      </c>
      <c r="G592" s="42">
        <v>78</v>
      </c>
      <c r="H592" s="40" t="s">
        <v>541</v>
      </c>
      <c r="I592" s="39" t="s">
        <v>323</v>
      </c>
      <c r="J592" s="43">
        <v>3568.5</v>
      </c>
      <c r="K592" s="43">
        <v>0</v>
      </c>
      <c r="L592" s="43">
        <v>3568.5</v>
      </c>
      <c r="M592" s="44">
        <v>0</v>
      </c>
      <c r="N592" s="44">
        <f t="shared" si="9"/>
        <v>2643.33</v>
      </c>
      <c r="O592" s="44">
        <v>2643.33</v>
      </c>
      <c r="P592" s="40" t="s">
        <v>4004</v>
      </c>
      <c r="Q592" s="40" t="s">
        <v>4005</v>
      </c>
      <c r="R592" s="40" t="s">
        <v>494</v>
      </c>
      <c r="S592" s="40" t="s">
        <v>502</v>
      </c>
      <c r="T592" s="40" t="s">
        <v>513</v>
      </c>
      <c r="U592" s="40" t="s">
        <v>4006</v>
      </c>
      <c r="V592" s="40"/>
      <c r="W592" s="40" t="s">
        <v>4007</v>
      </c>
    </row>
    <row r="593" spans="1:23" ht="12" x14ac:dyDescent="0.2">
      <c r="A593" s="39" t="s">
        <v>442</v>
      </c>
      <c r="B593" s="40" t="s">
        <v>441</v>
      </c>
      <c r="C593" s="40" t="s">
        <v>4661</v>
      </c>
      <c r="D593" s="41">
        <v>45984</v>
      </c>
      <c r="E593" s="41">
        <v>46014</v>
      </c>
      <c r="F593" s="41">
        <v>46091</v>
      </c>
      <c r="G593" s="42">
        <v>77</v>
      </c>
      <c r="H593" s="40" t="s">
        <v>541</v>
      </c>
      <c r="I593" s="39" t="s">
        <v>320</v>
      </c>
      <c r="J593" s="43">
        <v>-29920.76</v>
      </c>
      <c r="K593" s="43">
        <v>0</v>
      </c>
      <c r="L593" s="43">
        <v>-29920.76</v>
      </c>
      <c r="M593" s="44">
        <v>0</v>
      </c>
      <c r="N593" s="44">
        <f t="shared" si="9"/>
        <v>-29920.76</v>
      </c>
      <c r="O593" s="44">
        <v>-29920.76</v>
      </c>
      <c r="P593" s="40" t="s">
        <v>4662</v>
      </c>
      <c r="Q593" s="40" t="s">
        <v>4663</v>
      </c>
      <c r="R593" s="40" t="s">
        <v>494</v>
      </c>
      <c r="S593" s="40" t="s">
        <v>495</v>
      </c>
      <c r="T593" s="40" t="s">
        <v>204</v>
      </c>
      <c r="U593" s="40" t="s">
        <v>4664</v>
      </c>
      <c r="V593" s="40"/>
      <c r="W593" s="40" t="s">
        <v>4665</v>
      </c>
    </row>
    <row r="594" spans="1:23" ht="12" x14ac:dyDescent="0.2">
      <c r="A594" s="39" t="s">
        <v>943</v>
      </c>
      <c r="B594" s="40" t="s">
        <v>944</v>
      </c>
      <c r="C594" s="40" t="s">
        <v>4666</v>
      </c>
      <c r="D594" s="41">
        <v>45985</v>
      </c>
      <c r="E594" s="41">
        <v>46015</v>
      </c>
      <c r="F594" s="41">
        <v>46091</v>
      </c>
      <c r="G594" s="42">
        <v>76</v>
      </c>
      <c r="H594" s="40" t="s">
        <v>541</v>
      </c>
      <c r="I594" s="39" t="s">
        <v>320</v>
      </c>
      <c r="J594" s="43">
        <v>53792.15</v>
      </c>
      <c r="K594" s="43">
        <v>0</v>
      </c>
      <c r="L594" s="43">
        <v>53792.15</v>
      </c>
      <c r="M594" s="44">
        <v>0</v>
      </c>
      <c r="N594" s="44">
        <f t="shared" si="9"/>
        <v>53792.15</v>
      </c>
      <c r="O594" s="44">
        <v>53792.15</v>
      </c>
      <c r="P594" s="40" t="s">
        <v>2851</v>
      </c>
      <c r="Q594" s="40" t="s">
        <v>2852</v>
      </c>
      <c r="R594" s="40" t="s">
        <v>494</v>
      </c>
      <c r="S594" s="40" t="s">
        <v>502</v>
      </c>
      <c r="T594" s="40" t="s">
        <v>497</v>
      </c>
      <c r="U594" s="40" t="s">
        <v>767</v>
      </c>
      <c r="V594" s="40" t="s">
        <v>4667</v>
      </c>
      <c r="W594" s="40" t="s">
        <v>322</v>
      </c>
    </row>
    <row r="595" spans="1:23" ht="12" x14ac:dyDescent="0.2">
      <c r="A595" s="39" t="s">
        <v>2178</v>
      </c>
      <c r="B595" s="40" t="s">
        <v>2179</v>
      </c>
      <c r="C595" s="40" t="s">
        <v>4668</v>
      </c>
      <c r="D595" s="41">
        <v>45985</v>
      </c>
      <c r="E595" s="41">
        <v>46015</v>
      </c>
      <c r="F595" s="41">
        <v>46091</v>
      </c>
      <c r="G595" s="42">
        <v>76</v>
      </c>
      <c r="H595" s="40" t="s">
        <v>541</v>
      </c>
      <c r="I595" s="39" t="s">
        <v>320</v>
      </c>
      <c r="J595" s="43">
        <v>53054.63</v>
      </c>
      <c r="K595" s="43">
        <v>0</v>
      </c>
      <c r="L595" s="43">
        <v>53054.63</v>
      </c>
      <c r="M595" s="44">
        <v>0</v>
      </c>
      <c r="N595" s="44">
        <f t="shared" si="9"/>
        <v>53054.63</v>
      </c>
      <c r="O595" s="44">
        <v>53054.63</v>
      </c>
      <c r="P595" s="40" t="s">
        <v>4557</v>
      </c>
      <c r="Q595" s="40" t="s">
        <v>4558</v>
      </c>
      <c r="R595" s="40" t="s">
        <v>494</v>
      </c>
      <c r="S595" s="40" t="s">
        <v>502</v>
      </c>
      <c r="T595" s="40" t="s">
        <v>218</v>
      </c>
      <c r="U595" s="40" t="s">
        <v>4559</v>
      </c>
      <c r="V595" s="40"/>
      <c r="W595" s="40" t="s">
        <v>4560</v>
      </c>
    </row>
    <row r="596" spans="1:23" ht="12" x14ac:dyDescent="0.2">
      <c r="A596" s="39" t="s">
        <v>2178</v>
      </c>
      <c r="B596" s="40" t="s">
        <v>2179</v>
      </c>
      <c r="C596" s="40" t="s">
        <v>4669</v>
      </c>
      <c r="D596" s="41">
        <v>45985</v>
      </c>
      <c r="E596" s="41">
        <v>46015</v>
      </c>
      <c r="F596" s="41">
        <v>46091</v>
      </c>
      <c r="G596" s="42">
        <v>76</v>
      </c>
      <c r="H596" s="40" t="s">
        <v>541</v>
      </c>
      <c r="I596" s="39" t="s">
        <v>320</v>
      </c>
      <c r="J596" s="43">
        <v>87655.32</v>
      </c>
      <c r="K596" s="43">
        <v>0</v>
      </c>
      <c r="L596" s="43">
        <v>9584.31</v>
      </c>
      <c r="M596" s="44">
        <v>0</v>
      </c>
      <c r="N596" s="44">
        <f t="shared" si="9"/>
        <v>9584.31</v>
      </c>
      <c r="O596" s="44">
        <v>9584.31</v>
      </c>
      <c r="P596" s="40" t="s">
        <v>4670</v>
      </c>
      <c r="Q596" s="40" t="s">
        <v>4671</v>
      </c>
      <c r="R596" s="40" t="s">
        <v>494</v>
      </c>
      <c r="S596" s="40" t="s">
        <v>502</v>
      </c>
      <c r="T596" s="40" t="s">
        <v>221</v>
      </c>
      <c r="U596" s="40" t="s">
        <v>4672</v>
      </c>
      <c r="V596" s="40"/>
      <c r="W596" s="40" t="s">
        <v>4673</v>
      </c>
    </row>
    <row r="597" spans="1:23" ht="12" x14ac:dyDescent="0.2">
      <c r="A597" s="39" t="s">
        <v>357</v>
      </c>
      <c r="B597" s="40" t="s">
        <v>356</v>
      </c>
      <c r="C597" s="40" t="s">
        <v>4674</v>
      </c>
      <c r="D597" s="41">
        <v>45985</v>
      </c>
      <c r="E597" s="41">
        <v>46015</v>
      </c>
      <c r="F597" s="41">
        <v>46091</v>
      </c>
      <c r="G597" s="42">
        <v>76</v>
      </c>
      <c r="H597" s="40" t="s">
        <v>541</v>
      </c>
      <c r="I597" s="39" t="s">
        <v>341</v>
      </c>
      <c r="J597" s="43">
        <v>56325.97</v>
      </c>
      <c r="K597" s="43">
        <v>0</v>
      </c>
      <c r="L597" s="43">
        <v>26542.67</v>
      </c>
      <c r="M597" s="44">
        <v>0</v>
      </c>
      <c r="N597" s="44">
        <f t="shared" si="9"/>
        <v>22481.91</v>
      </c>
      <c r="O597" s="44">
        <v>22481.91</v>
      </c>
      <c r="P597" s="40" t="s">
        <v>4675</v>
      </c>
      <c r="Q597" s="40" t="s">
        <v>4676</v>
      </c>
      <c r="R597" s="40" t="s">
        <v>494</v>
      </c>
      <c r="S597" s="40" t="s">
        <v>495</v>
      </c>
      <c r="T597" s="40" t="s">
        <v>178</v>
      </c>
      <c r="U597" s="40" t="s">
        <v>4677</v>
      </c>
      <c r="V597" s="40"/>
      <c r="W597" s="40" t="s">
        <v>4678</v>
      </c>
    </row>
    <row r="598" spans="1:23" ht="12" x14ac:dyDescent="0.2">
      <c r="A598" s="39" t="s">
        <v>1818</v>
      </c>
      <c r="B598" s="40" t="s">
        <v>1819</v>
      </c>
      <c r="C598" s="40" t="s">
        <v>4679</v>
      </c>
      <c r="D598" s="41">
        <v>45986</v>
      </c>
      <c r="E598" s="41">
        <v>46016</v>
      </c>
      <c r="F598" s="41">
        <v>46091</v>
      </c>
      <c r="G598" s="42">
        <v>75</v>
      </c>
      <c r="H598" s="40" t="s">
        <v>541</v>
      </c>
      <c r="I598" s="39" t="s">
        <v>320</v>
      </c>
      <c r="J598" s="43">
        <v>25053.05</v>
      </c>
      <c r="K598" s="43">
        <v>0</v>
      </c>
      <c r="L598" s="43">
        <v>25053.05</v>
      </c>
      <c r="M598" s="44">
        <v>0</v>
      </c>
      <c r="N598" s="44">
        <f t="shared" si="9"/>
        <v>25053.05</v>
      </c>
      <c r="O598" s="44">
        <v>25053.05</v>
      </c>
      <c r="P598" s="40" t="s">
        <v>4680</v>
      </c>
      <c r="Q598" s="40" t="s">
        <v>4681</v>
      </c>
      <c r="R598" s="40" t="s">
        <v>494</v>
      </c>
      <c r="S598" s="40" t="s">
        <v>495</v>
      </c>
      <c r="T598" s="40" t="s">
        <v>222</v>
      </c>
      <c r="U598" s="40" t="s">
        <v>553</v>
      </c>
      <c r="V598" s="40"/>
      <c r="W598" s="40" t="s">
        <v>4682</v>
      </c>
    </row>
    <row r="599" spans="1:23" ht="12" x14ac:dyDescent="0.2">
      <c r="A599" s="39" t="s">
        <v>1818</v>
      </c>
      <c r="B599" s="40" t="s">
        <v>1819</v>
      </c>
      <c r="C599" s="40" t="s">
        <v>4683</v>
      </c>
      <c r="D599" s="41">
        <v>45986</v>
      </c>
      <c r="E599" s="41">
        <v>46016</v>
      </c>
      <c r="F599" s="41">
        <v>46091</v>
      </c>
      <c r="G599" s="42">
        <v>75</v>
      </c>
      <c r="H599" s="40" t="s">
        <v>541</v>
      </c>
      <c r="I599" s="39" t="s">
        <v>320</v>
      </c>
      <c r="J599" s="43">
        <v>22372.35</v>
      </c>
      <c r="K599" s="43">
        <v>0</v>
      </c>
      <c r="L599" s="43">
        <v>22372.35</v>
      </c>
      <c r="M599" s="44">
        <v>0</v>
      </c>
      <c r="N599" s="44">
        <f t="shared" si="9"/>
        <v>22372.35</v>
      </c>
      <c r="O599" s="44">
        <v>22372.35</v>
      </c>
      <c r="P599" s="40" t="s">
        <v>4684</v>
      </c>
      <c r="Q599" s="40" t="s">
        <v>4685</v>
      </c>
      <c r="R599" s="40" t="s">
        <v>494</v>
      </c>
      <c r="S599" s="40" t="s">
        <v>495</v>
      </c>
      <c r="T599" s="40" t="s">
        <v>225</v>
      </c>
      <c r="U599" s="40" t="s">
        <v>4686</v>
      </c>
      <c r="V599" s="40"/>
      <c r="W599" s="40" t="s">
        <v>4687</v>
      </c>
    </row>
    <row r="600" spans="1:23" ht="12" x14ac:dyDescent="0.2">
      <c r="A600" s="39" t="s">
        <v>357</v>
      </c>
      <c r="B600" s="40" t="s">
        <v>356</v>
      </c>
      <c r="C600" s="40" t="s">
        <v>4688</v>
      </c>
      <c r="D600" s="41">
        <v>45986</v>
      </c>
      <c r="E600" s="41">
        <v>46016</v>
      </c>
      <c r="F600" s="41">
        <v>46091</v>
      </c>
      <c r="G600" s="42">
        <v>75</v>
      </c>
      <c r="H600" s="40" t="s">
        <v>541</v>
      </c>
      <c r="I600" s="39" t="s">
        <v>341</v>
      </c>
      <c r="J600" s="43">
        <v>571943.46</v>
      </c>
      <c r="K600" s="43">
        <v>0</v>
      </c>
      <c r="L600" s="43">
        <v>242081.28</v>
      </c>
      <c r="M600" s="44">
        <v>0</v>
      </c>
      <c r="N600" s="44">
        <f t="shared" si="9"/>
        <v>205272.82</v>
      </c>
      <c r="O600" s="44">
        <v>205272.82</v>
      </c>
      <c r="P600" s="40" t="s">
        <v>4689</v>
      </c>
      <c r="Q600" s="40" t="s">
        <v>4690</v>
      </c>
      <c r="R600" s="40" t="s">
        <v>494</v>
      </c>
      <c r="S600" s="40" t="s">
        <v>502</v>
      </c>
      <c r="T600" s="40" t="s">
        <v>214</v>
      </c>
      <c r="U600" s="40" t="s">
        <v>847</v>
      </c>
      <c r="V600" s="40" t="s">
        <v>4009</v>
      </c>
      <c r="W600" s="40" t="s">
        <v>4691</v>
      </c>
    </row>
    <row r="601" spans="1:23" ht="12" x14ac:dyDescent="0.2">
      <c r="A601" s="39" t="s">
        <v>469</v>
      </c>
      <c r="B601" s="40" t="s">
        <v>468</v>
      </c>
      <c r="C601" s="40" t="s">
        <v>4692</v>
      </c>
      <c r="D601" s="41">
        <v>45986</v>
      </c>
      <c r="E601" s="41">
        <v>46016</v>
      </c>
      <c r="F601" s="41">
        <v>46091</v>
      </c>
      <c r="G601" s="42">
        <v>75</v>
      </c>
      <c r="H601" s="40" t="s">
        <v>541</v>
      </c>
      <c r="I601" s="39" t="s">
        <v>320</v>
      </c>
      <c r="J601" s="43">
        <v>35373.279999999999</v>
      </c>
      <c r="K601" s="43">
        <v>0</v>
      </c>
      <c r="L601" s="43">
        <v>35373.279999999999</v>
      </c>
      <c r="M601" s="44">
        <v>0</v>
      </c>
      <c r="N601" s="44">
        <f t="shared" si="9"/>
        <v>35373.279999999999</v>
      </c>
      <c r="O601" s="44">
        <v>35373.279999999999</v>
      </c>
      <c r="P601" s="40" t="s">
        <v>4693</v>
      </c>
      <c r="Q601" s="40" t="s">
        <v>4694</v>
      </c>
      <c r="R601" s="40" t="s">
        <v>494</v>
      </c>
      <c r="S601" s="40" t="s">
        <v>502</v>
      </c>
      <c r="T601" s="40" t="s">
        <v>191</v>
      </c>
      <c r="U601" s="40" t="s">
        <v>1392</v>
      </c>
      <c r="V601" s="40" t="s">
        <v>4695</v>
      </c>
      <c r="W601" s="40" t="s">
        <v>322</v>
      </c>
    </row>
    <row r="602" spans="1:23" ht="12" x14ac:dyDescent="0.2">
      <c r="A602" s="39" t="s">
        <v>369</v>
      </c>
      <c r="B602" s="40" t="s">
        <v>794</v>
      </c>
      <c r="C602" s="40" t="s">
        <v>4696</v>
      </c>
      <c r="D602" s="41">
        <v>45986</v>
      </c>
      <c r="E602" s="41">
        <v>46016</v>
      </c>
      <c r="F602" s="41">
        <v>46091</v>
      </c>
      <c r="G602" s="42">
        <v>75</v>
      </c>
      <c r="H602" s="40" t="s">
        <v>541</v>
      </c>
      <c r="I602" s="39" t="s">
        <v>320</v>
      </c>
      <c r="J602" s="43">
        <v>23380.21</v>
      </c>
      <c r="K602" s="43">
        <v>0</v>
      </c>
      <c r="L602" s="43">
        <v>23380.21</v>
      </c>
      <c r="M602" s="44">
        <v>0</v>
      </c>
      <c r="N602" s="44">
        <f t="shared" si="9"/>
        <v>23380.21</v>
      </c>
      <c r="O602" s="44">
        <v>23380.21</v>
      </c>
      <c r="P602" s="40" t="s">
        <v>4697</v>
      </c>
      <c r="Q602" s="40" t="s">
        <v>4698</v>
      </c>
      <c r="R602" s="40" t="s">
        <v>494</v>
      </c>
      <c r="S602" s="40" t="s">
        <v>502</v>
      </c>
      <c r="T602" s="40" t="s">
        <v>542</v>
      </c>
      <c r="U602" s="40" t="s">
        <v>4699</v>
      </c>
      <c r="V602" s="40" t="s">
        <v>4700</v>
      </c>
      <c r="W602" s="40" t="s">
        <v>4701</v>
      </c>
    </row>
    <row r="603" spans="1:23" ht="12" x14ac:dyDescent="0.2">
      <c r="A603" s="39" t="s">
        <v>815</v>
      </c>
      <c r="B603" s="40" t="s">
        <v>1119</v>
      </c>
      <c r="C603" s="40" t="s">
        <v>4702</v>
      </c>
      <c r="D603" s="41">
        <v>45986</v>
      </c>
      <c r="E603" s="41">
        <v>46016</v>
      </c>
      <c r="F603" s="41">
        <v>46091</v>
      </c>
      <c r="G603" s="42">
        <v>75</v>
      </c>
      <c r="H603" s="40" t="s">
        <v>541</v>
      </c>
      <c r="I603" s="39" t="s">
        <v>320</v>
      </c>
      <c r="J603" s="43">
        <v>38123.629999999997</v>
      </c>
      <c r="K603" s="43">
        <v>0</v>
      </c>
      <c r="L603" s="43">
        <v>38123.629999999997</v>
      </c>
      <c r="M603" s="44">
        <v>0</v>
      </c>
      <c r="N603" s="44">
        <f t="shared" si="9"/>
        <v>38123.629999999997</v>
      </c>
      <c r="O603" s="44">
        <v>38123.629999999997</v>
      </c>
      <c r="P603" s="40" t="s">
        <v>2551</v>
      </c>
      <c r="Q603" s="40" t="s">
        <v>2552</v>
      </c>
      <c r="R603" s="40" t="s">
        <v>494</v>
      </c>
      <c r="S603" s="40" t="s">
        <v>502</v>
      </c>
      <c r="T603" s="40" t="s">
        <v>284</v>
      </c>
      <c r="U603" s="40" t="s">
        <v>1505</v>
      </c>
      <c r="V603" s="40" t="s">
        <v>3933</v>
      </c>
      <c r="W603" s="40" t="s">
        <v>2553</v>
      </c>
    </row>
    <row r="604" spans="1:23" ht="12" x14ac:dyDescent="0.2">
      <c r="A604" s="39" t="s">
        <v>16</v>
      </c>
      <c r="B604" s="40" t="s">
        <v>414</v>
      </c>
      <c r="C604" s="40" t="s">
        <v>4703</v>
      </c>
      <c r="D604" s="41">
        <v>45986</v>
      </c>
      <c r="E604" s="41">
        <v>46016</v>
      </c>
      <c r="F604" s="41">
        <v>46091</v>
      </c>
      <c r="G604" s="42">
        <v>75</v>
      </c>
      <c r="H604" s="40" t="s">
        <v>541</v>
      </c>
      <c r="I604" s="39" t="s">
        <v>320</v>
      </c>
      <c r="J604" s="43">
        <v>61276.49</v>
      </c>
      <c r="K604" s="43">
        <v>0</v>
      </c>
      <c r="L604" s="43">
        <v>61276.49</v>
      </c>
      <c r="M604" s="44">
        <v>0</v>
      </c>
      <c r="N604" s="44">
        <f t="shared" si="9"/>
        <v>61276.49</v>
      </c>
      <c r="O604" s="44">
        <v>61276.49</v>
      </c>
      <c r="P604" s="40" t="s">
        <v>3269</v>
      </c>
      <c r="Q604" s="40" t="s">
        <v>3270</v>
      </c>
      <c r="R604" s="40" t="s">
        <v>494</v>
      </c>
      <c r="S604" s="40" t="s">
        <v>502</v>
      </c>
      <c r="T604" s="40" t="s">
        <v>284</v>
      </c>
      <c r="U604" s="40" t="s">
        <v>803</v>
      </c>
      <c r="V604" s="40" t="s">
        <v>4704</v>
      </c>
      <c r="W604" s="40" t="s">
        <v>3271</v>
      </c>
    </row>
    <row r="605" spans="1:23" ht="12" x14ac:dyDescent="0.2">
      <c r="A605" s="39" t="s">
        <v>16</v>
      </c>
      <c r="B605" s="40" t="s">
        <v>414</v>
      </c>
      <c r="C605" s="40" t="s">
        <v>4705</v>
      </c>
      <c r="D605" s="41">
        <v>45986</v>
      </c>
      <c r="E605" s="41">
        <v>46016</v>
      </c>
      <c r="F605" s="41">
        <v>46091</v>
      </c>
      <c r="G605" s="42">
        <v>75</v>
      </c>
      <c r="H605" s="40" t="s">
        <v>541</v>
      </c>
      <c r="I605" s="39" t="s">
        <v>320</v>
      </c>
      <c r="J605" s="43">
        <v>12722.01</v>
      </c>
      <c r="K605" s="43">
        <v>0</v>
      </c>
      <c r="L605" s="43">
        <v>12722.01</v>
      </c>
      <c r="M605" s="44">
        <v>0</v>
      </c>
      <c r="N605" s="44">
        <f t="shared" si="9"/>
        <v>12722.01</v>
      </c>
      <c r="O605" s="44">
        <v>12722.01</v>
      </c>
      <c r="P605" s="40" t="s">
        <v>3307</v>
      </c>
      <c r="Q605" s="40" t="s">
        <v>3308</v>
      </c>
      <c r="R605" s="40" t="s">
        <v>494</v>
      </c>
      <c r="S605" s="40" t="s">
        <v>502</v>
      </c>
      <c r="T605" s="40" t="s">
        <v>284</v>
      </c>
      <c r="U605" s="40" t="s">
        <v>803</v>
      </c>
      <c r="V605" s="40" t="s">
        <v>4706</v>
      </c>
      <c r="W605" s="40" t="s">
        <v>3271</v>
      </c>
    </row>
    <row r="606" spans="1:23" ht="12" x14ac:dyDescent="0.2">
      <c r="A606" s="39" t="s">
        <v>1139</v>
      </c>
      <c r="B606" s="40" t="s">
        <v>1140</v>
      </c>
      <c r="C606" s="40" t="s">
        <v>4707</v>
      </c>
      <c r="D606" s="41">
        <v>45986</v>
      </c>
      <c r="E606" s="41">
        <v>46016</v>
      </c>
      <c r="F606" s="41">
        <v>46091</v>
      </c>
      <c r="G606" s="42">
        <v>75</v>
      </c>
      <c r="H606" s="40" t="s">
        <v>541</v>
      </c>
      <c r="I606" s="39" t="s">
        <v>323</v>
      </c>
      <c r="J606" s="43">
        <v>21193.11</v>
      </c>
      <c r="K606" s="43">
        <v>0</v>
      </c>
      <c r="L606" s="43">
        <v>21193.11</v>
      </c>
      <c r="M606" s="44">
        <v>0</v>
      </c>
      <c r="N606" s="44">
        <f t="shared" si="9"/>
        <v>15698.6</v>
      </c>
      <c r="O606" s="44">
        <v>15698.6</v>
      </c>
      <c r="P606" s="40" t="s">
        <v>4708</v>
      </c>
      <c r="Q606" s="40" t="s">
        <v>4709</v>
      </c>
      <c r="R606" s="40" t="s">
        <v>494</v>
      </c>
      <c r="S606" s="40" t="s">
        <v>502</v>
      </c>
      <c r="T606" s="40" t="s">
        <v>284</v>
      </c>
      <c r="U606" s="40" t="s">
        <v>678</v>
      </c>
      <c r="V606" s="40" t="s">
        <v>4710</v>
      </c>
      <c r="W606" s="40" t="s">
        <v>4711</v>
      </c>
    </row>
    <row r="607" spans="1:23" ht="12" x14ac:dyDescent="0.2">
      <c r="A607" s="39" t="s">
        <v>1167</v>
      </c>
      <c r="B607" s="40" t="s">
        <v>1221</v>
      </c>
      <c r="C607" s="40" t="s">
        <v>4712</v>
      </c>
      <c r="D607" s="41">
        <v>45986</v>
      </c>
      <c r="E607" s="41">
        <v>46016</v>
      </c>
      <c r="F607" s="41">
        <v>46091</v>
      </c>
      <c r="G607" s="42">
        <v>75</v>
      </c>
      <c r="H607" s="40" t="s">
        <v>541</v>
      </c>
      <c r="I607" s="39" t="s">
        <v>323</v>
      </c>
      <c r="J607" s="43">
        <v>124832.99</v>
      </c>
      <c r="K607" s="43">
        <v>0</v>
      </c>
      <c r="L607" s="43">
        <v>124832.99</v>
      </c>
      <c r="M607" s="44">
        <v>0</v>
      </c>
      <c r="N607" s="44">
        <f t="shared" si="9"/>
        <v>92468.88</v>
      </c>
      <c r="O607" s="44">
        <v>92468.88</v>
      </c>
      <c r="P607" s="40" t="s">
        <v>2722</v>
      </c>
      <c r="Q607" s="40" t="s">
        <v>2723</v>
      </c>
      <c r="R607" s="40" t="s">
        <v>494</v>
      </c>
      <c r="S607" s="40" t="s">
        <v>502</v>
      </c>
      <c r="T607" s="40" t="s">
        <v>888</v>
      </c>
      <c r="U607" s="40" t="s">
        <v>1160</v>
      </c>
      <c r="V607" s="40" t="s">
        <v>3958</v>
      </c>
      <c r="W607" s="40" t="s">
        <v>2724</v>
      </c>
    </row>
    <row r="608" spans="1:23" ht="12" x14ac:dyDescent="0.2">
      <c r="A608" s="39" t="s">
        <v>471</v>
      </c>
      <c r="B608" s="40" t="s">
        <v>3229</v>
      </c>
      <c r="C608" s="40" t="s">
        <v>4713</v>
      </c>
      <c r="D608" s="41">
        <v>45986</v>
      </c>
      <c r="E608" s="41">
        <v>46016</v>
      </c>
      <c r="F608" s="41">
        <v>46091</v>
      </c>
      <c r="G608" s="42">
        <v>75</v>
      </c>
      <c r="H608" s="40" t="s">
        <v>541</v>
      </c>
      <c r="I608" s="39" t="s">
        <v>320</v>
      </c>
      <c r="J608" s="43">
        <v>2907.41</v>
      </c>
      <c r="K608" s="43">
        <v>0</v>
      </c>
      <c r="L608" s="43">
        <v>2907.41</v>
      </c>
      <c r="M608" s="44">
        <v>0</v>
      </c>
      <c r="N608" s="44">
        <f t="shared" si="9"/>
        <v>2907.41</v>
      </c>
      <c r="O608" s="44">
        <v>2907.41</v>
      </c>
      <c r="P608" s="40" t="s">
        <v>3320</v>
      </c>
      <c r="Q608" s="40" t="s">
        <v>3321</v>
      </c>
      <c r="R608" s="40" t="s">
        <v>494</v>
      </c>
      <c r="S608" s="40" t="s">
        <v>502</v>
      </c>
      <c r="T608" s="40" t="s">
        <v>191</v>
      </c>
      <c r="U608" s="40" t="s">
        <v>3060</v>
      </c>
      <c r="V608" s="40" t="s">
        <v>4714</v>
      </c>
      <c r="W608" s="40" t="s">
        <v>3322</v>
      </c>
    </row>
    <row r="609" spans="1:23" ht="12" x14ac:dyDescent="0.2">
      <c r="A609" s="39" t="s">
        <v>52</v>
      </c>
      <c r="B609" s="40" t="s">
        <v>472</v>
      </c>
      <c r="C609" s="40" t="s">
        <v>4715</v>
      </c>
      <c r="D609" s="41">
        <v>45986</v>
      </c>
      <c r="E609" s="41">
        <v>46016</v>
      </c>
      <c r="F609" s="41">
        <v>46091</v>
      </c>
      <c r="G609" s="42">
        <v>75</v>
      </c>
      <c r="H609" s="40" t="s">
        <v>541</v>
      </c>
      <c r="I609" s="39" t="s">
        <v>320</v>
      </c>
      <c r="J609" s="43">
        <v>304.35000000000002</v>
      </c>
      <c r="K609" s="43">
        <v>0</v>
      </c>
      <c r="L609" s="43">
        <v>304.35000000000002</v>
      </c>
      <c r="M609" s="44">
        <v>0</v>
      </c>
      <c r="N609" s="44">
        <f t="shared" si="9"/>
        <v>304.35000000000002</v>
      </c>
      <c r="O609" s="44">
        <v>304.35000000000002</v>
      </c>
      <c r="P609" s="40" t="s">
        <v>3184</v>
      </c>
      <c r="Q609" s="40" t="s">
        <v>3185</v>
      </c>
      <c r="R609" s="40" t="s">
        <v>494</v>
      </c>
      <c r="S609" s="40" t="s">
        <v>502</v>
      </c>
      <c r="T609" s="40" t="s">
        <v>280</v>
      </c>
      <c r="U609" s="40" t="s">
        <v>759</v>
      </c>
      <c r="V609" s="40" t="s">
        <v>4015</v>
      </c>
      <c r="W609" s="40" t="s">
        <v>3186</v>
      </c>
    </row>
    <row r="610" spans="1:23" ht="12" x14ac:dyDescent="0.2">
      <c r="A610" s="39" t="s">
        <v>415</v>
      </c>
      <c r="B610" s="40" t="s">
        <v>2934</v>
      </c>
      <c r="C610" s="40" t="s">
        <v>4716</v>
      </c>
      <c r="D610" s="41">
        <v>45986</v>
      </c>
      <c r="E610" s="41">
        <v>46016</v>
      </c>
      <c r="F610" s="41">
        <v>46091</v>
      </c>
      <c r="G610" s="42">
        <v>75</v>
      </c>
      <c r="H610" s="40" t="s">
        <v>541</v>
      </c>
      <c r="I610" s="39" t="s">
        <v>320</v>
      </c>
      <c r="J610" s="43">
        <v>3634.85</v>
      </c>
      <c r="K610" s="43">
        <v>0</v>
      </c>
      <c r="L610" s="43">
        <v>3634.85</v>
      </c>
      <c r="M610" s="44">
        <v>0</v>
      </c>
      <c r="N610" s="44">
        <f t="shared" si="9"/>
        <v>3634.85</v>
      </c>
      <c r="O610" s="44">
        <v>3634.85</v>
      </c>
      <c r="P610" s="40" t="s">
        <v>4717</v>
      </c>
      <c r="Q610" s="40" t="s">
        <v>4718</v>
      </c>
      <c r="R610" s="40" t="s">
        <v>494</v>
      </c>
      <c r="S610" s="40" t="s">
        <v>502</v>
      </c>
      <c r="T610" s="40" t="s">
        <v>284</v>
      </c>
      <c r="U610" s="40" t="s">
        <v>4719</v>
      </c>
      <c r="V610" s="40" t="s">
        <v>4720</v>
      </c>
      <c r="W610" s="40" t="s">
        <v>4721</v>
      </c>
    </row>
    <row r="611" spans="1:23" ht="12" x14ac:dyDescent="0.2">
      <c r="A611" s="39" t="s">
        <v>1818</v>
      </c>
      <c r="B611" s="40" t="s">
        <v>1819</v>
      </c>
      <c r="C611" s="40" t="s">
        <v>4722</v>
      </c>
      <c r="D611" s="41">
        <v>45986</v>
      </c>
      <c r="E611" s="41">
        <v>46016</v>
      </c>
      <c r="F611" s="41">
        <v>46091</v>
      </c>
      <c r="G611" s="42">
        <v>75</v>
      </c>
      <c r="H611" s="40" t="s">
        <v>541</v>
      </c>
      <c r="I611" s="39" t="s">
        <v>320</v>
      </c>
      <c r="J611" s="43">
        <v>25061.86</v>
      </c>
      <c r="K611" s="43">
        <v>0</v>
      </c>
      <c r="L611" s="43">
        <v>25061.86</v>
      </c>
      <c r="M611" s="44">
        <v>0</v>
      </c>
      <c r="N611" s="44">
        <f t="shared" si="9"/>
        <v>25061.86</v>
      </c>
      <c r="O611" s="44">
        <v>25061.86</v>
      </c>
      <c r="P611" s="40" t="s">
        <v>4723</v>
      </c>
      <c r="Q611" s="40" t="s">
        <v>4724</v>
      </c>
      <c r="R611" s="40" t="s">
        <v>494</v>
      </c>
      <c r="S611" s="40" t="s">
        <v>495</v>
      </c>
      <c r="T611" s="40" t="s">
        <v>222</v>
      </c>
      <c r="U611" s="40" t="s">
        <v>553</v>
      </c>
      <c r="V611" s="40"/>
      <c r="W611" s="40" t="s">
        <v>4725</v>
      </c>
    </row>
    <row r="612" spans="1:23" ht="12" x14ac:dyDescent="0.2">
      <c r="A612" s="39" t="s">
        <v>2178</v>
      </c>
      <c r="B612" s="40" t="s">
        <v>2179</v>
      </c>
      <c r="C612" s="40" t="s">
        <v>4726</v>
      </c>
      <c r="D612" s="41">
        <v>45987</v>
      </c>
      <c r="E612" s="41">
        <v>46017</v>
      </c>
      <c r="F612" s="41">
        <v>46091</v>
      </c>
      <c r="G612" s="42">
        <v>74</v>
      </c>
      <c r="H612" s="40" t="s">
        <v>541</v>
      </c>
      <c r="I612" s="39" t="s">
        <v>320</v>
      </c>
      <c r="J612" s="43">
        <v>57533.87</v>
      </c>
      <c r="K612" s="43">
        <v>0</v>
      </c>
      <c r="L612" s="43">
        <v>19714.89</v>
      </c>
      <c r="M612" s="44">
        <v>0</v>
      </c>
      <c r="N612" s="44">
        <f t="shared" si="9"/>
        <v>19714.89</v>
      </c>
      <c r="O612" s="44">
        <v>19714.89</v>
      </c>
      <c r="P612" s="40" t="s">
        <v>2234</v>
      </c>
      <c r="Q612" s="40" t="s">
        <v>2235</v>
      </c>
      <c r="R612" s="40" t="s">
        <v>494</v>
      </c>
      <c r="S612" s="40" t="s">
        <v>502</v>
      </c>
      <c r="T612" s="40" t="s">
        <v>280</v>
      </c>
      <c r="U612" s="40" t="s">
        <v>753</v>
      </c>
      <c r="V612" s="40"/>
      <c r="W612" s="40" t="s">
        <v>2236</v>
      </c>
    </row>
    <row r="613" spans="1:23" ht="12" x14ac:dyDescent="0.2">
      <c r="A613" s="39" t="s">
        <v>825</v>
      </c>
      <c r="B613" s="40" t="s">
        <v>826</v>
      </c>
      <c r="C613" s="40" t="s">
        <v>4727</v>
      </c>
      <c r="D613" s="41">
        <v>45987</v>
      </c>
      <c r="E613" s="41">
        <v>46017</v>
      </c>
      <c r="F613" s="41">
        <v>46091</v>
      </c>
      <c r="G613" s="42">
        <v>74</v>
      </c>
      <c r="H613" s="40" t="s">
        <v>541</v>
      </c>
      <c r="I613" s="39" t="s">
        <v>320</v>
      </c>
      <c r="J613" s="43">
        <v>22222.22</v>
      </c>
      <c r="K613" s="43">
        <v>0</v>
      </c>
      <c r="L613" s="43">
        <v>22222.22</v>
      </c>
      <c r="M613" s="44">
        <v>0</v>
      </c>
      <c r="N613" s="44">
        <f t="shared" si="9"/>
        <v>22222.22</v>
      </c>
      <c r="O613" s="44">
        <v>22222.22</v>
      </c>
      <c r="P613" s="40" t="s">
        <v>4728</v>
      </c>
      <c r="Q613" s="40" t="s">
        <v>4729</v>
      </c>
      <c r="R613" s="40" t="s">
        <v>494</v>
      </c>
      <c r="S613" s="40" t="s">
        <v>502</v>
      </c>
      <c r="T613" s="40" t="s">
        <v>181</v>
      </c>
      <c r="U613" s="40" t="s">
        <v>562</v>
      </c>
      <c r="V613" s="40"/>
      <c r="W613" s="40" t="s">
        <v>4730</v>
      </c>
    </row>
    <row r="614" spans="1:23" ht="12" x14ac:dyDescent="0.2">
      <c r="A614" s="39" t="s">
        <v>16</v>
      </c>
      <c r="B614" s="40" t="s">
        <v>414</v>
      </c>
      <c r="C614" s="40" t="s">
        <v>4731</v>
      </c>
      <c r="D614" s="41">
        <v>45987</v>
      </c>
      <c r="E614" s="41">
        <v>46017</v>
      </c>
      <c r="F614" s="41">
        <v>46091</v>
      </c>
      <c r="G614" s="42">
        <v>74</v>
      </c>
      <c r="H614" s="40" t="s">
        <v>541</v>
      </c>
      <c r="I614" s="39" t="s">
        <v>320</v>
      </c>
      <c r="J614" s="43">
        <v>17892.310000000001</v>
      </c>
      <c r="K614" s="43">
        <v>0</v>
      </c>
      <c r="L614" s="43">
        <v>17892.310000000001</v>
      </c>
      <c r="M614" s="44">
        <v>0</v>
      </c>
      <c r="N614" s="44">
        <f t="shared" si="9"/>
        <v>17892.310000000001</v>
      </c>
      <c r="O614" s="44">
        <v>17892.310000000001</v>
      </c>
      <c r="P614" s="40" t="s">
        <v>3160</v>
      </c>
      <c r="Q614" s="40" t="s">
        <v>3161</v>
      </c>
      <c r="R614" s="40" t="s">
        <v>494</v>
      </c>
      <c r="S614" s="40" t="s">
        <v>502</v>
      </c>
      <c r="T614" s="40" t="s">
        <v>330</v>
      </c>
      <c r="U614" s="40" t="s">
        <v>3066</v>
      </c>
      <c r="V614" s="40" t="s">
        <v>4732</v>
      </c>
      <c r="W614" s="40" t="s">
        <v>3162</v>
      </c>
    </row>
    <row r="615" spans="1:23" ht="12" x14ac:dyDescent="0.2">
      <c r="A615" s="39" t="s">
        <v>34</v>
      </c>
      <c r="B615" s="40" t="s">
        <v>465</v>
      </c>
      <c r="C615" s="40" t="s">
        <v>4733</v>
      </c>
      <c r="D615" s="41">
        <v>45987</v>
      </c>
      <c r="E615" s="41">
        <v>46017</v>
      </c>
      <c r="F615" s="41">
        <v>46091</v>
      </c>
      <c r="G615" s="42">
        <v>74</v>
      </c>
      <c r="H615" s="40" t="s">
        <v>541</v>
      </c>
      <c r="I615" s="39" t="s">
        <v>320</v>
      </c>
      <c r="J615" s="43">
        <v>19461.96</v>
      </c>
      <c r="K615" s="43">
        <v>3243.67</v>
      </c>
      <c r="L615" s="43">
        <v>19461.96</v>
      </c>
      <c r="M615" s="44">
        <v>3243.67</v>
      </c>
      <c r="N615" s="44">
        <f t="shared" si="9"/>
        <v>16218.289999999999</v>
      </c>
      <c r="O615" s="44">
        <v>19461.96</v>
      </c>
      <c r="P615" s="40" t="s">
        <v>4734</v>
      </c>
      <c r="Q615" s="40" t="s">
        <v>4735</v>
      </c>
      <c r="R615" s="40" t="s">
        <v>494</v>
      </c>
      <c r="S615" s="40" t="s">
        <v>502</v>
      </c>
      <c r="T615" s="40" t="s">
        <v>218</v>
      </c>
      <c r="U615" s="40" t="s">
        <v>1298</v>
      </c>
      <c r="V615" s="40" t="s">
        <v>4736</v>
      </c>
      <c r="W615" s="40" t="s">
        <v>4737</v>
      </c>
    </row>
    <row r="616" spans="1:23" ht="12" x14ac:dyDescent="0.2">
      <c r="A616" s="39" t="s">
        <v>35</v>
      </c>
      <c r="B616" s="40" t="s">
        <v>4172</v>
      </c>
      <c r="C616" s="40" t="s">
        <v>4738</v>
      </c>
      <c r="D616" s="41">
        <v>45987</v>
      </c>
      <c r="E616" s="41">
        <v>46017</v>
      </c>
      <c r="F616" s="41">
        <v>46091</v>
      </c>
      <c r="G616" s="42">
        <v>74</v>
      </c>
      <c r="H616" s="40" t="s">
        <v>541</v>
      </c>
      <c r="I616" s="39" t="s">
        <v>320</v>
      </c>
      <c r="J616" s="43">
        <v>44800.79</v>
      </c>
      <c r="K616" s="43">
        <v>0</v>
      </c>
      <c r="L616" s="43">
        <v>44800.79</v>
      </c>
      <c r="M616" s="44">
        <v>0</v>
      </c>
      <c r="N616" s="44">
        <f t="shared" si="9"/>
        <v>44800.79</v>
      </c>
      <c r="O616" s="44">
        <v>44800.79</v>
      </c>
      <c r="P616" s="40" t="s">
        <v>4739</v>
      </c>
      <c r="Q616" s="40" t="s">
        <v>4740</v>
      </c>
      <c r="R616" s="40" t="s">
        <v>494</v>
      </c>
      <c r="S616" s="40" t="s">
        <v>502</v>
      </c>
      <c r="T616" s="40" t="s">
        <v>496</v>
      </c>
      <c r="U616" s="40" t="s">
        <v>4741</v>
      </c>
      <c r="V616" s="40"/>
      <c r="W616" s="40" t="s">
        <v>4742</v>
      </c>
    </row>
    <row r="617" spans="1:23" ht="12" x14ac:dyDescent="0.2">
      <c r="A617" s="39" t="s">
        <v>825</v>
      </c>
      <c r="B617" s="40" t="s">
        <v>826</v>
      </c>
      <c r="C617" s="40" t="s">
        <v>4743</v>
      </c>
      <c r="D617" s="41">
        <v>45988</v>
      </c>
      <c r="E617" s="41">
        <v>46018</v>
      </c>
      <c r="F617" s="41">
        <v>46091</v>
      </c>
      <c r="G617" s="42">
        <v>73</v>
      </c>
      <c r="H617" s="40" t="s">
        <v>541</v>
      </c>
      <c r="I617" s="39" t="s">
        <v>320</v>
      </c>
      <c r="J617" s="43">
        <v>-16097.69</v>
      </c>
      <c r="K617" s="43">
        <v>0</v>
      </c>
      <c r="L617" s="43">
        <v>-16097.69</v>
      </c>
      <c r="M617" s="44">
        <v>0</v>
      </c>
      <c r="N617" s="44">
        <f t="shared" si="9"/>
        <v>-16097.69</v>
      </c>
      <c r="O617" s="44">
        <v>-16097.69</v>
      </c>
      <c r="P617" s="40" t="s">
        <v>4744</v>
      </c>
      <c r="Q617" s="40" t="s">
        <v>4745</v>
      </c>
      <c r="R617" s="40" t="s">
        <v>494</v>
      </c>
      <c r="S617" s="40" t="s">
        <v>495</v>
      </c>
      <c r="T617" s="40" t="s">
        <v>282</v>
      </c>
      <c r="U617" s="40" t="s">
        <v>783</v>
      </c>
      <c r="V617" s="40" t="s">
        <v>4746</v>
      </c>
      <c r="W617" s="40" t="s">
        <v>321</v>
      </c>
    </row>
    <row r="618" spans="1:23" ht="12" x14ac:dyDescent="0.2">
      <c r="A618" s="39" t="s">
        <v>71</v>
      </c>
      <c r="B618" s="40" t="s">
        <v>458</v>
      </c>
      <c r="C618" s="40" t="s">
        <v>4747</v>
      </c>
      <c r="D618" s="41">
        <v>45988</v>
      </c>
      <c r="E618" s="41">
        <v>46018</v>
      </c>
      <c r="F618" s="41">
        <v>46091</v>
      </c>
      <c r="G618" s="42">
        <v>73</v>
      </c>
      <c r="H618" s="40" t="s">
        <v>541</v>
      </c>
      <c r="I618" s="39" t="s">
        <v>320</v>
      </c>
      <c r="J618" s="43">
        <v>3711.91</v>
      </c>
      <c r="K618" s="43">
        <v>0</v>
      </c>
      <c r="L618" s="43">
        <v>3711.91</v>
      </c>
      <c r="M618" s="44">
        <v>0</v>
      </c>
      <c r="N618" s="44">
        <f t="shared" si="9"/>
        <v>3711.91</v>
      </c>
      <c r="O618" s="44">
        <v>3711.91</v>
      </c>
      <c r="P618" s="40" t="s">
        <v>2099</v>
      </c>
      <c r="Q618" s="40" t="s">
        <v>4748</v>
      </c>
      <c r="R618" s="40" t="s">
        <v>494</v>
      </c>
      <c r="S618" s="40" t="s">
        <v>502</v>
      </c>
      <c r="T618" s="40" t="s">
        <v>164</v>
      </c>
      <c r="U618" s="40" t="s">
        <v>4749</v>
      </c>
      <c r="V618" s="40" t="s">
        <v>4750</v>
      </c>
      <c r="W618" s="40" t="s">
        <v>4751</v>
      </c>
    </row>
    <row r="619" spans="1:23" ht="12" x14ac:dyDescent="0.2">
      <c r="A619" s="39" t="s">
        <v>1818</v>
      </c>
      <c r="B619" s="40" t="s">
        <v>1819</v>
      </c>
      <c r="C619" s="40" t="s">
        <v>4752</v>
      </c>
      <c r="D619" s="41">
        <v>45988</v>
      </c>
      <c r="E619" s="41">
        <v>46018</v>
      </c>
      <c r="F619" s="41">
        <v>46091</v>
      </c>
      <c r="G619" s="42">
        <v>73</v>
      </c>
      <c r="H619" s="40" t="s">
        <v>541</v>
      </c>
      <c r="I619" s="39" t="s">
        <v>320</v>
      </c>
      <c r="J619" s="43">
        <v>-3130.95</v>
      </c>
      <c r="K619" s="43">
        <v>0</v>
      </c>
      <c r="L619" s="43">
        <v>-3130.95</v>
      </c>
      <c r="M619" s="44">
        <v>0</v>
      </c>
      <c r="N619" s="44">
        <f t="shared" si="9"/>
        <v>-3130.95</v>
      </c>
      <c r="O619" s="44">
        <v>-3130.95</v>
      </c>
      <c r="P619" s="40" t="s">
        <v>4753</v>
      </c>
      <c r="Q619" s="40" t="s">
        <v>4754</v>
      </c>
      <c r="R619" s="40" t="s">
        <v>494</v>
      </c>
      <c r="S619" s="40" t="s">
        <v>495</v>
      </c>
      <c r="T619" s="40" t="s">
        <v>311</v>
      </c>
      <c r="U619" s="40" t="s">
        <v>4755</v>
      </c>
      <c r="V619" s="40"/>
      <c r="W619" s="40" t="s">
        <v>4756</v>
      </c>
    </row>
    <row r="620" spans="1:23" ht="12" x14ac:dyDescent="0.2">
      <c r="A620" s="39" t="s">
        <v>337</v>
      </c>
      <c r="B620" s="40" t="s">
        <v>336</v>
      </c>
      <c r="C620" s="40" t="s">
        <v>4757</v>
      </c>
      <c r="D620" s="41">
        <v>45988</v>
      </c>
      <c r="E620" s="41">
        <v>46018</v>
      </c>
      <c r="F620" s="41">
        <v>46091</v>
      </c>
      <c r="G620" s="42">
        <v>73</v>
      </c>
      <c r="H620" s="40" t="s">
        <v>541</v>
      </c>
      <c r="I620" s="39" t="s">
        <v>320</v>
      </c>
      <c r="J620" s="43">
        <v>27547.24</v>
      </c>
      <c r="K620" s="43">
        <v>0</v>
      </c>
      <c r="L620" s="43">
        <v>27547.24</v>
      </c>
      <c r="M620" s="44">
        <v>0</v>
      </c>
      <c r="N620" s="44">
        <f t="shared" si="9"/>
        <v>27547.24</v>
      </c>
      <c r="O620" s="44">
        <v>27547.24</v>
      </c>
      <c r="P620" s="40" t="s">
        <v>3440</v>
      </c>
      <c r="Q620" s="40" t="s">
        <v>3441</v>
      </c>
      <c r="R620" s="40" t="s">
        <v>494</v>
      </c>
      <c r="S620" s="40" t="s">
        <v>502</v>
      </c>
      <c r="T620" s="40" t="s">
        <v>273</v>
      </c>
      <c r="U620" s="40" t="s">
        <v>812</v>
      </c>
      <c r="V620" s="40" t="s">
        <v>4758</v>
      </c>
      <c r="W620" s="40" t="s">
        <v>3442</v>
      </c>
    </row>
    <row r="621" spans="1:23" ht="12" x14ac:dyDescent="0.2">
      <c r="A621" s="39" t="s">
        <v>55</v>
      </c>
      <c r="B621" s="40" t="s">
        <v>371</v>
      </c>
      <c r="C621" s="40" t="s">
        <v>4759</v>
      </c>
      <c r="D621" s="41">
        <v>45988</v>
      </c>
      <c r="E621" s="41">
        <v>46018</v>
      </c>
      <c r="F621" s="41">
        <v>46091</v>
      </c>
      <c r="G621" s="42">
        <v>73</v>
      </c>
      <c r="H621" s="40" t="s">
        <v>541</v>
      </c>
      <c r="I621" s="39" t="s">
        <v>320</v>
      </c>
      <c r="J621" s="43">
        <v>91606.63</v>
      </c>
      <c r="K621" s="43">
        <v>0</v>
      </c>
      <c r="L621" s="43">
        <v>91606.63</v>
      </c>
      <c r="M621" s="44">
        <v>0</v>
      </c>
      <c r="N621" s="44">
        <f t="shared" si="9"/>
        <v>91606.63</v>
      </c>
      <c r="O621" s="44">
        <v>91606.63</v>
      </c>
      <c r="P621" s="40" t="s">
        <v>964</v>
      </c>
      <c r="Q621" s="40" t="s">
        <v>1311</v>
      </c>
      <c r="R621" s="40" t="s">
        <v>494</v>
      </c>
      <c r="S621" s="40" t="s">
        <v>502</v>
      </c>
      <c r="T621" s="40" t="s">
        <v>330</v>
      </c>
      <c r="U621" s="40" t="s">
        <v>498</v>
      </c>
      <c r="V621" s="40" t="s">
        <v>4034</v>
      </c>
      <c r="W621" s="40" t="s">
        <v>1312</v>
      </c>
    </row>
    <row r="622" spans="1:23" ht="12" x14ac:dyDescent="0.2">
      <c r="A622" s="39" t="s">
        <v>48</v>
      </c>
      <c r="B622" s="40" t="s">
        <v>389</v>
      </c>
      <c r="C622" s="40" t="s">
        <v>4760</v>
      </c>
      <c r="D622" s="41">
        <v>45989</v>
      </c>
      <c r="E622" s="41">
        <v>46019</v>
      </c>
      <c r="F622" s="41">
        <v>46091</v>
      </c>
      <c r="G622" s="42">
        <v>72</v>
      </c>
      <c r="H622" s="40" t="s">
        <v>541</v>
      </c>
      <c r="I622" s="39" t="s">
        <v>320</v>
      </c>
      <c r="J622" s="43">
        <v>23316.63</v>
      </c>
      <c r="K622" s="43">
        <v>0</v>
      </c>
      <c r="L622" s="43">
        <v>23316.63</v>
      </c>
      <c r="M622" s="44">
        <v>0</v>
      </c>
      <c r="N622" s="44">
        <f t="shared" si="9"/>
        <v>23316.63</v>
      </c>
      <c r="O622" s="44">
        <v>23316.63</v>
      </c>
      <c r="P622" s="40" t="s">
        <v>4761</v>
      </c>
      <c r="Q622" s="40" t="s">
        <v>4762</v>
      </c>
      <c r="R622" s="40" t="s">
        <v>494</v>
      </c>
      <c r="S622" s="40" t="s">
        <v>502</v>
      </c>
      <c r="T622" s="40" t="s">
        <v>508</v>
      </c>
      <c r="U622" s="40" t="s">
        <v>537</v>
      </c>
      <c r="V622" s="40"/>
      <c r="W622" s="40" t="s">
        <v>4763</v>
      </c>
    </row>
    <row r="623" spans="1:23" ht="12" x14ac:dyDescent="0.2">
      <c r="A623" s="39" t="s">
        <v>4764</v>
      </c>
      <c r="B623" s="40" t="s">
        <v>390</v>
      </c>
      <c r="C623" s="40" t="s">
        <v>4765</v>
      </c>
      <c r="D623" s="41">
        <v>45989</v>
      </c>
      <c r="E623" s="41">
        <v>46019</v>
      </c>
      <c r="F623" s="41">
        <v>46091</v>
      </c>
      <c r="G623" s="42">
        <v>72</v>
      </c>
      <c r="H623" s="40" t="s">
        <v>541</v>
      </c>
      <c r="I623" s="39" t="s">
        <v>320</v>
      </c>
      <c r="J623" s="43">
        <v>608717.30000000005</v>
      </c>
      <c r="K623" s="43">
        <v>101452.89</v>
      </c>
      <c r="L623" s="43">
        <v>608717.30000000005</v>
      </c>
      <c r="M623" s="44">
        <v>101452.89</v>
      </c>
      <c r="N623" s="44">
        <f t="shared" si="9"/>
        <v>507264.41000000003</v>
      </c>
      <c r="O623" s="44">
        <v>608717.30000000005</v>
      </c>
      <c r="P623" s="40" t="s">
        <v>3541</v>
      </c>
      <c r="Q623" s="40" t="s">
        <v>3542</v>
      </c>
      <c r="R623" s="40" t="s">
        <v>494</v>
      </c>
      <c r="S623" s="40" t="s">
        <v>502</v>
      </c>
      <c r="T623" s="40" t="s">
        <v>284</v>
      </c>
      <c r="U623" s="40" t="s">
        <v>1505</v>
      </c>
      <c r="V623" s="40" t="s">
        <v>4766</v>
      </c>
      <c r="W623" s="40" t="s">
        <v>3543</v>
      </c>
    </row>
    <row r="624" spans="1:23" ht="12" x14ac:dyDescent="0.2">
      <c r="A624" s="39" t="s">
        <v>1818</v>
      </c>
      <c r="B624" s="40" t="s">
        <v>1819</v>
      </c>
      <c r="C624" s="40" t="s">
        <v>4767</v>
      </c>
      <c r="D624" s="41">
        <v>45989</v>
      </c>
      <c r="E624" s="41">
        <v>46019</v>
      </c>
      <c r="F624" s="41">
        <v>46091</v>
      </c>
      <c r="G624" s="42">
        <v>72</v>
      </c>
      <c r="H624" s="40" t="s">
        <v>541</v>
      </c>
      <c r="I624" s="39" t="s">
        <v>320</v>
      </c>
      <c r="J624" s="43">
        <v>21699.77</v>
      </c>
      <c r="K624" s="43">
        <v>0</v>
      </c>
      <c r="L624" s="43">
        <v>21699.77</v>
      </c>
      <c r="M624" s="44">
        <v>0</v>
      </c>
      <c r="N624" s="44">
        <f t="shared" si="9"/>
        <v>21699.77</v>
      </c>
      <c r="O624" s="44">
        <v>21699.77</v>
      </c>
      <c r="P624" s="40" t="s">
        <v>4768</v>
      </c>
      <c r="Q624" s="40" t="s">
        <v>4769</v>
      </c>
      <c r="R624" s="40" t="s">
        <v>494</v>
      </c>
      <c r="S624" s="40" t="s">
        <v>495</v>
      </c>
      <c r="T624" s="40" t="s">
        <v>218</v>
      </c>
      <c r="U624" s="40" t="s">
        <v>3226</v>
      </c>
      <c r="V624" s="40"/>
      <c r="W624" s="40" t="s">
        <v>4770</v>
      </c>
    </row>
    <row r="625" spans="1:23" ht="12" x14ac:dyDescent="0.2">
      <c r="A625" s="39" t="s">
        <v>41</v>
      </c>
      <c r="B625" s="40" t="s">
        <v>459</v>
      </c>
      <c r="C625" s="40" t="s">
        <v>4771</v>
      </c>
      <c r="D625" s="41">
        <v>45991</v>
      </c>
      <c r="E625" s="41">
        <v>46021</v>
      </c>
      <c r="F625" s="41">
        <v>46091</v>
      </c>
      <c r="G625" s="42">
        <v>70</v>
      </c>
      <c r="H625" s="40" t="s">
        <v>541</v>
      </c>
      <c r="I625" s="39" t="s">
        <v>320</v>
      </c>
      <c r="J625" s="43">
        <v>4018.99</v>
      </c>
      <c r="K625" s="43">
        <v>0</v>
      </c>
      <c r="L625" s="43">
        <v>4018.99</v>
      </c>
      <c r="M625" s="44">
        <v>0</v>
      </c>
      <c r="N625" s="44">
        <f t="shared" si="9"/>
        <v>4018.99</v>
      </c>
      <c r="O625" s="44">
        <v>4018.99</v>
      </c>
      <c r="P625" s="40" t="s">
        <v>2684</v>
      </c>
      <c r="Q625" s="40" t="s">
        <v>2685</v>
      </c>
      <c r="R625" s="40" t="s">
        <v>494</v>
      </c>
      <c r="S625" s="40" t="s">
        <v>502</v>
      </c>
      <c r="T625" s="40" t="s">
        <v>280</v>
      </c>
      <c r="U625" s="40" t="s">
        <v>753</v>
      </c>
      <c r="V625" s="40"/>
      <c r="W625" s="40" t="s">
        <v>2686</v>
      </c>
    </row>
    <row r="626" spans="1:23" ht="12" x14ac:dyDescent="0.2">
      <c r="A626" s="39" t="s">
        <v>335</v>
      </c>
      <c r="B626" s="40" t="s">
        <v>334</v>
      </c>
      <c r="C626" s="40" t="s">
        <v>4772</v>
      </c>
      <c r="D626" s="41">
        <v>45992</v>
      </c>
      <c r="E626" s="41">
        <v>46022</v>
      </c>
      <c r="F626" s="41">
        <v>46091</v>
      </c>
      <c r="G626" s="42">
        <v>69</v>
      </c>
      <c r="H626" s="40" t="s">
        <v>541</v>
      </c>
      <c r="I626" s="39" t="s">
        <v>320</v>
      </c>
      <c r="J626" s="43">
        <v>-24088.82</v>
      </c>
      <c r="K626" s="43">
        <v>0</v>
      </c>
      <c r="L626" s="43">
        <v>-24088.82</v>
      </c>
      <c r="M626" s="44">
        <v>0</v>
      </c>
      <c r="N626" s="44">
        <f t="shared" si="9"/>
        <v>-24088.82</v>
      </c>
      <c r="O626" s="44">
        <v>-24088.82</v>
      </c>
      <c r="P626" s="40" t="s">
        <v>4773</v>
      </c>
      <c r="Q626" s="40" t="s">
        <v>4774</v>
      </c>
      <c r="R626" s="40" t="s">
        <v>494</v>
      </c>
      <c r="S626" s="40" t="s">
        <v>495</v>
      </c>
      <c r="T626" s="40" t="s">
        <v>204</v>
      </c>
      <c r="U626" s="40" t="s">
        <v>4775</v>
      </c>
      <c r="V626" s="40"/>
      <c r="W626" s="40" t="s">
        <v>4776</v>
      </c>
    </row>
    <row r="627" spans="1:23" ht="12" x14ac:dyDescent="0.2">
      <c r="A627" s="39" t="s">
        <v>442</v>
      </c>
      <c r="B627" s="40" t="s">
        <v>441</v>
      </c>
      <c r="C627" s="40" t="s">
        <v>4777</v>
      </c>
      <c r="D627" s="41">
        <v>45992</v>
      </c>
      <c r="E627" s="41">
        <v>46022</v>
      </c>
      <c r="F627" s="41">
        <v>46091</v>
      </c>
      <c r="G627" s="42">
        <v>69</v>
      </c>
      <c r="H627" s="40" t="s">
        <v>541</v>
      </c>
      <c r="I627" s="39" t="s">
        <v>320</v>
      </c>
      <c r="J627" s="43">
        <v>7069.86</v>
      </c>
      <c r="K627" s="43">
        <v>0</v>
      </c>
      <c r="L627" s="43">
        <v>7069.86</v>
      </c>
      <c r="M627" s="44">
        <v>0</v>
      </c>
      <c r="N627" s="44">
        <f t="shared" si="9"/>
        <v>7069.86</v>
      </c>
      <c r="O627" s="44">
        <v>7069.86</v>
      </c>
      <c r="P627" s="40" t="s">
        <v>4778</v>
      </c>
      <c r="Q627" s="40" t="s">
        <v>4779</v>
      </c>
      <c r="R627" s="40" t="s">
        <v>494</v>
      </c>
      <c r="S627" s="40" t="s">
        <v>495</v>
      </c>
      <c r="T627" s="40" t="s">
        <v>184</v>
      </c>
      <c r="U627" s="40" t="s">
        <v>4780</v>
      </c>
      <c r="V627" s="40"/>
      <c r="W627" s="40" t="s">
        <v>4781</v>
      </c>
    </row>
    <row r="628" spans="1:23" ht="12" x14ac:dyDescent="0.2">
      <c r="A628" s="39" t="s">
        <v>889</v>
      </c>
      <c r="B628" s="40" t="s">
        <v>890</v>
      </c>
      <c r="C628" s="40" t="s">
        <v>4782</v>
      </c>
      <c r="D628" s="41">
        <v>45992</v>
      </c>
      <c r="E628" s="41">
        <v>46022</v>
      </c>
      <c r="F628" s="41">
        <v>46091</v>
      </c>
      <c r="G628" s="42">
        <v>69</v>
      </c>
      <c r="H628" s="40" t="s">
        <v>541</v>
      </c>
      <c r="I628" s="39" t="s">
        <v>323</v>
      </c>
      <c r="J628" s="43">
        <v>-12837.42</v>
      </c>
      <c r="K628" s="43">
        <v>0</v>
      </c>
      <c r="L628" s="43">
        <v>-12837.42</v>
      </c>
      <c r="M628" s="44">
        <v>0</v>
      </c>
      <c r="N628" s="44">
        <f t="shared" si="9"/>
        <v>-9509.2000000000007</v>
      </c>
      <c r="O628" s="44">
        <v>-9509.2000000000007</v>
      </c>
      <c r="P628" s="40" t="s">
        <v>4783</v>
      </c>
      <c r="Q628" s="40" t="s">
        <v>4784</v>
      </c>
      <c r="R628" s="40" t="s">
        <v>494</v>
      </c>
      <c r="S628" s="40" t="s">
        <v>495</v>
      </c>
      <c r="T628" s="40" t="s">
        <v>507</v>
      </c>
      <c r="U628" s="40" t="s">
        <v>4785</v>
      </c>
      <c r="V628" s="40" t="s">
        <v>4017</v>
      </c>
      <c r="W628" s="40" t="s">
        <v>4786</v>
      </c>
    </row>
    <row r="629" spans="1:23" ht="12" x14ac:dyDescent="0.2">
      <c r="A629" s="39" t="s">
        <v>337</v>
      </c>
      <c r="B629" s="40" t="s">
        <v>336</v>
      </c>
      <c r="C629" s="40" t="s">
        <v>4787</v>
      </c>
      <c r="D629" s="41">
        <v>45993</v>
      </c>
      <c r="E629" s="41">
        <v>46023</v>
      </c>
      <c r="F629" s="41">
        <v>46091</v>
      </c>
      <c r="G629" s="42">
        <v>68</v>
      </c>
      <c r="H629" s="40" t="s">
        <v>541</v>
      </c>
      <c r="I629" s="39" t="s">
        <v>320</v>
      </c>
      <c r="J629" s="43">
        <v>150291.65</v>
      </c>
      <c r="K629" s="43">
        <v>0</v>
      </c>
      <c r="L629" s="43">
        <v>150291.65</v>
      </c>
      <c r="M629" s="44">
        <v>0</v>
      </c>
      <c r="N629" s="44">
        <f t="shared" si="9"/>
        <v>150291.65</v>
      </c>
      <c r="O629" s="44">
        <v>150291.65</v>
      </c>
      <c r="P629" s="40" t="s">
        <v>3652</v>
      </c>
      <c r="Q629" s="40" t="s">
        <v>3653</v>
      </c>
      <c r="R629" s="40" t="s">
        <v>494</v>
      </c>
      <c r="S629" s="40" t="s">
        <v>502</v>
      </c>
      <c r="T629" s="40" t="s">
        <v>289</v>
      </c>
      <c r="U629" s="40" t="s">
        <v>691</v>
      </c>
      <c r="V629" s="40"/>
      <c r="W629" s="40" t="s">
        <v>3654</v>
      </c>
    </row>
    <row r="630" spans="1:23" ht="12" x14ac:dyDescent="0.2">
      <c r="A630" s="39" t="s">
        <v>1818</v>
      </c>
      <c r="B630" s="40" t="s">
        <v>1819</v>
      </c>
      <c r="C630" s="40" t="s">
        <v>4788</v>
      </c>
      <c r="D630" s="41">
        <v>45993</v>
      </c>
      <c r="E630" s="41">
        <v>46023</v>
      </c>
      <c r="F630" s="41">
        <v>46091</v>
      </c>
      <c r="G630" s="42">
        <v>68</v>
      </c>
      <c r="H630" s="40" t="s">
        <v>541</v>
      </c>
      <c r="I630" s="39" t="s">
        <v>320</v>
      </c>
      <c r="J630" s="43">
        <v>-15.91</v>
      </c>
      <c r="K630" s="43">
        <v>0</v>
      </c>
      <c r="L630" s="43">
        <v>-15.91</v>
      </c>
      <c r="M630" s="44">
        <v>0</v>
      </c>
      <c r="N630" s="44">
        <f t="shared" si="9"/>
        <v>-15.91</v>
      </c>
      <c r="O630" s="44">
        <v>-15.91</v>
      </c>
      <c r="P630" s="40" t="s">
        <v>4789</v>
      </c>
      <c r="Q630" s="40" t="s">
        <v>4790</v>
      </c>
      <c r="R630" s="40" t="s">
        <v>494</v>
      </c>
      <c r="S630" s="40" t="s">
        <v>495</v>
      </c>
      <c r="T630" s="40" t="s">
        <v>204</v>
      </c>
      <c r="U630" s="40" t="s">
        <v>4664</v>
      </c>
      <c r="V630" s="40"/>
      <c r="W630" s="40" t="s">
        <v>4791</v>
      </c>
    </row>
    <row r="631" spans="1:23" ht="12" x14ac:dyDescent="0.2">
      <c r="A631" s="39" t="s">
        <v>337</v>
      </c>
      <c r="B631" s="40" t="s">
        <v>336</v>
      </c>
      <c r="C631" s="40" t="s">
        <v>4792</v>
      </c>
      <c r="D631" s="41">
        <v>45993</v>
      </c>
      <c r="E631" s="41">
        <v>46023</v>
      </c>
      <c r="F631" s="41">
        <v>46091</v>
      </c>
      <c r="G631" s="42">
        <v>68</v>
      </c>
      <c r="H631" s="40" t="s">
        <v>541</v>
      </c>
      <c r="I631" s="39" t="s">
        <v>320</v>
      </c>
      <c r="J631" s="43">
        <v>123599.67999999999</v>
      </c>
      <c r="K631" s="43">
        <v>0</v>
      </c>
      <c r="L631" s="43">
        <v>123599.67999999999</v>
      </c>
      <c r="M631" s="44">
        <v>0</v>
      </c>
      <c r="N631" s="44">
        <f t="shared" si="9"/>
        <v>123599.67999999999</v>
      </c>
      <c r="O631" s="44">
        <v>123599.67999999999</v>
      </c>
      <c r="P631" s="40" t="s">
        <v>3652</v>
      </c>
      <c r="Q631" s="40" t="s">
        <v>3653</v>
      </c>
      <c r="R631" s="40" t="s">
        <v>494</v>
      </c>
      <c r="S631" s="40" t="s">
        <v>502</v>
      </c>
      <c r="T631" s="40" t="s">
        <v>289</v>
      </c>
      <c r="U631" s="40" t="s">
        <v>691</v>
      </c>
      <c r="V631" s="40"/>
      <c r="W631" s="40" t="s">
        <v>3654</v>
      </c>
    </row>
    <row r="632" spans="1:23" ht="12" x14ac:dyDescent="0.2">
      <c r="A632" s="39" t="s">
        <v>2178</v>
      </c>
      <c r="B632" s="40" t="s">
        <v>2179</v>
      </c>
      <c r="C632" s="40" t="s">
        <v>4793</v>
      </c>
      <c r="D632" s="41">
        <v>45993</v>
      </c>
      <c r="E632" s="41">
        <v>46023</v>
      </c>
      <c r="F632" s="41">
        <v>46091</v>
      </c>
      <c r="G632" s="42">
        <v>68</v>
      </c>
      <c r="H632" s="40" t="s">
        <v>541</v>
      </c>
      <c r="I632" s="39" t="s">
        <v>320</v>
      </c>
      <c r="J632" s="43">
        <v>1287.3</v>
      </c>
      <c r="K632" s="43">
        <v>0</v>
      </c>
      <c r="L632" s="43">
        <v>602.08000000000004</v>
      </c>
      <c r="M632" s="44">
        <v>0</v>
      </c>
      <c r="N632" s="44">
        <f t="shared" si="9"/>
        <v>602.08000000000004</v>
      </c>
      <c r="O632" s="44">
        <v>602.08000000000004</v>
      </c>
      <c r="P632" s="40" t="s">
        <v>4794</v>
      </c>
      <c r="Q632" s="40" t="s">
        <v>4795</v>
      </c>
      <c r="R632" s="40" t="s">
        <v>494</v>
      </c>
      <c r="S632" s="40" t="s">
        <v>502</v>
      </c>
      <c r="T632" s="40" t="s">
        <v>218</v>
      </c>
      <c r="U632" s="40" t="s">
        <v>1908</v>
      </c>
      <c r="V632" s="40"/>
      <c r="W632" s="40" t="s">
        <v>4796</v>
      </c>
    </row>
    <row r="633" spans="1:23" ht="12" x14ac:dyDescent="0.2">
      <c r="A633" s="39" t="s">
        <v>2178</v>
      </c>
      <c r="B633" s="40" t="s">
        <v>2179</v>
      </c>
      <c r="C633" s="40" t="s">
        <v>4797</v>
      </c>
      <c r="D633" s="41">
        <v>45993</v>
      </c>
      <c r="E633" s="41">
        <v>46023</v>
      </c>
      <c r="F633" s="41">
        <v>46091</v>
      </c>
      <c r="G633" s="42">
        <v>68</v>
      </c>
      <c r="H633" s="40" t="s">
        <v>541</v>
      </c>
      <c r="I633" s="39" t="s">
        <v>320</v>
      </c>
      <c r="J633" s="43">
        <v>30221.18</v>
      </c>
      <c r="K633" s="43">
        <v>0</v>
      </c>
      <c r="L633" s="43">
        <v>545.53</v>
      </c>
      <c r="M633" s="44">
        <v>0</v>
      </c>
      <c r="N633" s="44">
        <f t="shared" si="9"/>
        <v>545.53</v>
      </c>
      <c r="O633" s="44">
        <v>545.53</v>
      </c>
      <c r="P633" s="40" t="s">
        <v>4798</v>
      </c>
      <c r="Q633" s="40" t="s">
        <v>4799</v>
      </c>
      <c r="R633" s="40" t="s">
        <v>494</v>
      </c>
      <c r="S633" s="40" t="s">
        <v>502</v>
      </c>
      <c r="T633" s="40" t="s">
        <v>218</v>
      </c>
      <c r="U633" s="40" t="s">
        <v>2919</v>
      </c>
      <c r="V633" s="40"/>
      <c r="W633" s="40" t="s">
        <v>4800</v>
      </c>
    </row>
    <row r="634" spans="1:23" ht="12" x14ac:dyDescent="0.2">
      <c r="A634" s="39" t="s">
        <v>4801</v>
      </c>
      <c r="B634" s="40" t="s">
        <v>4802</v>
      </c>
      <c r="C634" s="40" t="s">
        <v>4803</v>
      </c>
      <c r="D634" s="41">
        <v>45993</v>
      </c>
      <c r="E634" s="41">
        <v>46023</v>
      </c>
      <c r="F634" s="41">
        <v>46091</v>
      </c>
      <c r="G634" s="42">
        <v>68</v>
      </c>
      <c r="H634" s="40" t="s">
        <v>541</v>
      </c>
      <c r="I634" s="39" t="s">
        <v>320</v>
      </c>
      <c r="J634" s="43">
        <v>146.47999999999999</v>
      </c>
      <c r="K634" s="43">
        <v>0</v>
      </c>
      <c r="L634" s="43">
        <v>146.47999999999999</v>
      </c>
      <c r="M634" s="44">
        <v>0</v>
      </c>
      <c r="N634" s="44">
        <f t="shared" si="9"/>
        <v>146.47999999999999</v>
      </c>
      <c r="O634" s="44">
        <v>146.47999999999999</v>
      </c>
      <c r="P634" s="40" t="s">
        <v>4804</v>
      </c>
      <c r="Q634" s="40" t="s">
        <v>4805</v>
      </c>
      <c r="R634" s="40" t="s">
        <v>494</v>
      </c>
      <c r="S634" s="40" t="s">
        <v>495</v>
      </c>
      <c r="T634" s="40" t="s">
        <v>178</v>
      </c>
      <c r="U634" s="40" t="s">
        <v>4806</v>
      </c>
      <c r="V634" s="40"/>
      <c r="W634" s="40" t="s">
        <v>4807</v>
      </c>
    </row>
    <row r="635" spans="1:23" ht="12" x14ac:dyDescent="0.2">
      <c r="A635" s="39" t="s">
        <v>357</v>
      </c>
      <c r="B635" s="40" t="s">
        <v>356</v>
      </c>
      <c r="C635" s="40" t="s">
        <v>4808</v>
      </c>
      <c r="D635" s="41">
        <v>45994</v>
      </c>
      <c r="E635" s="41">
        <v>46024</v>
      </c>
      <c r="F635" s="41">
        <v>46091</v>
      </c>
      <c r="G635" s="42">
        <v>67</v>
      </c>
      <c r="H635" s="40" t="s">
        <v>541</v>
      </c>
      <c r="I635" s="39" t="s">
        <v>341</v>
      </c>
      <c r="J635" s="43">
        <v>20117.88</v>
      </c>
      <c r="K635" s="43">
        <v>0</v>
      </c>
      <c r="L635" s="43">
        <v>3230.75</v>
      </c>
      <c r="M635" s="44">
        <v>0</v>
      </c>
      <c r="N635" s="44">
        <f t="shared" si="9"/>
        <v>2748.75</v>
      </c>
      <c r="O635" s="44">
        <v>2748.75</v>
      </c>
      <c r="P635" s="40" t="s">
        <v>4809</v>
      </c>
      <c r="Q635" s="40" t="s">
        <v>4810</v>
      </c>
      <c r="R635" s="40" t="s">
        <v>494</v>
      </c>
      <c r="S635" s="40" t="s">
        <v>495</v>
      </c>
      <c r="T635" s="40" t="s">
        <v>222</v>
      </c>
      <c r="U635" s="40" t="s">
        <v>4811</v>
      </c>
      <c r="V635" s="40" t="s">
        <v>4812</v>
      </c>
      <c r="W635" s="40" t="s">
        <v>4813</v>
      </c>
    </row>
    <row r="636" spans="1:23" ht="12" x14ac:dyDescent="0.2">
      <c r="A636" s="39" t="s">
        <v>2178</v>
      </c>
      <c r="B636" s="40" t="s">
        <v>2179</v>
      </c>
      <c r="C636" s="40" t="s">
        <v>4814</v>
      </c>
      <c r="D636" s="41">
        <v>45994</v>
      </c>
      <c r="E636" s="41">
        <v>46024</v>
      </c>
      <c r="F636" s="41">
        <v>46091</v>
      </c>
      <c r="G636" s="42">
        <v>67</v>
      </c>
      <c r="H636" s="40" t="s">
        <v>541</v>
      </c>
      <c r="I636" s="39" t="s">
        <v>320</v>
      </c>
      <c r="J636" s="43">
        <v>45361.36</v>
      </c>
      <c r="K636" s="43">
        <v>7560.23</v>
      </c>
      <c r="L636" s="43">
        <v>33588.31</v>
      </c>
      <c r="M636" s="44">
        <v>5598.05</v>
      </c>
      <c r="N636" s="44">
        <f t="shared" si="9"/>
        <v>26028.079999999998</v>
      </c>
      <c r="O636" s="44">
        <v>33588.31</v>
      </c>
      <c r="P636" s="40" t="s">
        <v>4815</v>
      </c>
      <c r="Q636" s="40" t="s">
        <v>4816</v>
      </c>
      <c r="R636" s="40" t="s">
        <v>494</v>
      </c>
      <c r="S636" s="40" t="s">
        <v>502</v>
      </c>
      <c r="T636" s="40" t="s">
        <v>1669</v>
      </c>
      <c r="U636" s="40" t="s">
        <v>1670</v>
      </c>
      <c r="V636" s="40"/>
      <c r="W636" s="40" t="s">
        <v>4817</v>
      </c>
    </row>
    <row r="637" spans="1:23" ht="12" x14ac:dyDescent="0.2">
      <c r="A637" s="39" t="s">
        <v>15</v>
      </c>
      <c r="B637" s="40" t="s">
        <v>361</v>
      </c>
      <c r="C637" s="40" t="s">
        <v>4818</v>
      </c>
      <c r="D637" s="41">
        <v>45994</v>
      </c>
      <c r="E637" s="41">
        <v>46024</v>
      </c>
      <c r="F637" s="41">
        <v>46091</v>
      </c>
      <c r="G637" s="42">
        <v>67</v>
      </c>
      <c r="H637" s="40" t="s">
        <v>541</v>
      </c>
      <c r="I637" s="39" t="s">
        <v>341</v>
      </c>
      <c r="J637" s="43">
        <v>30488.99</v>
      </c>
      <c r="K637" s="43">
        <v>0</v>
      </c>
      <c r="L637" s="43">
        <v>30488.99</v>
      </c>
      <c r="M637" s="44">
        <v>0</v>
      </c>
      <c r="N637" s="44">
        <f t="shared" si="9"/>
        <v>23453.07</v>
      </c>
      <c r="O637" s="44">
        <v>23453.07</v>
      </c>
      <c r="P637" s="40" t="s">
        <v>4819</v>
      </c>
      <c r="Q637" s="40" t="s">
        <v>4820</v>
      </c>
      <c r="R637" s="40" t="s">
        <v>494</v>
      </c>
      <c r="S637" s="40" t="s">
        <v>502</v>
      </c>
      <c r="T637" s="40" t="s">
        <v>219</v>
      </c>
      <c r="U637" s="40" t="s">
        <v>4821</v>
      </c>
      <c r="V637" s="40"/>
      <c r="W637" s="40" t="s">
        <v>4822</v>
      </c>
    </row>
    <row r="638" spans="1:23" ht="12" x14ac:dyDescent="0.2">
      <c r="A638" s="39" t="s">
        <v>339</v>
      </c>
      <c r="B638" s="40" t="s">
        <v>338</v>
      </c>
      <c r="C638" s="40" t="s">
        <v>4823</v>
      </c>
      <c r="D638" s="41">
        <v>45994</v>
      </c>
      <c r="E638" s="41">
        <v>46024</v>
      </c>
      <c r="F638" s="41">
        <v>46091</v>
      </c>
      <c r="G638" s="42">
        <v>67</v>
      </c>
      <c r="H638" s="40" t="s">
        <v>541</v>
      </c>
      <c r="I638" s="39" t="s">
        <v>320</v>
      </c>
      <c r="J638" s="43">
        <v>-349.6</v>
      </c>
      <c r="K638" s="43">
        <v>0</v>
      </c>
      <c r="L638" s="43">
        <v>-349.6</v>
      </c>
      <c r="M638" s="44">
        <v>0</v>
      </c>
      <c r="N638" s="44">
        <f t="shared" si="9"/>
        <v>-349.6</v>
      </c>
      <c r="O638" s="44">
        <v>-349.6</v>
      </c>
      <c r="P638" s="40" t="s">
        <v>2728</v>
      </c>
      <c r="Q638" s="40" t="s">
        <v>2729</v>
      </c>
      <c r="R638" s="40" t="s">
        <v>494</v>
      </c>
      <c r="S638" s="40" t="s">
        <v>495</v>
      </c>
      <c r="T638" s="40" t="s">
        <v>363</v>
      </c>
      <c r="U638" s="40" t="s">
        <v>2730</v>
      </c>
      <c r="V638" s="40" t="s">
        <v>4824</v>
      </c>
      <c r="W638" s="40" t="s">
        <v>2731</v>
      </c>
    </row>
    <row r="639" spans="1:23" ht="12" x14ac:dyDescent="0.2">
      <c r="A639" s="39" t="s">
        <v>57</v>
      </c>
      <c r="B639" s="40" t="s">
        <v>397</v>
      </c>
      <c r="C639" s="40" t="s">
        <v>4825</v>
      </c>
      <c r="D639" s="41">
        <v>45994</v>
      </c>
      <c r="E639" s="41">
        <v>46024</v>
      </c>
      <c r="F639" s="41">
        <v>46091</v>
      </c>
      <c r="G639" s="42">
        <v>67</v>
      </c>
      <c r="H639" s="40" t="s">
        <v>541</v>
      </c>
      <c r="I639" s="39" t="s">
        <v>320</v>
      </c>
      <c r="J639" s="43">
        <v>166918.38</v>
      </c>
      <c r="K639" s="43">
        <v>0</v>
      </c>
      <c r="L639" s="43">
        <v>166918.38</v>
      </c>
      <c r="M639" s="44">
        <v>0</v>
      </c>
      <c r="N639" s="44">
        <f t="shared" si="9"/>
        <v>166918.38</v>
      </c>
      <c r="O639" s="44">
        <v>166918.38</v>
      </c>
      <c r="P639" s="40" t="s">
        <v>4826</v>
      </c>
      <c r="Q639" s="40" t="s">
        <v>4827</v>
      </c>
      <c r="R639" s="40" t="s">
        <v>494</v>
      </c>
      <c r="S639" s="40" t="s">
        <v>502</v>
      </c>
      <c r="T639" s="40" t="s">
        <v>343</v>
      </c>
      <c r="U639" s="40" t="s">
        <v>4828</v>
      </c>
      <c r="V639" s="40"/>
      <c r="W639" s="40" t="s">
        <v>4829</v>
      </c>
    </row>
    <row r="640" spans="1:23" ht="12" x14ac:dyDescent="0.2">
      <c r="A640" s="39" t="s">
        <v>53</v>
      </c>
      <c r="B640" s="40" t="s">
        <v>331</v>
      </c>
      <c r="C640" s="40" t="s">
        <v>4830</v>
      </c>
      <c r="D640" s="41">
        <v>45994</v>
      </c>
      <c r="E640" s="41">
        <v>46024</v>
      </c>
      <c r="F640" s="41">
        <v>46091</v>
      </c>
      <c r="G640" s="42">
        <v>67</v>
      </c>
      <c r="H640" s="40" t="s">
        <v>541</v>
      </c>
      <c r="I640" s="39" t="s">
        <v>320</v>
      </c>
      <c r="J640" s="43">
        <v>35720.559999999998</v>
      </c>
      <c r="K640" s="43">
        <v>0</v>
      </c>
      <c r="L640" s="43">
        <v>35720.559999999998</v>
      </c>
      <c r="M640" s="44">
        <v>0</v>
      </c>
      <c r="N640" s="44">
        <f t="shared" si="9"/>
        <v>35720.559999999998</v>
      </c>
      <c r="O640" s="44">
        <v>35720.559999999998</v>
      </c>
      <c r="P640" s="40" t="s">
        <v>4831</v>
      </c>
      <c r="Q640" s="40" t="s">
        <v>4832</v>
      </c>
      <c r="R640" s="40" t="s">
        <v>494</v>
      </c>
      <c r="S640" s="40" t="s">
        <v>495</v>
      </c>
      <c r="T640" s="40" t="s">
        <v>204</v>
      </c>
      <c r="U640" s="40" t="s">
        <v>4833</v>
      </c>
      <c r="V640" s="40"/>
      <c r="W640" s="40" t="s">
        <v>4834</v>
      </c>
    </row>
    <row r="641" spans="1:23" ht="12" x14ac:dyDescent="0.2">
      <c r="A641" s="39" t="s">
        <v>17</v>
      </c>
      <c r="B641" s="40" t="s">
        <v>342</v>
      </c>
      <c r="C641" s="40" t="s">
        <v>4835</v>
      </c>
      <c r="D641" s="41">
        <v>45994</v>
      </c>
      <c r="E641" s="41">
        <v>46024</v>
      </c>
      <c r="F641" s="41">
        <v>46091</v>
      </c>
      <c r="G641" s="42">
        <v>67</v>
      </c>
      <c r="H641" s="40" t="s">
        <v>541</v>
      </c>
      <c r="I641" s="39" t="s">
        <v>320</v>
      </c>
      <c r="J641" s="43">
        <v>82554.53</v>
      </c>
      <c r="K641" s="43">
        <v>0</v>
      </c>
      <c r="L641" s="43">
        <v>82554.53</v>
      </c>
      <c r="M641" s="44">
        <v>0</v>
      </c>
      <c r="N641" s="44">
        <f t="shared" si="9"/>
        <v>82554.53</v>
      </c>
      <c r="O641" s="44">
        <v>82554.53</v>
      </c>
      <c r="P641" s="40" t="s">
        <v>2098</v>
      </c>
      <c r="Q641" s="40" t="s">
        <v>4065</v>
      </c>
      <c r="R641" s="40" t="s">
        <v>494</v>
      </c>
      <c r="S641" s="40" t="s">
        <v>502</v>
      </c>
      <c r="T641" s="40" t="s">
        <v>508</v>
      </c>
      <c r="U641" s="40" t="s">
        <v>585</v>
      </c>
      <c r="V641" s="40" t="s">
        <v>4836</v>
      </c>
      <c r="W641" s="40" t="s">
        <v>4067</v>
      </c>
    </row>
    <row r="642" spans="1:23" ht="12" x14ac:dyDescent="0.2">
      <c r="A642" s="39" t="s">
        <v>1896</v>
      </c>
      <c r="B642" s="40" t="s">
        <v>1897</v>
      </c>
      <c r="C642" s="40" t="s">
        <v>4837</v>
      </c>
      <c r="D642" s="41">
        <v>45995</v>
      </c>
      <c r="E642" s="41">
        <v>46025</v>
      </c>
      <c r="F642" s="41">
        <v>46091</v>
      </c>
      <c r="G642" s="42">
        <v>66</v>
      </c>
      <c r="H642" s="40" t="s">
        <v>541</v>
      </c>
      <c r="I642" s="39" t="s">
        <v>320</v>
      </c>
      <c r="J642" s="43">
        <v>55530.12</v>
      </c>
      <c r="K642" s="43">
        <v>0</v>
      </c>
      <c r="L642" s="43">
        <v>55530.12</v>
      </c>
      <c r="M642" s="44">
        <v>0</v>
      </c>
      <c r="N642" s="44">
        <f t="shared" si="9"/>
        <v>55530.12</v>
      </c>
      <c r="O642" s="44">
        <v>55530.12</v>
      </c>
      <c r="P642" s="40" t="s">
        <v>4838</v>
      </c>
      <c r="Q642" s="40" t="s">
        <v>4839</v>
      </c>
      <c r="R642" s="40" t="s">
        <v>494</v>
      </c>
      <c r="S642" s="40" t="s">
        <v>502</v>
      </c>
      <c r="T642" s="40" t="s">
        <v>534</v>
      </c>
      <c r="U642" s="40" t="s">
        <v>3582</v>
      </c>
      <c r="V642" s="40"/>
      <c r="W642" s="40" t="s">
        <v>4840</v>
      </c>
    </row>
    <row r="643" spans="1:23" ht="12" x14ac:dyDescent="0.2">
      <c r="A643" s="39" t="s">
        <v>949</v>
      </c>
      <c r="B643" s="40" t="s">
        <v>1118</v>
      </c>
      <c r="C643" s="40" t="s">
        <v>4841</v>
      </c>
      <c r="D643" s="41">
        <v>45995</v>
      </c>
      <c r="E643" s="41">
        <v>46025</v>
      </c>
      <c r="F643" s="41">
        <v>46091</v>
      </c>
      <c r="G643" s="42">
        <v>66</v>
      </c>
      <c r="H643" s="40" t="s">
        <v>541</v>
      </c>
      <c r="I643" s="39" t="s">
        <v>320</v>
      </c>
      <c r="J643" s="43">
        <v>20750.990000000002</v>
      </c>
      <c r="K643" s="43">
        <v>0</v>
      </c>
      <c r="L643" s="43">
        <v>20750.990000000002</v>
      </c>
      <c r="M643" s="44">
        <v>0</v>
      </c>
      <c r="N643" s="44">
        <f t="shared" ref="N643:N706" si="10">IF(I643="GBP",L643-K643,O643-K643)</f>
        <v>20750.990000000002</v>
      </c>
      <c r="O643" s="44">
        <v>20750.990000000002</v>
      </c>
      <c r="P643" s="40" t="s">
        <v>1506</v>
      </c>
      <c r="Q643" s="40" t="s">
        <v>1507</v>
      </c>
      <c r="R643" s="40" t="s">
        <v>494</v>
      </c>
      <c r="S643" s="40" t="s">
        <v>502</v>
      </c>
      <c r="T643" s="40" t="s">
        <v>362</v>
      </c>
      <c r="U643" s="40" t="s">
        <v>1235</v>
      </c>
      <c r="V643" s="40" t="s">
        <v>4842</v>
      </c>
      <c r="W643" s="40" t="s">
        <v>1508</v>
      </c>
    </row>
    <row r="644" spans="1:23" ht="12" x14ac:dyDescent="0.2">
      <c r="A644" s="39" t="s">
        <v>31</v>
      </c>
      <c r="B644" s="40" t="s">
        <v>353</v>
      </c>
      <c r="C644" s="40" t="s">
        <v>4843</v>
      </c>
      <c r="D644" s="41">
        <v>45995</v>
      </c>
      <c r="E644" s="41">
        <v>46025</v>
      </c>
      <c r="F644" s="41">
        <v>46091</v>
      </c>
      <c r="G644" s="42">
        <v>66</v>
      </c>
      <c r="H644" s="40" t="s">
        <v>541</v>
      </c>
      <c r="I644" s="39" t="s">
        <v>320</v>
      </c>
      <c r="J644" s="43">
        <v>34366.22</v>
      </c>
      <c r="K644" s="43">
        <v>0</v>
      </c>
      <c r="L644" s="43">
        <v>34366.22</v>
      </c>
      <c r="M644" s="44">
        <v>0</v>
      </c>
      <c r="N644" s="44">
        <f t="shared" si="10"/>
        <v>34366.22</v>
      </c>
      <c r="O644" s="44">
        <v>34366.22</v>
      </c>
      <c r="P644" s="40" t="s">
        <v>4844</v>
      </c>
      <c r="Q644" s="40" t="s">
        <v>4845</v>
      </c>
      <c r="R644" s="40" t="s">
        <v>494</v>
      </c>
      <c r="S644" s="40" t="s">
        <v>495</v>
      </c>
      <c r="T644" s="40" t="s">
        <v>225</v>
      </c>
      <c r="U644" s="40" t="s">
        <v>4846</v>
      </c>
      <c r="V644" s="40"/>
      <c r="W644" s="40" t="s">
        <v>4847</v>
      </c>
    </row>
    <row r="645" spans="1:23" ht="12" x14ac:dyDescent="0.2">
      <c r="A645" s="39" t="s">
        <v>2178</v>
      </c>
      <c r="B645" s="40" t="s">
        <v>2179</v>
      </c>
      <c r="C645" s="40" t="s">
        <v>4848</v>
      </c>
      <c r="D645" s="41">
        <v>45995</v>
      </c>
      <c r="E645" s="41">
        <v>46025</v>
      </c>
      <c r="F645" s="41">
        <v>46091</v>
      </c>
      <c r="G645" s="42">
        <v>66</v>
      </c>
      <c r="H645" s="40" t="s">
        <v>541</v>
      </c>
      <c r="I645" s="39" t="s">
        <v>320</v>
      </c>
      <c r="J645" s="43">
        <v>145853.31</v>
      </c>
      <c r="K645" s="43">
        <v>0</v>
      </c>
      <c r="L645" s="43">
        <v>3921</v>
      </c>
      <c r="M645" s="44">
        <v>0</v>
      </c>
      <c r="N645" s="44">
        <f t="shared" si="10"/>
        <v>3921</v>
      </c>
      <c r="O645" s="44">
        <v>3921</v>
      </c>
      <c r="P645" s="40" t="s">
        <v>4849</v>
      </c>
      <c r="Q645" s="40" t="s">
        <v>4850</v>
      </c>
      <c r="R645" s="40" t="s">
        <v>494</v>
      </c>
      <c r="S645" s="40" t="s">
        <v>502</v>
      </c>
      <c r="T645" s="40" t="s">
        <v>327</v>
      </c>
      <c r="U645" s="40" t="s">
        <v>2213</v>
      </c>
      <c r="V645" s="40"/>
      <c r="W645" s="40" t="s">
        <v>4851</v>
      </c>
    </row>
    <row r="646" spans="1:23" ht="12" x14ac:dyDescent="0.2">
      <c r="A646" s="39" t="s">
        <v>69</v>
      </c>
      <c r="B646" s="40" t="s">
        <v>453</v>
      </c>
      <c r="C646" s="40" t="s">
        <v>4852</v>
      </c>
      <c r="D646" s="41">
        <v>45995</v>
      </c>
      <c r="E646" s="41">
        <v>46025</v>
      </c>
      <c r="F646" s="41">
        <v>46091</v>
      </c>
      <c r="G646" s="42">
        <v>66</v>
      </c>
      <c r="H646" s="40" t="s">
        <v>541</v>
      </c>
      <c r="I646" s="39" t="s">
        <v>320</v>
      </c>
      <c r="J646" s="43">
        <v>71198.559999999998</v>
      </c>
      <c r="K646" s="43">
        <v>0</v>
      </c>
      <c r="L646" s="43">
        <v>71198.559999999998</v>
      </c>
      <c r="M646" s="44">
        <v>0</v>
      </c>
      <c r="N646" s="44">
        <f t="shared" si="10"/>
        <v>71198.559999999998</v>
      </c>
      <c r="O646" s="44">
        <v>71198.559999999998</v>
      </c>
      <c r="P646" s="40" t="s">
        <v>841</v>
      </c>
      <c r="Q646" s="40" t="s">
        <v>842</v>
      </c>
      <c r="R646" s="40" t="s">
        <v>494</v>
      </c>
      <c r="S646" s="40" t="s">
        <v>502</v>
      </c>
      <c r="T646" s="40" t="s">
        <v>284</v>
      </c>
      <c r="U646" s="40" t="s">
        <v>1880</v>
      </c>
      <c r="V646" s="40" t="s">
        <v>4853</v>
      </c>
      <c r="W646" s="40" t="s">
        <v>843</v>
      </c>
    </row>
    <row r="647" spans="1:23" ht="12" x14ac:dyDescent="0.2">
      <c r="A647" s="39" t="s">
        <v>36</v>
      </c>
      <c r="B647" s="40" t="s">
        <v>352</v>
      </c>
      <c r="C647" s="40" t="s">
        <v>4854</v>
      </c>
      <c r="D647" s="41">
        <v>45995</v>
      </c>
      <c r="E647" s="41">
        <v>46025</v>
      </c>
      <c r="F647" s="41">
        <v>46091</v>
      </c>
      <c r="G647" s="42">
        <v>66</v>
      </c>
      <c r="H647" s="40" t="s">
        <v>541</v>
      </c>
      <c r="I647" s="39" t="s">
        <v>320</v>
      </c>
      <c r="J647" s="43">
        <v>268332.76</v>
      </c>
      <c r="K647" s="43">
        <v>0</v>
      </c>
      <c r="L647" s="43">
        <v>268332.76</v>
      </c>
      <c r="M647" s="44">
        <v>0</v>
      </c>
      <c r="N647" s="44">
        <f t="shared" si="10"/>
        <v>268332.76</v>
      </c>
      <c r="O647" s="44">
        <v>268332.76</v>
      </c>
      <c r="P647" s="40" t="s">
        <v>4855</v>
      </c>
      <c r="Q647" s="40" t="s">
        <v>4856</v>
      </c>
      <c r="R647" s="40" t="s">
        <v>494</v>
      </c>
      <c r="S647" s="40" t="s">
        <v>502</v>
      </c>
      <c r="T647" s="40" t="s">
        <v>293</v>
      </c>
      <c r="U647" s="40" t="s">
        <v>4857</v>
      </c>
      <c r="V647" s="40"/>
      <c r="W647" s="40" t="s">
        <v>4858</v>
      </c>
    </row>
    <row r="648" spans="1:23" ht="12" x14ac:dyDescent="0.2">
      <c r="A648" s="39" t="s">
        <v>41</v>
      </c>
      <c r="B648" s="40" t="s">
        <v>459</v>
      </c>
      <c r="C648" s="40" t="s">
        <v>4859</v>
      </c>
      <c r="D648" s="41">
        <v>45995</v>
      </c>
      <c r="E648" s="41">
        <v>46025</v>
      </c>
      <c r="F648" s="41">
        <v>46091</v>
      </c>
      <c r="G648" s="42">
        <v>66</v>
      </c>
      <c r="H648" s="40" t="s">
        <v>541</v>
      </c>
      <c r="I648" s="39" t="s">
        <v>320</v>
      </c>
      <c r="J648" s="43">
        <v>61385.72</v>
      </c>
      <c r="K648" s="43">
        <v>0</v>
      </c>
      <c r="L648" s="43">
        <v>61385.72</v>
      </c>
      <c r="M648" s="44">
        <v>0</v>
      </c>
      <c r="N648" s="44">
        <f t="shared" si="10"/>
        <v>61385.72</v>
      </c>
      <c r="O648" s="44">
        <v>61385.72</v>
      </c>
      <c r="P648" s="40" t="s">
        <v>4860</v>
      </c>
      <c r="Q648" s="40" t="s">
        <v>4861</v>
      </c>
      <c r="R648" s="40" t="s">
        <v>494</v>
      </c>
      <c r="S648" s="40" t="s">
        <v>502</v>
      </c>
      <c r="T648" s="40" t="s">
        <v>514</v>
      </c>
      <c r="U648" s="40" t="s">
        <v>4862</v>
      </c>
      <c r="V648" s="40" t="s">
        <v>4863</v>
      </c>
      <c r="W648" s="40" t="s">
        <v>4864</v>
      </c>
    </row>
    <row r="649" spans="1:23" ht="12" x14ac:dyDescent="0.2">
      <c r="A649" s="39" t="s">
        <v>54</v>
      </c>
      <c r="B649" s="40" t="s">
        <v>455</v>
      </c>
      <c r="C649" s="40" t="s">
        <v>4865</v>
      </c>
      <c r="D649" s="41">
        <v>45995</v>
      </c>
      <c r="E649" s="41">
        <v>46025</v>
      </c>
      <c r="F649" s="41">
        <v>46091</v>
      </c>
      <c r="G649" s="42">
        <v>66</v>
      </c>
      <c r="H649" s="40" t="s">
        <v>541</v>
      </c>
      <c r="I649" s="39" t="s">
        <v>320</v>
      </c>
      <c r="J649" s="43">
        <v>27375.41</v>
      </c>
      <c r="K649" s="43">
        <v>0</v>
      </c>
      <c r="L649" s="43">
        <v>27375.41</v>
      </c>
      <c r="M649" s="44">
        <v>0</v>
      </c>
      <c r="N649" s="44">
        <f t="shared" si="10"/>
        <v>27375.41</v>
      </c>
      <c r="O649" s="44">
        <v>27375.41</v>
      </c>
      <c r="P649" s="40" t="s">
        <v>2061</v>
      </c>
      <c r="Q649" s="40" t="s">
        <v>2260</v>
      </c>
      <c r="R649" s="40" t="s">
        <v>494</v>
      </c>
      <c r="S649" s="40" t="s">
        <v>502</v>
      </c>
      <c r="T649" s="40" t="s">
        <v>282</v>
      </c>
      <c r="U649" s="40" t="s">
        <v>1233</v>
      </c>
      <c r="V649" s="40" t="s">
        <v>4402</v>
      </c>
      <c r="W649" s="40" t="s">
        <v>2261</v>
      </c>
    </row>
    <row r="650" spans="1:23" ht="12" x14ac:dyDescent="0.2">
      <c r="A650" s="39" t="s">
        <v>16</v>
      </c>
      <c r="B650" s="40" t="s">
        <v>414</v>
      </c>
      <c r="C650" s="40" t="s">
        <v>4866</v>
      </c>
      <c r="D650" s="41">
        <v>45995</v>
      </c>
      <c r="E650" s="41">
        <v>46025</v>
      </c>
      <c r="F650" s="41">
        <v>46091</v>
      </c>
      <c r="G650" s="42">
        <v>66</v>
      </c>
      <c r="H650" s="40" t="s">
        <v>541</v>
      </c>
      <c r="I650" s="39" t="s">
        <v>320</v>
      </c>
      <c r="J650" s="43">
        <v>11746.13</v>
      </c>
      <c r="K650" s="43">
        <v>0</v>
      </c>
      <c r="L650" s="43">
        <v>11746.13</v>
      </c>
      <c r="M650" s="44">
        <v>0</v>
      </c>
      <c r="N650" s="44">
        <f t="shared" si="10"/>
        <v>11746.13</v>
      </c>
      <c r="O650" s="44">
        <v>11746.13</v>
      </c>
      <c r="P650" s="40" t="s">
        <v>1621</v>
      </c>
      <c r="Q650" s="40" t="s">
        <v>1881</v>
      </c>
      <c r="R650" s="40" t="s">
        <v>494</v>
      </c>
      <c r="S650" s="40" t="s">
        <v>502</v>
      </c>
      <c r="T650" s="40" t="s">
        <v>508</v>
      </c>
      <c r="U650" s="40" t="s">
        <v>1017</v>
      </c>
      <c r="V650" s="40"/>
      <c r="W650" s="40" t="s">
        <v>1882</v>
      </c>
    </row>
    <row r="651" spans="1:23" ht="12" x14ac:dyDescent="0.2">
      <c r="A651" s="39" t="s">
        <v>10</v>
      </c>
      <c r="B651" s="40" t="s">
        <v>393</v>
      </c>
      <c r="C651" s="40" t="s">
        <v>4867</v>
      </c>
      <c r="D651" s="41">
        <v>45995</v>
      </c>
      <c r="E651" s="41">
        <v>46025</v>
      </c>
      <c r="F651" s="41">
        <v>46091</v>
      </c>
      <c r="G651" s="42">
        <v>66</v>
      </c>
      <c r="H651" s="40" t="s">
        <v>541</v>
      </c>
      <c r="I651" s="39" t="s">
        <v>320</v>
      </c>
      <c r="J651" s="43">
        <v>12769</v>
      </c>
      <c r="K651" s="43">
        <v>0</v>
      </c>
      <c r="L651" s="43">
        <v>6794</v>
      </c>
      <c r="M651" s="44">
        <v>0</v>
      </c>
      <c r="N651" s="44">
        <f t="shared" si="10"/>
        <v>6794</v>
      </c>
      <c r="O651" s="44">
        <v>6794</v>
      </c>
      <c r="P651" s="40" t="s">
        <v>2054</v>
      </c>
      <c r="Q651" s="40" t="s">
        <v>4868</v>
      </c>
      <c r="R651" s="40" t="s">
        <v>494</v>
      </c>
      <c r="S651" s="40" t="s">
        <v>502</v>
      </c>
      <c r="T651" s="40" t="s">
        <v>280</v>
      </c>
      <c r="U651" s="40" t="s">
        <v>4869</v>
      </c>
      <c r="V651" s="40"/>
      <c r="W651" s="40" t="s">
        <v>4870</v>
      </c>
    </row>
    <row r="652" spans="1:23" ht="12" x14ac:dyDescent="0.2">
      <c r="A652" s="39" t="s">
        <v>33</v>
      </c>
      <c r="B652" s="40" t="s">
        <v>340</v>
      </c>
      <c r="C652" s="40" t="s">
        <v>4871</v>
      </c>
      <c r="D652" s="41">
        <v>45995</v>
      </c>
      <c r="E652" s="41">
        <v>46025</v>
      </c>
      <c r="F652" s="41">
        <v>46091</v>
      </c>
      <c r="G652" s="42">
        <v>66</v>
      </c>
      <c r="H652" s="40" t="s">
        <v>541</v>
      </c>
      <c r="I652" s="39" t="s">
        <v>320</v>
      </c>
      <c r="J652" s="43">
        <v>4107.4799999999996</v>
      </c>
      <c r="K652" s="43">
        <v>0</v>
      </c>
      <c r="L652" s="43">
        <v>4107.4799999999996</v>
      </c>
      <c r="M652" s="44">
        <v>0</v>
      </c>
      <c r="N652" s="44">
        <f t="shared" si="10"/>
        <v>4107.4799999999996</v>
      </c>
      <c r="O652" s="44">
        <v>4107.4799999999996</v>
      </c>
      <c r="P652" s="40" t="s">
        <v>2100</v>
      </c>
      <c r="Q652" s="40" t="s">
        <v>2630</v>
      </c>
      <c r="R652" s="40" t="s">
        <v>494</v>
      </c>
      <c r="S652" s="40" t="s">
        <v>502</v>
      </c>
      <c r="T652" s="40" t="s">
        <v>218</v>
      </c>
      <c r="U652" s="40" t="s">
        <v>2631</v>
      </c>
      <c r="V652" s="40" t="s">
        <v>4054</v>
      </c>
      <c r="W652" s="40" t="s">
        <v>2632</v>
      </c>
    </row>
    <row r="653" spans="1:23" ht="12" x14ac:dyDescent="0.2">
      <c r="A653" s="39" t="s">
        <v>1065</v>
      </c>
      <c r="B653" s="40" t="s">
        <v>1110</v>
      </c>
      <c r="C653" s="40" t="s">
        <v>4872</v>
      </c>
      <c r="D653" s="41">
        <v>45995</v>
      </c>
      <c r="E653" s="41">
        <v>46025</v>
      </c>
      <c r="F653" s="41">
        <v>46091</v>
      </c>
      <c r="G653" s="42">
        <v>66</v>
      </c>
      <c r="H653" s="40" t="s">
        <v>541</v>
      </c>
      <c r="I653" s="39" t="s">
        <v>320</v>
      </c>
      <c r="J653" s="43">
        <v>56.4</v>
      </c>
      <c r="K653" s="43">
        <v>0</v>
      </c>
      <c r="L653" s="43">
        <v>56.4</v>
      </c>
      <c r="M653" s="44">
        <v>0</v>
      </c>
      <c r="N653" s="44">
        <f t="shared" si="10"/>
        <v>56.4</v>
      </c>
      <c r="O653" s="44">
        <v>56.4</v>
      </c>
      <c r="P653" s="40" t="s">
        <v>3420</v>
      </c>
      <c r="Q653" s="40" t="s">
        <v>3421</v>
      </c>
      <c r="R653" s="40" t="s">
        <v>494</v>
      </c>
      <c r="S653" s="40" t="s">
        <v>502</v>
      </c>
      <c r="T653" s="40" t="s">
        <v>178</v>
      </c>
      <c r="U653" s="40" t="s">
        <v>2893</v>
      </c>
      <c r="V653" s="40" t="s">
        <v>4038</v>
      </c>
      <c r="W653" s="40" t="s">
        <v>1112</v>
      </c>
    </row>
    <row r="654" spans="1:23" ht="12" x14ac:dyDescent="0.2">
      <c r="A654" s="39" t="s">
        <v>28</v>
      </c>
      <c r="B654" s="40" t="s">
        <v>2578</v>
      </c>
      <c r="C654" s="40" t="s">
        <v>4873</v>
      </c>
      <c r="D654" s="41">
        <v>45995</v>
      </c>
      <c r="E654" s="41">
        <v>46025</v>
      </c>
      <c r="F654" s="41">
        <v>46091</v>
      </c>
      <c r="G654" s="42">
        <v>66</v>
      </c>
      <c r="H654" s="40" t="s">
        <v>541</v>
      </c>
      <c r="I654" s="39" t="s">
        <v>323</v>
      </c>
      <c r="J654" s="43">
        <v>26787.96</v>
      </c>
      <c r="K654" s="43">
        <v>0</v>
      </c>
      <c r="L654" s="43">
        <v>26787.96</v>
      </c>
      <c r="M654" s="44">
        <v>0</v>
      </c>
      <c r="N654" s="44">
        <f t="shared" si="10"/>
        <v>19842.93</v>
      </c>
      <c r="O654" s="44">
        <v>19842.93</v>
      </c>
      <c r="P654" s="40" t="s">
        <v>4113</v>
      </c>
      <c r="Q654" s="40" t="s">
        <v>4114</v>
      </c>
      <c r="R654" s="40" t="s">
        <v>494</v>
      </c>
      <c r="S654" s="40" t="s">
        <v>502</v>
      </c>
      <c r="T654" s="40" t="s">
        <v>497</v>
      </c>
      <c r="U654" s="40" t="s">
        <v>4115</v>
      </c>
      <c r="V654" s="40" t="s">
        <v>4116</v>
      </c>
      <c r="W654" s="40" t="s">
        <v>4117</v>
      </c>
    </row>
    <row r="655" spans="1:23" ht="12" x14ac:dyDescent="0.2">
      <c r="A655" s="39" t="s">
        <v>3702</v>
      </c>
      <c r="B655" s="40" t="s">
        <v>3703</v>
      </c>
      <c r="C655" s="40" t="s">
        <v>4874</v>
      </c>
      <c r="D655" s="41">
        <v>45995</v>
      </c>
      <c r="E655" s="41">
        <v>46025</v>
      </c>
      <c r="F655" s="41">
        <v>46091</v>
      </c>
      <c r="G655" s="42">
        <v>66</v>
      </c>
      <c r="H655" s="40" t="s">
        <v>541</v>
      </c>
      <c r="I655" s="39" t="s">
        <v>323</v>
      </c>
      <c r="J655" s="43">
        <v>28031.52</v>
      </c>
      <c r="K655" s="43">
        <v>0</v>
      </c>
      <c r="L655" s="43">
        <v>28031.52</v>
      </c>
      <c r="M655" s="44">
        <v>0</v>
      </c>
      <c r="N655" s="44">
        <f t="shared" si="10"/>
        <v>19332.080000000002</v>
      </c>
      <c r="O655" s="44">
        <v>19332.080000000002</v>
      </c>
      <c r="P655" s="40" t="s">
        <v>4875</v>
      </c>
      <c r="Q655" s="40" t="s">
        <v>4876</v>
      </c>
      <c r="R655" s="40" t="s">
        <v>494</v>
      </c>
      <c r="S655" s="40" t="s">
        <v>502</v>
      </c>
      <c r="T655" s="40" t="s">
        <v>330</v>
      </c>
      <c r="U655" s="40" t="s">
        <v>4393</v>
      </c>
      <c r="V655" s="40" t="s">
        <v>4877</v>
      </c>
      <c r="W655" s="40" t="s">
        <v>4878</v>
      </c>
    </row>
    <row r="656" spans="1:23" ht="12" x14ac:dyDescent="0.2">
      <c r="A656" s="39" t="s">
        <v>829</v>
      </c>
      <c r="B656" s="40" t="s">
        <v>830</v>
      </c>
      <c r="C656" s="40" t="s">
        <v>4879</v>
      </c>
      <c r="D656" s="41">
        <v>45995</v>
      </c>
      <c r="E656" s="41">
        <v>46025</v>
      </c>
      <c r="F656" s="41">
        <v>46091</v>
      </c>
      <c r="G656" s="42">
        <v>66</v>
      </c>
      <c r="H656" s="40" t="s">
        <v>541</v>
      </c>
      <c r="I656" s="39" t="s">
        <v>320</v>
      </c>
      <c r="J656" s="43">
        <v>936.71</v>
      </c>
      <c r="K656" s="43">
        <v>0</v>
      </c>
      <c r="L656" s="43">
        <v>936.71</v>
      </c>
      <c r="M656" s="44">
        <v>0</v>
      </c>
      <c r="N656" s="44">
        <f t="shared" si="10"/>
        <v>936.71</v>
      </c>
      <c r="O656" s="44">
        <v>936.71</v>
      </c>
      <c r="P656" s="40" t="s">
        <v>1529</v>
      </c>
      <c r="Q656" s="40" t="s">
        <v>3601</v>
      </c>
      <c r="R656" s="40" t="s">
        <v>494</v>
      </c>
      <c r="S656" s="40" t="s">
        <v>502</v>
      </c>
      <c r="T656" s="40" t="s">
        <v>733</v>
      </c>
      <c r="U656" s="40" t="s">
        <v>3602</v>
      </c>
      <c r="V656" s="40" t="s">
        <v>4880</v>
      </c>
      <c r="W656" s="40" t="s">
        <v>3603</v>
      </c>
    </row>
    <row r="657" spans="1:23" ht="12" x14ac:dyDescent="0.2">
      <c r="A657" s="39" t="s">
        <v>2094</v>
      </c>
      <c r="B657" s="40" t="s">
        <v>4881</v>
      </c>
      <c r="C657" s="40" t="s">
        <v>4882</v>
      </c>
      <c r="D657" s="41">
        <v>45995</v>
      </c>
      <c r="E657" s="41">
        <v>46025</v>
      </c>
      <c r="F657" s="41">
        <v>46091</v>
      </c>
      <c r="G657" s="42">
        <v>66</v>
      </c>
      <c r="H657" s="40" t="s">
        <v>541</v>
      </c>
      <c r="I657" s="39" t="s">
        <v>320</v>
      </c>
      <c r="J657" s="43">
        <v>2066.1799999999998</v>
      </c>
      <c r="K657" s="43">
        <v>0</v>
      </c>
      <c r="L657" s="43">
        <v>2066.1799999999998</v>
      </c>
      <c r="M657" s="44">
        <v>0</v>
      </c>
      <c r="N657" s="44">
        <f t="shared" si="10"/>
        <v>2066.1799999999998</v>
      </c>
      <c r="O657" s="44">
        <v>2066.1799999999998</v>
      </c>
      <c r="P657" s="40" t="s">
        <v>2093</v>
      </c>
      <c r="Q657" s="40" t="s">
        <v>4883</v>
      </c>
      <c r="R657" s="40" t="s">
        <v>494</v>
      </c>
      <c r="S657" s="40" t="s">
        <v>502</v>
      </c>
      <c r="T657" s="40" t="s">
        <v>191</v>
      </c>
      <c r="U657" s="40" t="s">
        <v>4884</v>
      </c>
      <c r="V657" s="40"/>
      <c r="W657" s="40" t="s">
        <v>4885</v>
      </c>
    </row>
    <row r="658" spans="1:23" ht="12" x14ac:dyDescent="0.2">
      <c r="A658" s="39" t="s">
        <v>4764</v>
      </c>
      <c r="B658" s="40" t="s">
        <v>390</v>
      </c>
      <c r="C658" s="40" t="s">
        <v>4886</v>
      </c>
      <c r="D658" s="41">
        <v>45995</v>
      </c>
      <c r="E658" s="41">
        <v>46025</v>
      </c>
      <c r="F658" s="41">
        <v>46091</v>
      </c>
      <c r="G658" s="42">
        <v>66</v>
      </c>
      <c r="H658" s="40" t="s">
        <v>541</v>
      </c>
      <c r="I658" s="39" t="s">
        <v>320</v>
      </c>
      <c r="J658" s="43">
        <v>190282</v>
      </c>
      <c r="K658" s="43">
        <v>0</v>
      </c>
      <c r="L658" s="43">
        <v>190282</v>
      </c>
      <c r="M658" s="44">
        <v>0</v>
      </c>
      <c r="N658" s="44">
        <f t="shared" si="10"/>
        <v>190282</v>
      </c>
      <c r="O658" s="44">
        <v>190282</v>
      </c>
      <c r="P658" s="40" t="s">
        <v>4887</v>
      </c>
      <c r="Q658" s="40" t="s">
        <v>4888</v>
      </c>
      <c r="R658" s="40" t="s">
        <v>494</v>
      </c>
      <c r="S658" s="40" t="s">
        <v>502</v>
      </c>
      <c r="T658" s="40" t="s">
        <v>330</v>
      </c>
      <c r="U658" s="40" t="s">
        <v>4889</v>
      </c>
      <c r="V658" s="40" t="s">
        <v>4890</v>
      </c>
      <c r="W658" s="40" t="s">
        <v>4891</v>
      </c>
    </row>
    <row r="659" spans="1:23" ht="12" x14ac:dyDescent="0.2">
      <c r="A659" s="39" t="s">
        <v>742</v>
      </c>
      <c r="B659" s="40" t="s">
        <v>743</v>
      </c>
      <c r="C659" s="40" t="s">
        <v>4892</v>
      </c>
      <c r="D659" s="41">
        <v>45996</v>
      </c>
      <c r="E659" s="41">
        <v>46026</v>
      </c>
      <c r="F659" s="41">
        <v>46091</v>
      </c>
      <c r="G659" s="42">
        <v>65</v>
      </c>
      <c r="H659" s="40" t="s">
        <v>541</v>
      </c>
      <c r="I659" s="39" t="s">
        <v>323</v>
      </c>
      <c r="J659" s="43">
        <v>2354790.58</v>
      </c>
      <c r="K659" s="43">
        <v>0</v>
      </c>
      <c r="L659" s="43">
        <v>1421817.95</v>
      </c>
      <c r="M659" s="44">
        <v>0</v>
      </c>
      <c r="N659" s="44">
        <f t="shared" si="10"/>
        <v>1119356.6000000001</v>
      </c>
      <c r="O659" s="44">
        <v>1119356.6000000001</v>
      </c>
      <c r="P659" s="40" t="s">
        <v>4893</v>
      </c>
      <c r="Q659" s="40" t="s">
        <v>4894</v>
      </c>
      <c r="R659" s="40" t="s">
        <v>494</v>
      </c>
      <c r="S659" s="40" t="s">
        <v>502</v>
      </c>
      <c r="T659" s="40" t="s">
        <v>773</v>
      </c>
      <c r="U659" s="40" t="s">
        <v>1096</v>
      </c>
      <c r="V659" s="40" t="s">
        <v>3944</v>
      </c>
      <c r="W659" s="40" t="s">
        <v>4895</v>
      </c>
    </row>
    <row r="660" spans="1:23" ht="12" x14ac:dyDescent="0.2">
      <c r="A660" s="39" t="s">
        <v>454</v>
      </c>
      <c r="B660" s="40" t="s">
        <v>1202</v>
      </c>
      <c r="C660" s="40" t="s">
        <v>4896</v>
      </c>
      <c r="D660" s="41">
        <v>45996</v>
      </c>
      <c r="E660" s="41">
        <v>46026</v>
      </c>
      <c r="F660" s="41">
        <v>46091</v>
      </c>
      <c r="G660" s="42">
        <v>65</v>
      </c>
      <c r="H660" s="40" t="s">
        <v>541</v>
      </c>
      <c r="I660" s="39" t="s">
        <v>320</v>
      </c>
      <c r="J660" s="43">
        <v>29215.22</v>
      </c>
      <c r="K660" s="43">
        <v>0</v>
      </c>
      <c r="L660" s="43">
        <v>29215.22</v>
      </c>
      <c r="M660" s="44">
        <v>0</v>
      </c>
      <c r="N660" s="44">
        <f t="shared" si="10"/>
        <v>29215.22</v>
      </c>
      <c r="O660" s="44">
        <v>29215.22</v>
      </c>
      <c r="P660" s="40" t="s">
        <v>1574</v>
      </c>
      <c r="Q660" s="40" t="s">
        <v>4897</v>
      </c>
      <c r="R660" s="40" t="s">
        <v>494</v>
      </c>
      <c r="S660" s="40" t="s">
        <v>495</v>
      </c>
      <c r="T660" s="40" t="s">
        <v>218</v>
      </c>
      <c r="U660" s="40" t="s">
        <v>4898</v>
      </c>
      <c r="V660" s="40" t="s">
        <v>4899</v>
      </c>
      <c r="W660" s="40" t="s">
        <v>4900</v>
      </c>
    </row>
    <row r="661" spans="1:23" ht="12" x14ac:dyDescent="0.2">
      <c r="A661" s="39" t="s">
        <v>1237</v>
      </c>
      <c r="B661" s="40" t="s">
        <v>4901</v>
      </c>
      <c r="C661" s="40" t="s">
        <v>4902</v>
      </c>
      <c r="D661" s="41">
        <v>45998</v>
      </c>
      <c r="E661" s="41">
        <v>46028</v>
      </c>
      <c r="F661" s="41">
        <v>46091</v>
      </c>
      <c r="G661" s="42">
        <v>63</v>
      </c>
      <c r="H661" s="40" t="s">
        <v>541</v>
      </c>
      <c r="I661" s="39" t="s">
        <v>320</v>
      </c>
      <c r="J661" s="43">
        <v>121872</v>
      </c>
      <c r="K661" s="43">
        <v>0</v>
      </c>
      <c r="L661" s="43">
        <v>121872</v>
      </c>
      <c r="M661" s="44">
        <v>0</v>
      </c>
      <c r="N661" s="44">
        <f t="shared" si="10"/>
        <v>121872</v>
      </c>
      <c r="O661" s="44">
        <v>121872</v>
      </c>
      <c r="P661" s="40" t="s">
        <v>4903</v>
      </c>
      <c r="Q661" s="40" t="s">
        <v>4904</v>
      </c>
      <c r="R661" s="40" t="s">
        <v>494</v>
      </c>
      <c r="S661" s="40" t="s">
        <v>502</v>
      </c>
      <c r="T661" s="40" t="s">
        <v>289</v>
      </c>
      <c r="U661" s="40" t="s">
        <v>3455</v>
      </c>
      <c r="V661" s="40" t="s">
        <v>4905</v>
      </c>
      <c r="W661" s="40" t="s">
        <v>321</v>
      </c>
    </row>
    <row r="662" spans="1:23" ht="12" x14ac:dyDescent="0.2">
      <c r="A662" s="39" t="s">
        <v>337</v>
      </c>
      <c r="B662" s="40" t="s">
        <v>336</v>
      </c>
      <c r="C662" s="40" t="s">
        <v>4906</v>
      </c>
      <c r="D662" s="41">
        <v>45998</v>
      </c>
      <c r="E662" s="41">
        <v>46028</v>
      </c>
      <c r="F662" s="41">
        <v>46091</v>
      </c>
      <c r="G662" s="42">
        <v>63</v>
      </c>
      <c r="H662" s="40" t="s">
        <v>541</v>
      </c>
      <c r="I662" s="39" t="s">
        <v>320</v>
      </c>
      <c r="J662" s="43">
        <v>58283.32</v>
      </c>
      <c r="K662" s="43">
        <v>0</v>
      </c>
      <c r="L662" s="43">
        <v>58283.32</v>
      </c>
      <c r="M662" s="44">
        <v>0</v>
      </c>
      <c r="N662" s="44">
        <f t="shared" si="10"/>
        <v>58283.32</v>
      </c>
      <c r="O662" s="44">
        <v>58283.32</v>
      </c>
      <c r="P662" s="40" t="s">
        <v>1005</v>
      </c>
      <c r="Q662" s="40" t="s">
        <v>1006</v>
      </c>
      <c r="R662" s="40" t="s">
        <v>494</v>
      </c>
      <c r="S662" s="40" t="s">
        <v>502</v>
      </c>
      <c r="T662" s="40" t="s">
        <v>289</v>
      </c>
      <c r="U662" s="40" t="s">
        <v>571</v>
      </c>
      <c r="V662" s="40"/>
      <c r="W662" s="40" t="s">
        <v>1007</v>
      </c>
    </row>
    <row r="663" spans="1:23" ht="12" x14ac:dyDescent="0.2">
      <c r="A663" s="39" t="s">
        <v>1471</v>
      </c>
      <c r="B663" s="40" t="s">
        <v>1472</v>
      </c>
      <c r="C663" s="40" t="s">
        <v>4907</v>
      </c>
      <c r="D663" s="41">
        <v>45999</v>
      </c>
      <c r="E663" s="41">
        <v>46029</v>
      </c>
      <c r="F663" s="41">
        <v>46091</v>
      </c>
      <c r="G663" s="42">
        <v>62</v>
      </c>
      <c r="H663" s="40" t="s">
        <v>541</v>
      </c>
      <c r="I663" s="39" t="s">
        <v>320</v>
      </c>
      <c r="J663" s="43">
        <v>9551.18</v>
      </c>
      <c r="K663" s="43">
        <v>0</v>
      </c>
      <c r="L663" s="43">
        <v>9551.18</v>
      </c>
      <c r="M663" s="44">
        <v>0</v>
      </c>
      <c r="N663" s="44">
        <f t="shared" si="10"/>
        <v>9551.18</v>
      </c>
      <c r="O663" s="44">
        <v>9551.18</v>
      </c>
      <c r="P663" s="40" t="s">
        <v>2829</v>
      </c>
      <c r="Q663" s="40" t="s">
        <v>2830</v>
      </c>
      <c r="R663" s="40" t="s">
        <v>494</v>
      </c>
      <c r="S663" s="40" t="s">
        <v>502</v>
      </c>
      <c r="T663" s="40" t="s">
        <v>1372</v>
      </c>
      <c r="U663" s="40" t="s">
        <v>1473</v>
      </c>
      <c r="V663" s="40" t="s">
        <v>4908</v>
      </c>
      <c r="W663" s="40" t="s">
        <v>321</v>
      </c>
    </row>
    <row r="664" spans="1:23" ht="12" x14ac:dyDescent="0.2">
      <c r="A664" s="39" t="s">
        <v>35</v>
      </c>
      <c r="B664" s="40" t="s">
        <v>4172</v>
      </c>
      <c r="C664" s="40" t="s">
        <v>4909</v>
      </c>
      <c r="D664" s="41">
        <v>45999</v>
      </c>
      <c r="E664" s="41">
        <v>46029</v>
      </c>
      <c r="F664" s="41">
        <v>46091</v>
      </c>
      <c r="G664" s="42">
        <v>62</v>
      </c>
      <c r="H664" s="40" t="s">
        <v>541</v>
      </c>
      <c r="I664" s="39" t="s">
        <v>320</v>
      </c>
      <c r="J664" s="43">
        <v>42461.14</v>
      </c>
      <c r="K664" s="43">
        <v>0</v>
      </c>
      <c r="L664" s="43">
        <v>42461.14</v>
      </c>
      <c r="M664" s="44">
        <v>0</v>
      </c>
      <c r="N664" s="44">
        <f t="shared" si="10"/>
        <v>42461.14</v>
      </c>
      <c r="O664" s="44">
        <v>42461.14</v>
      </c>
      <c r="P664" s="40" t="s">
        <v>4910</v>
      </c>
      <c r="Q664" s="40" t="s">
        <v>4911</v>
      </c>
      <c r="R664" s="40" t="s">
        <v>494</v>
      </c>
      <c r="S664" s="40" t="s">
        <v>502</v>
      </c>
      <c r="T664" s="40" t="s">
        <v>180</v>
      </c>
      <c r="U664" s="40" t="s">
        <v>4912</v>
      </c>
      <c r="V664" s="40"/>
      <c r="W664" s="40" t="s">
        <v>4913</v>
      </c>
    </row>
    <row r="665" spans="1:23" ht="12" x14ac:dyDescent="0.2">
      <c r="A665" s="39" t="s">
        <v>1471</v>
      </c>
      <c r="B665" s="40" t="s">
        <v>1472</v>
      </c>
      <c r="C665" s="40" t="s">
        <v>4914</v>
      </c>
      <c r="D665" s="41">
        <v>45999</v>
      </c>
      <c r="E665" s="41">
        <v>46029</v>
      </c>
      <c r="F665" s="41">
        <v>46091</v>
      </c>
      <c r="G665" s="42">
        <v>62</v>
      </c>
      <c r="H665" s="40" t="s">
        <v>541</v>
      </c>
      <c r="I665" s="39" t="s">
        <v>320</v>
      </c>
      <c r="J665" s="43">
        <v>4618.4399999999996</v>
      </c>
      <c r="K665" s="43">
        <v>0</v>
      </c>
      <c r="L665" s="43">
        <v>4618.4399999999996</v>
      </c>
      <c r="M665" s="44">
        <v>0</v>
      </c>
      <c r="N665" s="44">
        <f t="shared" si="10"/>
        <v>4618.4399999999996</v>
      </c>
      <c r="O665" s="44">
        <v>4618.4399999999996</v>
      </c>
      <c r="P665" s="40" t="s">
        <v>2829</v>
      </c>
      <c r="Q665" s="40" t="s">
        <v>2830</v>
      </c>
      <c r="R665" s="40" t="s">
        <v>494</v>
      </c>
      <c r="S665" s="40" t="s">
        <v>502</v>
      </c>
      <c r="T665" s="40" t="s">
        <v>1372</v>
      </c>
      <c r="U665" s="40" t="s">
        <v>1473</v>
      </c>
      <c r="V665" s="40" t="s">
        <v>4908</v>
      </c>
      <c r="W665" s="40" t="s">
        <v>321</v>
      </c>
    </row>
    <row r="666" spans="1:23" ht="12" x14ac:dyDescent="0.2">
      <c r="A666" s="39" t="s">
        <v>1471</v>
      </c>
      <c r="B666" s="40" t="s">
        <v>1472</v>
      </c>
      <c r="C666" s="40" t="s">
        <v>4915</v>
      </c>
      <c r="D666" s="41">
        <v>45999</v>
      </c>
      <c r="E666" s="41">
        <v>46029</v>
      </c>
      <c r="F666" s="41">
        <v>46091</v>
      </c>
      <c r="G666" s="42">
        <v>62</v>
      </c>
      <c r="H666" s="40" t="s">
        <v>541</v>
      </c>
      <c r="I666" s="39" t="s">
        <v>320</v>
      </c>
      <c r="J666" s="43">
        <v>6765.38</v>
      </c>
      <c r="K666" s="43">
        <v>0</v>
      </c>
      <c r="L666" s="43">
        <v>6765.38</v>
      </c>
      <c r="M666" s="44">
        <v>0</v>
      </c>
      <c r="N666" s="44">
        <f t="shared" si="10"/>
        <v>6765.38</v>
      </c>
      <c r="O666" s="44">
        <v>6765.38</v>
      </c>
      <c r="P666" s="40" t="s">
        <v>2829</v>
      </c>
      <c r="Q666" s="40" t="s">
        <v>2830</v>
      </c>
      <c r="R666" s="40" t="s">
        <v>494</v>
      </c>
      <c r="S666" s="40" t="s">
        <v>502</v>
      </c>
      <c r="T666" s="40" t="s">
        <v>1372</v>
      </c>
      <c r="U666" s="40" t="s">
        <v>1473</v>
      </c>
      <c r="V666" s="40" t="s">
        <v>4908</v>
      </c>
      <c r="W666" s="40" t="s">
        <v>321</v>
      </c>
    </row>
    <row r="667" spans="1:23" ht="12" x14ac:dyDescent="0.2">
      <c r="A667" s="39" t="s">
        <v>1471</v>
      </c>
      <c r="B667" s="40" t="s">
        <v>1472</v>
      </c>
      <c r="C667" s="40" t="s">
        <v>4916</v>
      </c>
      <c r="D667" s="41">
        <v>45999</v>
      </c>
      <c r="E667" s="41">
        <v>46029</v>
      </c>
      <c r="F667" s="41">
        <v>46091</v>
      </c>
      <c r="G667" s="42">
        <v>62</v>
      </c>
      <c r="H667" s="40" t="s">
        <v>541</v>
      </c>
      <c r="I667" s="39" t="s">
        <v>320</v>
      </c>
      <c r="J667" s="43">
        <v>9551.18</v>
      </c>
      <c r="K667" s="43">
        <v>0</v>
      </c>
      <c r="L667" s="43">
        <v>9551.18</v>
      </c>
      <c r="M667" s="44">
        <v>0</v>
      </c>
      <c r="N667" s="44">
        <f t="shared" si="10"/>
        <v>9551.18</v>
      </c>
      <c r="O667" s="44">
        <v>9551.18</v>
      </c>
      <c r="P667" s="40" t="s">
        <v>2829</v>
      </c>
      <c r="Q667" s="40" t="s">
        <v>2830</v>
      </c>
      <c r="R667" s="40" t="s">
        <v>494</v>
      </c>
      <c r="S667" s="40" t="s">
        <v>502</v>
      </c>
      <c r="T667" s="40" t="s">
        <v>1372</v>
      </c>
      <c r="U667" s="40" t="s">
        <v>1473</v>
      </c>
      <c r="V667" s="40" t="s">
        <v>4908</v>
      </c>
      <c r="W667" s="40" t="s">
        <v>321</v>
      </c>
    </row>
    <row r="668" spans="1:23" ht="12" x14ac:dyDescent="0.2">
      <c r="A668" s="39" t="s">
        <v>1471</v>
      </c>
      <c r="B668" s="40" t="s">
        <v>1472</v>
      </c>
      <c r="C668" s="40" t="s">
        <v>4917</v>
      </c>
      <c r="D668" s="41">
        <v>45999</v>
      </c>
      <c r="E668" s="41">
        <v>46029</v>
      </c>
      <c r="F668" s="41">
        <v>46091</v>
      </c>
      <c r="G668" s="42">
        <v>62</v>
      </c>
      <c r="H668" s="40" t="s">
        <v>541</v>
      </c>
      <c r="I668" s="39" t="s">
        <v>320</v>
      </c>
      <c r="J668" s="43">
        <v>8667.2099999999991</v>
      </c>
      <c r="K668" s="43">
        <v>0</v>
      </c>
      <c r="L668" s="43">
        <v>8667.2099999999991</v>
      </c>
      <c r="M668" s="44">
        <v>0</v>
      </c>
      <c r="N668" s="44">
        <f t="shared" si="10"/>
        <v>8667.2099999999991</v>
      </c>
      <c r="O668" s="44">
        <v>8667.2099999999991</v>
      </c>
      <c r="P668" s="40" t="s">
        <v>2829</v>
      </c>
      <c r="Q668" s="40" t="s">
        <v>2830</v>
      </c>
      <c r="R668" s="40" t="s">
        <v>494</v>
      </c>
      <c r="S668" s="40" t="s">
        <v>502</v>
      </c>
      <c r="T668" s="40" t="s">
        <v>1372</v>
      </c>
      <c r="U668" s="40" t="s">
        <v>1473</v>
      </c>
      <c r="V668" s="40" t="s">
        <v>4908</v>
      </c>
      <c r="W668" s="40" t="s">
        <v>321</v>
      </c>
    </row>
    <row r="669" spans="1:23" ht="12" x14ac:dyDescent="0.2">
      <c r="A669" s="39" t="s">
        <v>1471</v>
      </c>
      <c r="B669" s="40" t="s">
        <v>1472</v>
      </c>
      <c r="C669" s="40" t="s">
        <v>4918</v>
      </c>
      <c r="D669" s="41">
        <v>45999</v>
      </c>
      <c r="E669" s="41">
        <v>46029</v>
      </c>
      <c r="F669" s="41">
        <v>46091</v>
      </c>
      <c r="G669" s="42">
        <v>62</v>
      </c>
      <c r="H669" s="40" t="s">
        <v>541</v>
      </c>
      <c r="I669" s="39" t="s">
        <v>320</v>
      </c>
      <c r="J669" s="43">
        <v>9551.18</v>
      </c>
      <c r="K669" s="43">
        <v>0</v>
      </c>
      <c r="L669" s="43">
        <v>9551.18</v>
      </c>
      <c r="M669" s="44">
        <v>0</v>
      </c>
      <c r="N669" s="44">
        <f t="shared" si="10"/>
        <v>9551.18</v>
      </c>
      <c r="O669" s="44">
        <v>9551.18</v>
      </c>
      <c r="P669" s="40" t="s">
        <v>2829</v>
      </c>
      <c r="Q669" s="40" t="s">
        <v>2830</v>
      </c>
      <c r="R669" s="40" t="s">
        <v>494</v>
      </c>
      <c r="S669" s="40" t="s">
        <v>502</v>
      </c>
      <c r="T669" s="40" t="s">
        <v>1372</v>
      </c>
      <c r="U669" s="40" t="s">
        <v>1473</v>
      </c>
      <c r="V669" s="40" t="s">
        <v>4908</v>
      </c>
      <c r="W669" s="40" t="s">
        <v>321</v>
      </c>
    </row>
    <row r="670" spans="1:23" ht="12" x14ac:dyDescent="0.2">
      <c r="A670" s="39" t="s">
        <v>742</v>
      </c>
      <c r="B670" s="40" t="s">
        <v>743</v>
      </c>
      <c r="C670" s="40" t="s">
        <v>4919</v>
      </c>
      <c r="D670" s="41">
        <v>45999</v>
      </c>
      <c r="E670" s="41">
        <v>46029</v>
      </c>
      <c r="F670" s="41">
        <v>46091</v>
      </c>
      <c r="G670" s="42">
        <v>62</v>
      </c>
      <c r="H670" s="40" t="s">
        <v>541</v>
      </c>
      <c r="I670" s="39" t="s">
        <v>323</v>
      </c>
      <c r="J670" s="43">
        <v>2043848.21</v>
      </c>
      <c r="K670" s="43">
        <v>0</v>
      </c>
      <c r="L670" s="43">
        <v>2043848.21</v>
      </c>
      <c r="M670" s="44">
        <v>0</v>
      </c>
      <c r="N670" s="44">
        <f t="shared" si="10"/>
        <v>1523145.64</v>
      </c>
      <c r="O670" s="44">
        <v>1523145.64</v>
      </c>
      <c r="P670" s="40" t="s">
        <v>4893</v>
      </c>
      <c r="Q670" s="40" t="s">
        <v>4894</v>
      </c>
      <c r="R670" s="40" t="s">
        <v>494</v>
      </c>
      <c r="S670" s="40" t="s">
        <v>502</v>
      </c>
      <c r="T670" s="40" t="s">
        <v>773</v>
      </c>
      <c r="U670" s="40" t="s">
        <v>576</v>
      </c>
      <c r="V670" s="40" t="s">
        <v>3944</v>
      </c>
      <c r="W670" s="40" t="s">
        <v>4895</v>
      </c>
    </row>
    <row r="671" spans="1:23" ht="12" x14ac:dyDescent="0.2">
      <c r="A671" s="39" t="s">
        <v>14</v>
      </c>
      <c r="B671" s="40" t="s">
        <v>2525</v>
      </c>
      <c r="C671" s="40" t="s">
        <v>4920</v>
      </c>
      <c r="D671" s="41">
        <v>45999</v>
      </c>
      <c r="E671" s="41">
        <v>46029</v>
      </c>
      <c r="F671" s="41">
        <v>46091</v>
      </c>
      <c r="G671" s="42">
        <v>62</v>
      </c>
      <c r="H671" s="40" t="s">
        <v>541</v>
      </c>
      <c r="I671" s="39" t="s">
        <v>320</v>
      </c>
      <c r="J671" s="43">
        <v>150000</v>
      </c>
      <c r="K671" s="43">
        <v>25000</v>
      </c>
      <c r="L671" s="43">
        <v>150000</v>
      </c>
      <c r="M671" s="44">
        <v>25000</v>
      </c>
      <c r="N671" s="44">
        <f t="shared" si="10"/>
        <v>125000</v>
      </c>
      <c r="O671" s="44">
        <v>150000</v>
      </c>
      <c r="P671" s="40" t="s">
        <v>4921</v>
      </c>
      <c r="Q671" s="40" t="s">
        <v>4922</v>
      </c>
      <c r="R671" s="40" t="s">
        <v>494</v>
      </c>
      <c r="S671" s="40" t="s">
        <v>502</v>
      </c>
      <c r="T671" s="40" t="s">
        <v>218</v>
      </c>
      <c r="U671" s="40" t="s">
        <v>563</v>
      </c>
      <c r="V671" s="40" t="s">
        <v>4923</v>
      </c>
      <c r="W671" s="40" t="s">
        <v>4924</v>
      </c>
    </row>
    <row r="672" spans="1:23" ht="12" x14ac:dyDescent="0.2">
      <c r="A672" s="39" t="s">
        <v>1471</v>
      </c>
      <c r="B672" s="40" t="s">
        <v>1472</v>
      </c>
      <c r="C672" s="40" t="s">
        <v>4925</v>
      </c>
      <c r="D672" s="41">
        <v>45999</v>
      </c>
      <c r="E672" s="41">
        <v>46029</v>
      </c>
      <c r="F672" s="41">
        <v>46091</v>
      </c>
      <c r="G672" s="42">
        <v>62</v>
      </c>
      <c r="H672" s="40" t="s">
        <v>541</v>
      </c>
      <c r="I672" s="39" t="s">
        <v>320</v>
      </c>
      <c r="J672" s="43">
        <v>7701.88</v>
      </c>
      <c r="K672" s="43">
        <v>0</v>
      </c>
      <c r="L672" s="43">
        <v>7701.88</v>
      </c>
      <c r="M672" s="44">
        <v>0</v>
      </c>
      <c r="N672" s="44">
        <f t="shared" si="10"/>
        <v>7701.88</v>
      </c>
      <c r="O672" s="44">
        <v>7701.88</v>
      </c>
      <c r="P672" s="40" t="s">
        <v>2829</v>
      </c>
      <c r="Q672" s="40" t="s">
        <v>2830</v>
      </c>
      <c r="R672" s="40" t="s">
        <v>494</v>
      </c>
      <c r="S672" s="40" t="s">
        <v>502</v>
      </c>
      <c r="T672" s="40" t="s">
        <v>1372</v>
      </c>
      <c r="U672" s="40" t="s">
        <v>1473</v>
      </c>
      <c r="V672" s="40" t="s">
        <v>4908</v>
      </c>
      <c r="W672" s="40" t="s">
        <v>321</v>
      </c>
    </row>
    <row r="673" spans="1:23" ht="12" x14ac:dyDescent="0.2">
      <c r="A673" s="39" t="s">
        <v>1216</v>
      </c>
      <c r="B673" s="40" t="s">
        <v>4926</v>
      </c>
      <c r="C673" s="40" t="s">
        <v>4927</v>
      </c>
      <c r="D673" s="41">
        <v>46000</v>
      </c>
      <c r="E673" s="41">
        <v>46030</v>
      </c>
      <c r="F673" s="41">
        <v>46091</v>
      </c>
      <c r="G673" s="42">
        <v>61</v>
      </c>
      <c r="H673" s="40" t="s">
        <v>541</v>
      </c>
      <c r="I673" s="39" t="s">
        <v>320</v>
      </c>
      <c r="J673" s="43">
        <v>28775.13</v>
      </c>
      <c r="K673" s="43">
        <v>0</v>
      </c>
      <c r="L673" s="43">
        <v>28775.13</v>
      </c>
      <c r="M673" s="44">
        <v>0</v>
      </c>
      <c r="N673" s="44">
        <f t="shared" si="10"/>
        <v>28775.13</v>
      </c>
      <c r="O673" s="44">
        <v>28775.13</v>
      </c>
      <c r="P673" s="40" t="s">
        <v>4928</v>
      </c>
      <c r="Q673" s="40" t="s">
        <v>4929</v>
      </c>
      <c r="R673" s="40" t="s">
        <v>494</v>
      </c>
      <c r="S673" s="40" t="s">
        <v>495</v>
      </c>
      <c r="T673" s="40" t="s">
        <v>191</v>
      </c>
      <c r="U673" s="40" t="s">
        <v>4884</v>
      </c>
      <c r="V673" s="40"/>
      <c r="W673" s="40" t="s">
        <v>4930</v>
      </c>
    </row>
    <row r="674" spans="1:23" ht="12" x14ac:dyDescent="0.2">
      <c r="A674" s="39" t="s">
        <v>788</v>
      </c>
      <c r="B674" s="40" t="s">
        <v>789</v>
      </c>
      <c r="C674" s="40" t="s">
        <v>4931</v>
      </c>
      <c r="D674" s="41">
        <v>46000</v>
      </c>
      <c r="E674" s="41">
        <v>46030</v>
      </c>
      <c r="F674" s="41">
        <v>46091</v>
      </c>
      <c r="G674" s="42">
        <v>61</v>
      </c>
      <c r="H674" s="40" t="s">
        <v>541</v>
      </c>
      <c r="I674" s="39" t="s">
        <v>320</v>
      </c>
      <c r="J674" s="43">
        <v>98445.16</v>
      </c>
      <c r="K674" s="43">
        <v>0</v>
      </c>
      <c r="L674" s="43">
        <v>98445.16</v>
      </c>
      <c r="M674" s="44">
        <v>0</v>
      </c>
      <c r="N674" s="44">
        <f t="shared" si="10"/>
        <v>98445.16</v>
      </c>
      <c r="O674" s="44">
        <v>98445.16</v>
      </c>
      <c r="P674" s="40" t="s">
        <v>790</v>
      </c>
      <c r="Q674" s="40" t="s">
        <v>791</v>
      </c>
      <c r="R674" s="40" t="s">
        <v>494</v>
      </c>
      <c r="S674" s="40" t="s">
        <v>502</v>
      </c>
      <c r="T674" s="40" t="s">
        <v>501</v>
      </c>
      <c r="U674" s="40" t="s">
        <v>640</v>
      </c>
      <c r="V674" s="40" t="s">
        <v>4932</v>
      </c>
      <c r="W674" s="40" t="s">
        <v>2983</v>
      </c>
    </row>
    <row r="675" spans="1:23" ht="12" x14ac:dyDescent="0.2">
      <c r="A675" s="39" t="s">
        <v>33</v>
      </c>
      <c r="B675" s="40" t="s">
        <v>340</v>
      </c>
      <c r="C675" s="40" t="s">
        <v>4933</v>
      </c>
      <c r="D675" s="41">
        <v>46000</v>
      </c>
      <c r="E675" s="41">
        <v>46030</v>
      </c>
      <c r="F675" s="41">
        <v>46091</v>
      </c>
      <c r="G675" s="42">
        <v>61</v>
      </c>
      <c r="H675" s="40" t="s">
        <v>541</v>
      </c>
      <c r="I675" s="39" t="s">
        <v>320</v>
      </c>
      <c r="J675" s="43">
        <v>18651.28</v>
      </c>
      <c r="K675" s="43">
        <v>0</v>
      </c>
      <c r="L675" s="43">
        <v>18651.28</v>
      </c>
      <c r="M675" s="44">
        <v>0</v>
      </c>
      <c r="N675" s="44">
        <f t="shared" si="10"/>
        <v>18651.28</v>
      </c>
      <c r="O675" s="44">
        <v>18651.28</v>
      </c>
      <c r="P675" s="40" t="s">
        <v>963</v>
      </c>
      <c r="Q675" s="40" t="s">
        <v>3692</v>
      </c>
      <c r="R675" s="40" t="s">
        <v>494</v>
      </c>
      <c r="S675" s="40" t="s">
        <v>502</v>
      </c>
      <c r="T675" s="40" t="s">
        <v>330</v>
      </c>
      <c r="U675" s="40" t="s">
        <v>677</v>
      </c>
      <c r="V675" s="40"/>
      <c r="W675" s="40" t="s">
        <v>3693</v>
      </c>
    </row>
    <row r="676" spans="1:23" ht="12" x14ac:dyDescent="0.2">
      <c r="A676" s="39" t="s">
        <v>442</v>
      </c>
      <c r="B676" s="40" t="s">
        <v>441</v>
      </c>
      <c r="C676" s="40" t="s">
        <v>4934</v>
      </c>
      <c r="D676" s="41">
        <v>46000</v>
      </c>
      <c r="E676" s="41">
        <v>46030</v>
      </c>
      <c r="F676" s="41">
        <v>46091</v>
      </c>
      <c r="G676" s="42">
        <v>61</v>
      </c>
      <c r="H676" s="40" t="s">
        <v>541</v>
      </c>
      <c r="I676" s="39" t="s">
        <v>320</v>
      </c>
      <c r="J676" s="43">
        <v>-48234.39</v>
      </c>
      <c r="K676" s="43">
        <v>0</v>
      </c>
      <c r="L676" s="43">
        <v>-48234.39</v>
      </c>
      <c r="M676" s="44">
        <v>0</v>
      </c>
      <c r="N676" s="44">
        <f t="shared" si="10"/>
        <v>-48234.39</v>
      </c>
      <c r="O676" s="44">
        <v>-48234.39</v>
      </c>
      <c r="P676" s="40" t="s">
        <v>4935</v>
      </c>
      <c r="Q676" s="40" t="s">
        <v>4936</v>
      </c>
      <c r="R676" s="40" t="s">
        <v>494</v>
      </c>
      <c r="S676" s="40" t="s">
        <v>495</v>
      </c>
      <c r="T676" s="40" t="s">
        <v>184</v>
      </c>
      <c r="U676" s="40" t="s">
        <v>4937</v>
      </c>
      <c r="V676" s="40"/>
      <c r="W676" s="40" t="s">
        <v>4938</v>
      </c>
    </row>
    <row r="677" spans="1:23" ht="12" x14ac:dyDescent="0.2">
      <c r="A677" s="39" t="s">
        <v>1471</v>
      </c>
      <c r="B677" s="40" t="s">
        <v>1472</v>
      </c>
      <c r="C677" s="40" t="s">
        <v>4939</v>
      </c>
      <c r="D677" s="41">
        <v>46000</v>
      </c>
      <c r="E677" s="41">
        <v>46030</v>
      </c>
      <c r="F677" s="41">
        <v>46091</v>
      </c>
      <c r="G677" s="42">
        <v>61</v>
      </c>
      <c r="H677" s="40" t="s">
        <v>541</v>
      </c>
      <c r="I677" s="39" t="s">
        <v>320</v>
      </c>
      <c r="J677" s="43">
        <v>5384.54</v>
      </c>
      <c r="K677" s="43">
        <v>0</v>
      </c>
      <c r="L677" s="43">
        <v>5384.54</v>
      </c>
      <c r="M677" s="44">
        <v>0</v>
      </c>
      <c r="N677" s="44">
        <f t="shared" si="10"/>
        <v>5384.54</v>
      </c>
      <c r="O677" s="44">
        <v>5384.54</v>
      </c>
      <c r="P677" s="40" t="s">
        <v>2829</v>
      </c>
      <c r="Q677" s="40" t="s">
        <v>2830</v>
      </c>
      <c r="R677" s="40" t="s">
        <v>494</v>
      </c>
      <c r="S677" s="40" t="s">
        <v>502</v>
      </c>
      <c r="T677" s="40" t="s">
        <v>1372</v>
      </c>
      <c r="U677" s="40" t="s">
        <v>1473</v>
      </c>
      <c r="V677" s="40" t="s">
        <v>4908</v>
      </c>
      <c r="W677" s="40" t="s">
        <v>321</v>
      </c>
    </row>
    <row r="678" spans="1:23" ht="12" x14ac:dyDescent="0.2">
      <c r="A678" s="39" t="s">
        <v>4940</v>
      </c>
      <c r="B678" s="40" t="s">
        <v>4941</v>
      </c>
      <c r="C678" s="40" t="s">
        <v>4942</v>
      </c>
      <c r="D678" s="41">
        <v>46000</v>
      </c>
      <c r="E678" s="41">
        <v>46030</v>
      </c>
      <c r="F678" s="41">
        <v>46091</v>
      </c>
      <c r="G678" s="42">
        <v>61</v>
      </c>
      <c r="H678" s="40" t="s">
        <v>541</v>
      </c>
      <c r="I678" s="39" t="s">
        <v>323</v>
      </c>
      <c r="J678" s="43">
        <v>-3193.04</v>
      </c>
      <c r="K678" s="43">
        <v>0</v>
      </c>
      <c r="L678" s="43">
        <v>-3193.04</v>
      </c>
      <c r="M678" s="44">
        <v>0</v>
      </c>
      <c r="N678" s="44">
        <f t="shared" si="10"/>
        <v>-2128.69</v>
      </c>
      <c r="O678" s="44">
        <v>-2128.69</v>
      </c>
      <c r="P678" s="40" t="s">
        <v>4943</v>
      </c>
      <c r="Q678" s="40" t="s">
        <v>4944</v>
      </c>
      <c r="R678" s="40" t="s">
        <v>494</v>
      </c>
      <c r="S678" s="40" t="s">
        <v>495</v>
      </c>
      <c r="T678" s="40" t="s">
        <v>178</v>
      </c>
      <c r="U678" s="40" t="s">
        <v>625</v>
      </c>
      <c r="V678" s="40" t="s">
        <v>4017</v>
      </c>
      <c r="W678" s="40" t="s">
        <v>4945</v>
      </c>
    </row>
    <row r="679" spans="1:23" ht="12" x14ac:dyDescent="0.2">
      <c r="A679" s="39" t="s">
        <v>48</v>
      </c>
      <c r="B679" s="40" t="s">
        <v>389</v>
      </c>
      <c r="C679" s="40" t="s">
        <v>4946</v>
      </c>
      <c r="D679" s="41">
        <v>46001</v>
      </c>
      <c r="E679" s="41">
        <v>46031</v>
      </c>
      <c r="F679" s="41">
        <v>46091</v>
      </c>
      <c r="G679" s="42">
        <v>60</v>
      </c>
      <c r="H679" s="40" t="s">
        <v>543</v>
      </c>
      <c r="I679" s="39" t="s">
        <v>320</v>
      </c>
      <c r="J679" s="43">
        <v>18540.16</v>
      </c>
      <c r="K679" s="43">
        <v>0</v>
      </c>
      <c r="L679" s="43">
        <v>18540.16</v>
      </c>
      <c r="M679" s="44">
        <v>0</v>
      </c>
      <c r="N679" s="44">
        <f t="shared" si="10"/>
        <v>18540.16</v>
      </c>
      <c r="O679" s="44">
        <v>18540.16</v>
      </c>
      <c r="P679" s="40" t="s">
        <v>4947</v>
      </c>
      <c r="Q679" s="40" t="s">
        <v>4948</v>
      </c>
      <c r="R679" s="40" t="s">
        <v>494</v>
      </c>
      <c r="S679" s="40" t="s">
        <v>502</v>
      </c>
      <c r="T679" s="40" t="s">
        <v>298</v>
      </c>
      <c r="U679" s="40" t="s">
        <v>4949</v>
      </c>
      <c r="V679" s="40"/>
      <c r="W679" s="40" t="s">
        <v>4950</v>
      </c>
    </row>
    <row r="680" spans="1:23" ht="12" x14ac:dyDescent="0.2">
      <c r="A680" s="39" t="s">
        <v>31</v>
      </c>
      <c r="B680" s="40" t="s">
        <v>353</v>
      </c>
      <c r="C680" s="40" t="s">
        <v>4951</v>
      </c>
      <c r="D680" s="41">
        <v>46001</v>
      </c>
      <c r="E680" s="41">
        <v>46031</v>
      </c>
      <c r="F680" s="41">
        <v>46091</v>
      </c>
      <c r="G680" s="42">
        <v>60</v>
      </c>
      <c r="H680" s="40" t="s">
        <v>543</v>
      </c>
      <c r="I680" s="39" t="s">
        <v>320</v>
      </c>
      <c r="J680" s="43">
        <v>150513.32</v>
      </c>
      <c r="K680" s="43">
        <v>0</v>
      </c>
      <c r="L680" s="43">
        <v>150513.32</v>
      </c>
      <c r="M680" s="44">
        <v>0</v>
      </c>
      <c r="N680" s="44">
        <f t="shared" si="10"/>
        <v>150513.32</v>
      </c>
      <c r="O680" s="44">
        <v>150513.32</v>
      </c>
      <c r="P680" s="40" t="s">
        <v>4952</v>
      </c>
      <c r="Q680" s="40" t="s">
        <v>4953</v>
      </c>
      <c r="R680" s="40" t="s">
        <v>494</v>
      </c>
      <c r="S680" s="40" t="s">
        <v>495</v>
      </c>
      <c r="T680" s="40" t="s">
        <v>184</v>
      </c>
      <c r="U680" s="40" t="s">
        <v>1921</v>
      </c>
      <c r="V680" s="40"/>
      <c r="W680" s="40" t="s">
        <v>4954</v>
      </c>
    </row>
    <row r="681" spans="1:23" ht="12" x14ac:dyDescent="0.2">
      <c r="A681" s="39" t="s">
        <v>337</v>
      </c>
      <c r="B681" s="40" t="s">
        <v>336</v>
      </c>
      <c r="C681" s="40" t="s">
        <v>4955</v>
      </c>
      <c r="D681" s="41">
        <v>46001</v>
      </c>
      <c r="E681" s="41">
        <v>46031</v>
      </c>
      <c r="F681" s="41">
        <v>46091</v>
      </c>
      <c r="G681" s="42">
        <v>60</v>
      </c>
      <c r="H681" s="40" t="s">
        <v>543</v>
      </c>
      <c r="I681" s="39" t="s">
        <v>320</v>
      </c>
      <c r="J681" s="43">
        <v>97809.06</v>
      </c>
      <c r="K681" s="43">
        <v>0</v>
      </c>
      <c r="L681" s="43">
        <v>97809.06</v>
      </c>
      <c r="M681" s="44">
        <v>0</v>
      </c>
      <c r="N681" s="44">
        <f t="shared" si="10"/>
        <v>97809.06</v>
      </c>
      <c r="O681" s="44">
        <v>97809.06</v>
      </c>
      <c r="P681" s="40" t="s">
        <v>1077</v>
      </c>
      <c r="Q681" s="40" t="s">
        <v>1078</v>
      </c>
      <c r="R681" s="40" t="s">
        <v>494</v>
      </c>
      <c r="S681" s="40" t="s">
        <v>495</v>
      </c>
      <c r="T681" s="40" t="s">
        <v>289</v>
      </c>
      <c r="U681" s="40" t="s">
        <v>569</v>
      </c>
      <c r="V681" s="40"/>
      <c r="W681" s="40" t="s">
        <v>1079</v>
      </c>
    </row>
    <row r="682" spans="1:23" ht="12" x14ac:dyDescent="0.2">
      <c r="A682" s="39" t="s">
        <v>3387</v>
      </c>
      <c r="B682" s="40" t="s">
        <v>3388</v>
      </c>
      <c r="C682" s="40" t="s">
        <v>4956</v>
      </c>
      <c r="D682" s="41">
        <v>46001</v>
      </c>
      <c r="E682" s="41">
        <v>46031</v>
      </c>
      <c r="F682" s="41">
        <v>46091</v>
      </c>
      <c r="G682" s="42">
        <v>60</v>
      </c>
      <c r="H682" s="40" t="s">
        <v>543</v>
      </c>
      <c r="I682" s="39" t="s">
        <v>320</v>
      </c>
      <c r="J682" s="43">
        <v>112019.9</v>
      </c>
      <c r="K682" s="43">
        <v>0</v>
      </c>
      <c r="L682" s="43">
        <v>112019.9</v>
      </c>
      <c r="M682" s="44">
        <v>0</v>
      </c>
      <c r="N682" s="44">
        <f t="shared" si="10"/>
        <v>112019.9</v>
      </c>
      <c r="O682" s="44">
        <v>112019.9</v>
      </c>
      <c r="P682" s="40" t="s">
        <v>3390</v>
      </c>
      <c r="Q682" s="40" t="s">
        <v>3391</v>
      </c>
      <c r="R682" s="40" t="s">
        <v>494</v>
      </c>
      <c r="S682" s="40" t="s">
        <v>502</v>
      </c>
      <c r="T682" s="40" t="s">
        <v>225</v>
      </c>
      <c r="U682" s="40" t="s">
        <v>574</v>
      </c>
      <c r="V682" s="40" t="s">
        <v>4035</v>
      </c>
      <c r="W682" s="40"/>
    </row>
    <row r="683" spans="1:23" ht="12" x14ac:dyDescent="0.2">
      <c r="A683" s="39" t="s">
        <v>461</v>
      </c>
      <c r="B683" s="40" t="s">
        <v>460</v>
      </c>
      <c r="C683" s="40" t="s">
        <v>4957</v>
      </c>
      <c r="D683" s="41">
        <v>46001</v>
      </c>
      <c r="E683" s="41">
        <v>46031</v>
      </c>
      <c r="F683" s="41">
        <v>46091</v>
      </c>
      <c r="G683" s="42">
        <v>60</v>
      </c>
      <c r="H683" s="40" t="s">
        <v>543</v>
      </c>
      <c r="I683" s="39" t="s">
        <v>320</v>
      </c>
      <c r="J683" s="43">
        <v>1607.8</v>
      </c>
      <c r="K683" s="43">
        <v>0</v>
      </c>
      <c r="L683" s="43">
        <v>1607.8</v>
      </c>
      <c r="M683" s="44">
        <v>0</v>
      </c>
      <c r="N683" s="44">
        <f t="shared" si="10"/>
        <v>1607.8</v>
      </c>
      <c r="O683" s="44">
        <v>1607.8</v>
      </c>
      <c r="P683" s="40" t="s">
        <v>3072</v>
      </c>
      <c r="Q683" s="40" t="s">
        <v>3073</v>
      </c>
      <c r="R683" s="40" t="s">
        <v>494</v>
      </c>
      <c r="S683" s="40" t="s">
        <v>502</v>
      </c>
      <c r="T683" s="40" t="s">
        <v>542</v>
      </c>
      <c r="U683" s="40" t="s">
        <v>3074</v>
      </c>
      <c r="V683" s="40"/>
      <c r="W683" s="40" t="s">
        <v>3075</v>
      </c>
    </row>
    <row r="684" spans="1:23" ht="12" x14ac:dyDescent="0.2">
      <c r="A684" s="39" t="s">
        <v>444</v>
      </c>
      <c r="B684" s="40" t="s">
        <v>443</v>
      </c>
      <c r="C684" s="40" t="s">
        <v>4958</v>
      </c>
      <c r="D684" s="41">
        <v>46001</v>
      </c>
      <c r="E684" s="41">
        <v>46031</v>
      </c>
      <c r="F684" s="41">
        <v>46091</v>
      </c>
      <c r="G684" s="42">
        <v>60</v>
      </c>
      <c r="H684" s="40" t="s">
        <v>543</v>
      </c>
      <c r="I684" s="39" t="s">
        <v>320</v>
      </c>
      <c r="J684" s="43">
        <v>82776.11</v>
      </c>
      <c r="K684" s="43">
        <v>0</v>
      </c>
      <c r="L684" s="43">
        <v>82776.11</v>
      </c>
      <c r="M684" s="44">
        <v>0</v>
      </c>
      <c r="N684" s="44">
        <f t="shared" si="10"/>
        <v>82776.11</v>
      </c>
      <c r="O684" s="44">
        <v>82776.11</v>
      </c>
      <c r="P684" s="40" t="s">
        <v>4959</v>
      </c>
      <c r="Q684" s="40" t="s">
        <v>4960</v>
      </c>
      <c r="R684" s="40" t="s">
        <v>494</v>
      </c>
      <c r="S684" s="40" t="s">
        <v>502</v>
      </c>
      <c r="T684" s="40" t="s">
        <v>513</v>
      </c>
      <c r="U684" s="40" t="s">
        <v>4301</v>
      </c>
      <c r="V684" s="40"/>
      <c r="W684" s="40" t="s">
        <v>4961</v>
      </c>
    </row>
    <row r="685" spans="1:23" ht="12" x14ac:dyDescent="0.2">
      <c r="A685" s="39" t="s">
        <v>2657</v>
      </c>
      <c r="B685" s="40" t="s">
        <v>2658</v>
      </c>
      <c r="C685" s="40" t="s">
        <v>4962</v>
      </c>
      <c r="D685" s="41">
        <v>46001</v>
      </c>
      <c r="E685" s="41">
        <v>46031</v>
      </c>
      <c r="F685" s="41">
        <v>46091</v>
      </c>
      <c r="G685" s="42">
        <v>60</v>
      </c>
      <c r="H685" s="40" t="s">
        <v>543</v>
      </c>
      <c r="I685" s="39" t="s">
        <v>320</v>
      </c>
      <c r="J685" s="43">
        <v>31001.77</v>
      </c>
      <c r="K685" s="43">
        <v>0</v>
      </c>
      <c r="L685" s="43">
        <v>31001.77</v>
      </c>
      <c r="M685" s="44">
        <v>0</v>
      </c>
      <c r="N685" s="44">
        <f t="shared" si="10"/>
        <v>31001.77</v>
      </c>
      <c r="O685" s="44">
        <v>31001.77</v>
      </c>
      <c r="P685" s="40" t="s">
        <v>3010</v>
      </c>
      <c r="Q685" s="40" t="s">
        <v>3011</v>
      </c>
      <c r="R685" s="40" t="s">
        <v>494</v>
      </c>
      <c r="S685" s="40" t="s">
        <v>495</v>
      </c>
      <c r="T685" s="40" t="s">
        <v>221</v>
      </c>
      <c r="U685" s="40" t="s">
        <v>1673</v>
      </c>
      <c r="V685" s="40" t="s">
        <v>4963</v>
      </c>
      <c r="W685" s="40" t="s">
        <v>3012</v>
      </c>
    </row>
    <row r="686" spans="1:23" ht="12" x14ac:dyDescent="0.2">
      <c r="A686" s="39" t="s">
        <v>819</v>
      </c>
      <c r="B686" s="40" t="s">
        <v>1400</v>
      </c>
      <c r="C686" s="40" t="s">
        <v>4964</v>
      </c>
      <c r="D686" s="41">
        <v>46001</v>
      </c>
      <c r="E686" s="41">
        <v>46031</v>
      </c>
      <c r="F686" s="41">
        <v>46091</v>
      </c>
      <c r="G686" s="42">
        <v>60</v>
      </c>
      <c r="H686" s="40" t="s">
        <v>543</v>
      </c>
      <c r="I686" s="39" t="s">
        <v>320</v>
      </c>
      <c r="J686" s="43">
        <v>5935.47</v>
      </c>
      <c r="K686" s="43">
        <v>0</v>
      </c>
      <c r="L686" s="43">
        <v>5935.47</v>
      </c>
      <c r="M686" s="44">
        <v>0</v>
      </c>
      <c r="N686" s="44">
        <f t="shared" si="10"/>
        <v>5935.47</v>
      </c>
      <c r="O686" s="44">
        <v>5935.47</v>
      </c>
      <c r="P686" s="40" t="s">
        <v>818</v>
      </c>
      <c r="Q686" s="40" t="s">
        <v>1401</v>
      </c>
      <c r="R686" s="40" t="s">
        <v>494</v>
      </c>
      <c r="S686" s="40" t="s">
        <v>495</v>
      </c>
      <c r="T686" s="40" t="s">
        <v>733</v>
      </c>
      <c r="U686" s="40" t="s">
        <v>853</v>
      </c>
      <c r="V686" s="40" t="s">
        <v>3921</v>
      </c>
      <c r="W686" s="40" t="s">
        <v>1711</v>
      </c>
    </row>
    <row r="687" spans="1:23" ht="12" x14ac:dyDescent="0.2">
      <c r="A687" s="39" t="s">
        <v>2178</v>
      </c>
      <c r="B687" s="40" t="s">
        <v>2179</v>
      </c>
      <c r="C687" s="40" t="s">
        <v>4965</v>
      </c>
      <c r="D687" s="41">
        <v>46002</v>
      </c>
      <c r="E687" s="41">
        <v>46032</v>
      </c>
      <c r="F687" s="41">
        <v>46091</v>
      </c>
      <c r="G687" s="42">
        <v>59</v>
      </c>
      <c r="H687" s="40" t="s">
        <v>543</v>
      </c>
      <c r="I687" s="39" t="s">
        <v>320</v>
      </c>
      <c r="J687" s="43">
        <v>35122.14</v>
      </c>
      <c r="K687" s="43">
        <v>0</v>
      </c>
      <c r="L687" s="43">
        <v>35122.14</v>
      </c>
      <c r="M687" s="44">
        <v>0</v>
      </c>
      <c r="N687" s="44">
        <f t="shared" si="10"/>
        <v>35122.14</v>
      </c>
      <c r="O687" s="44">
        <v>35122.14</v>
      </c>
      <c r="P687" s="40" t="s">
        <v>4966</v>
      </c>
      <c r="Q687" s="40" t="s">
        <v>4967</v>
      </c>
      <c r="R687" s="40" t="s">
        <v>494</v>
      </c>
      <c r="S687" s="40" t="s">
        <v>502</v>
      </c>
      <c r="T687" s="40" t="s">
        <v>506</v>
      </c>
      <c r="U687" s="40" t="s">
        <v>4968</v>
      </c>
      <c r="V687" s="40"/>
      <c r="W687" s="40" t="s">
        <v>4969</v>
      </c>
    </row>
    <row r="688" spans="1:23" ht="12" x14ac:dyDescent="0.2">
      <c r="A688" s="39" t="s">
        <v>1778</v>
      </c>
      <c r="B688" s="40" t="s">
        <v>1779</v>
      </c>
      <c r="C688" s="40" t="s">
        <v>4970</v>
      </c>
      <c r="D688" s="41">
        <v>46002</v>
      </c>
      <c r="E688" s="41">
        <v>46032</v>
      </c>
      <c r="F688" s="41">
        <v>46091</v>
      </c>
      <c r="G688" s="42">
        <v>59</v>
      </c>
      <c r="H688" s="40" t="s">
        <v>543</v>
      </c>
      <c r="I688" s="39" t="s">
        <v>320</v>
      </c>
      <c r="J688" s="43">
        <v>32983.39</v>
      </c>
      <c r="K688" s="43">
        <v>0</v>
      </c>
      <c r="L688" s="43">
        <v>32983.39</v>
      </c>
      <c r="M688" s="44">
        <v>0</v>
      </c>
      <c r="N688" s="44">
        <f t="shared" si="10"/>
        <v>32983.39</v>
      </c>
      <c r="O688" s="44">
        <v>32983.39</v>
      </c>
      <c r="P688" s="40" t="s">
        <v>4971</v>
      </c>
      <c r="Q688" s="40" t="s">
        <v>4972</v>
      </c>
      <c r="R688" s="40" t="s">
        <v>494</v>
      </c>
      <c r="S688" s="40" t="s">
        <v>502</v>
      </c>
      <c r="T688" s="40" t="s">
        <v>330</v>
      </c>
      <c r="U688" s="40" t="s">
        <v>621</v>
      </c>
      <c r="V688" s="40"/>
      <c r="W688" s="40" t="s">
        <v>4973</v>
      </c>
    </row>
    <row r="689" spans="1:23" ht="12" x14ac:dyDescent="0.2">
      <c r="A689" s="39" t="s">
        <v>31</v>
      </c>
      <c r="B689" s="40" t="s">
        <v>353</v>
      </c>
      <c r="C689" s="40" t="s">
        <v>4974</v>
      </c>
      <c r="D689" s="41">
        <v>46002</v>
      </c>
      <c r="E689" s="41">
        <v>46032</v>
      </c>
      <c r="F689" s="41">
        <v>46091</v>
      </c>
      <c r="G689" s="42">
        <v>59</v>
      </c>
      <c r="H689" s="40" t="s">
        <v>543</v>
      </c>
      <c r="I689" s="39" t="s">
        <v>320</v>
      </c>
      <c r="J689" s="43">
        <v>12041.79</v>
      </c>
      <c r="K689" s="43">
        <v>0</v>
      </c>
      <c r="L689" s="43">
        <v>12041.79</v>
      </c>
      <c r="M689" s="44">
        <v>0</v>
      </c>
      <c r="N689" s="44">
        <f t="shared" si="10"/>
        <v>12041.79</v>
      </c>
      <c r="O689" s="44">
        <v>12041.79</v>
      </c>
      <c r="P689" s="40" t="s">
        <v>4975</v>
      </c>
      <c r="Q689" s="40" t="s">
        <v>4976</v>
      </c>
      <c r="R689" s="40" t="s">
        <v>494</v>
      </c>
      <c r="S689" s="40" t="s">
        <v>495</v>
      </c>
      <c r="T689" s="40" t="s">
        <v>218</v>
      </c>
      <c r="U689" s="40" t="s">
        <v>4977</v>
      </c>
      <c r="V689" s="40"/>
      <c r="W689" s="40" t="s">
        <v>4978</v>
      </c>
    </row>
    <row r="690" spans="1:23" ht="12" x14ac:dyDescent="0.2">
      <c r="A690" s="39" t="s">
        <v>30</v>
      </c>
      <c r="B690" s="40" t="s">
        <v>394</v>
      </c>
      <c r="C690" s="40" t="s">
        <v>4979</v>
      </c>
      <c r="D690" s="41">
        <v>46002</v>
      </c>
      <c r="E690" s="41">
        <v>46032</v>
      </c>
      <c r="F690" s="41">
        <v>46091</v>
      </c>
      <c r="G690" s="42">
        <v>59</v>
      </c>
      <c r="H690" s="40" t="s">
        <v>543</v>
      </c>
      <c r="I690" s="39" t="s">
        <v>320</v>
      </c>
      <c r="J690" s="43">
        <v>3829.96</v>
      </c>
      <c r="K690" s="43">
        <v>0</v>
      </c>
      <c r="L690" s="43">
        <v>3829.96</v>
      </c>
      <c r="M690" s="44">
        <v>0</v>
      </c>
      <c r="N690" s="44">
        <f t="shared" si="10"/>
        <v>3829.96</v>
      </c>
      <c r="O690" s="44">
        <v>3829.96</v>
      </c>
      <c r="P690" s="40" t="s">
        <v>4980</v>
      </c>
      <c r="Q690" s="40" t="s">
        <v>4981</v>
      </c>
      <c r="R690" s="40" t="s">
        <v>494</v>
      </c>
      <c r="S690" s="40" t="s">
        <v>502</v>
      </c>
      <c r="T690" s="40" t="s">
        <v>219</v>
      </c>
      <c r="U690" s="40" t="s">
        <v>3168</v>
      </c>
      <c r="V690" s="40"/>
      <c r="W690" s="40" t="s">
        <v>4982</v>
      </c>
    </row>
    <row r="691" spans="1:23" ht="12" x14ac:dyDescent="0.2">
      <c r="A691" s="39" t="s">
        <v>4983</v>
      </c>
      <c r="B691" s="40" t="s">
        <v>4984</v>
      </c>
      <c r="C691" s="40" t="s">
        <v>4985</v>
      </c>
      <c r="D691" s="41">
        <v>46002</v>
      </c>
      <c r="E691" s="41">
        <v>46032</v>
      </c>
      <c r="F691" s="41">
        <v>46091</v>
      </c>
      <c r="G691" s="42">
        <v>59</v>
      </c>
      <c r="H691" s="40" t="s">
        <v>543</v>
      </c>
      <c r="I691" s="39" t="s">
        <v>320</v>
      </c>
      <c r="J691" s="43">
        <v>7206.55</v>
      </c>
      <c r="K691" s="43">
        <v>0</v>
      </c>
      <c r="L691" s="43">
        <v>7206.55</v>
      </c>
      <c r="M691" s="44">
        <v>0</v>
      </c>
      <c r="N691" s="44">
        <f t="shared" si="10"/>
        <v>7206.55</v>
      </c>
      <c r="O691" s="44">
        <v>7206.55</v>
      </c>
      <c r="P691" s="40" t="s">
        <v>4986</v>
      </c>
      <c r="Q691" s="40" t="s">
        <v>4987</v>
      </c>
      <c r="R691" s="40" t="s">
        <v>494</v>
      </c>
      <c r="S691" s="40" t="s">
        <v>502</v>
      </c>
      <c r="T691" s="40" t="s">
        <v>218</v>
      </c>
      <c r="U691" s="40" t="s">
        <v>4988</v>
      </c>
      <c r="V691" s="40"/>
      <c r="W691" s="40" t="s">
        <v>4989</v>
      </c>
    </row>
    <row r="692" spans="1:23" ht="12" x14ac:dyDescent="0.2">
      <c r="A692" s="39" t="s">
        <v>36</v>
      </c>
      <c r="B692" s="40" t="s">
        <v>352</v>
      </c>
      <c r="C692" s="40" t="s">
        <v>4990</v>
      </c>
      <c r="D692" s="41">
        <v>46002</v>
      </c>
      <c r="E692" s="41">
        <v>46032</v>
      </c>
      <c r="F692" s="41">
        <v>46091</v>
      </c>
      <c r="G692" s="42">
        <v>59</v>
      </c>
      <c r="H692" s="40" t="s">
        <v>543</v>
      </c>
      <c r="I692" s="39" t="s">
        <v>320</v>
      </c>
      <c r="J692" s="43">
        <v>-14473.48</v>
      </c>
      <c r="K692" s="43">
        <v>0</v>
      </c>
      <c r="L692" s="43">
        <v>-14473.48</v>
      </c>
      <c r="M692" s="44">
        <v>0</v>
      </c>
      <c r="N692" s="44">
        <f t="shared" si="10"/>
        <v>-14473.48</v>
      </c>
      <c r="O692" s="44">
        <v>-14473.48</v>
      </c>
      <c r="P692" s="40" t="s">
        <v>4991</v>
      </c>
      <c r="Q692" s="40" t="s">
        <v>4992</v>
      </c>
      <c r="R692" s="40" t="s">
        <v>494</v>
      </c>
      <c r="S692" s="40" t="s">
        <v>502</v>
      </c>
      <c r="T692" s="40" t="s">
        <v>180</v>
      </c>
      <c r="U692" s="40" t="s">
        <v>4993</v>
      </c>
      <c r="V692" s="40"/>
      <c r="W692" s="40" t="s">
        <v>4994</v>
      </c>
    </row>
    <row r="693" spans="1:23" ht="12" x14ac:dyDescent="0.2">
      <c r="A693" s="39" t="s">
        <v>36</v>
      </c>
      <c r="B693" s="40" t="s">
        <v>352</v>
      </c>
      <c r="C693" s="40" t="s">
        <v>4995</v>
      </c>
      <c r="D693" s="41">
        <v>46002</v>
      </c>
      <c r="E693" s="41">
        <v>46032</v>
      </c>
      <c r="F693" s="41">
        <v>46091</v>
      </c>
      <c r="G693" s="42">
        <v>59</v>
      </c>
      <c r="H693" s="40" t="s">
        <v>543</v>
      </c>
      <c r="I693" s="39" t="s">
        <v>320</v>
      </c>
      <c r="J693" s="43">
        <v>29117.72</v>
      </c>
      <c r="K693" s="43">
        <v>0</v>
      </c>
      <c r="L693" s="43">
        <v>29117.72</v>
      </c>
      <c r="M693" s="44">
        <v>0</v>
      </c>
      <c r="N693" s="44">
        <f t="shared" si="10"/>
        <v>29117.72</v>
      </c>
      <c r="O693" s="44">
        <v>29117.72</v>
      </c>
      <c r="P693" s="40" t="s">
        <v>4996</v>
      </c>
      <c r="Q693" s="40" t="s">
        <v>4997</v>
      </c>
      <c r="R693" s="40" t="s">
        <v>494</v>
      </c>
      <c r="S693" s="40" t="s">
        <v>502</v>
      </c>
      <c r="T693" s="40" t="s">
        <v>534</v>
      </c>
      <c r="U693" s="40" t="s">
        <v>4998</v>
      </c>
      <c r="V693" s="40"/>
      <c r="W693" s="40" t="s">
        <v>4999</v>
      </c>
    </row>
    <row r="694" spans="1:23" ht="12" x14ac:dyDescent="0.2">
      <c r="A694" s="39" t="s">
        <v>1778</v>
      </c>
      <c r="B694" s="40" t="s">
        <v>1779</v>
      </c>
      <c r="C694" s="40" t="s">
        <v>5000</v>
      </c>
      <c r="D694" s="41">
        <v>46002</v>
      </c>
      <c r="E694" s="41">
        <v>46032</v>
      </c>
      <c r="F694" s="41">
        <v>46091</v>
      </c>
      <c r="G694" s="42">
        <v>59</v>
      </c>
      <c r="H694" s="40" t="s">
        <v>543</v>
      </c>
      <c r="I694" s="39" t="s">
        <v>320</v>
      </c>
      <c r="J694" s="43">
        <v>100192.42</v>
      </c>
      <c r="K694" s="43">
        <v>0</v>
      </c>
      <c r="L694" s="43">
        <v>100192.42</v>
      </c>
      <c r="M694" s="44">
        <v>0</v>
      </c>
      <c r="N694" s="44">
        <f t="shared" si="10"/>
        <v>100192.42</v>
      </c>
      <c r="O694" s="44">
        <v>100192.42</v>
      </c>
      <c r="P694" s="40" t="s">
        <v>1780</v>
      </c>
      <c r="Q694" s="40" t="s">
        <v>1781</v>
      </c>
      <c r="R694" s="40" t="s">
        <v>494</v>
      </c>
      <c r="S694" s="40" t="s">
        <v>502</v>
      </c>
      <c r="T694" s="40" t="s">
        <v>330</v>
      </c>
      <c r="U694" s="40" t="s">
        <v>621</v>
      </c>
      <c r="V694" s="40"/>
      <c r="W694" s="40" t="s">
        <v>1782</v>
      </c>
    </row>
    <row r="695" spans="1:23" ht="12" x14ac:dyDescent="0.2">
      <c r="A695" s="39" t="s">
        <v>1070</v>
      </c>
      <c r="B695" s="40" t="s">
        <v>364</v>
      </c>
      <c r="C695" s="40" t="s">
        <v>5001</v>
      </c>
      <c r="D695" s="41">
        <v>46002</v>
      </c>
      <c r="E695" s="41">
        <v>46032</v>
      </c>
      <c r="F695" s="41">
        <v>46091</v>
      </c>
      <c r="G695" s="42">
        <v>59</v>
      </c>
      <c r="H695" s="40" t="s">
        <v>543</v>
      </c>
      <c r="I695" s="39" t="s">
        <v>320</v>
      </c>
      <c r="J695" s="43">
        <v>197281.3</v>
      </c>
      <c r="K695" s="43">
        <v>0</v>
      </c>
      <c r="L695" s="43">
        <v>197281.3</v>
      </c>
      <c r="M695" s="44">
        <v>0</v>
      </c>
      <c r="N695" s="44">
        <f t="shared" si="10"/>
        <v>197281.3</v>
      </c>
      <c r="O695" s="44">
        <v>197281.3</v>
      </c>
      <c r="P695" s="40" t="s">
        <v>1538</v>
      </c>
      <c r="Q695" s="40" t="s">
        <v>1659</v>
      </c>
      <c r="R695" s="40" t="s">
        <v>494</v>
      </c>
      <c r="S695" s="40" t="s">
        <v>502</v>
      </c>
      <c r="T695" s="40" t="s">
        <v>284</v>
      </c>
      <c r="U695" s="40" t="s">
        <v>793</v>
      </c>
      <c r="V695" s="40" t="s">
        <v>5002</v>
      </c>
      <c r="W695" s="40" t="s">
        <v>1660</v>
      </c>
    </row>
    <row r="696" spans="1:23" ht="12" x14ac:dyDescent="0.2">
      <c r="A696" s="39" t="s">
        <v>2659</v>
      </c>
      <c r="B696" s="40" t="s">
        <v>2660</v>
      </c>
      <c r="C696" s="40" t="s">
        <v>5003</v>
      </c>
      <c r="D696" s="41">
        <v>46003</v>
      </c>
      <c r="E696" s="41">
        <v>46033</v>
      </c>
      <c r="F696" s="41">
        <v>46091</v>
      </c>
      <c r="G696" s="42">
        <v>58</v>
      </c>
      <c r="H696" s="40" t="s">
        <v>543</v>
      </c>
      <c r="I696" s="39" t="s">
        <v>320</v>
      </c>
      <c r="J696" s="43">
        <v>1359.26</v>
      </c>
      <c r="K696" s="43">
        <v>0</v>
      </c>
      <c r="L696" s="43">
        <v>1359.26</v>
      </c>
      <c r="M696" s="44">
        <v>0</v>
      </c>
      <c r="N696" s="44">
        <f t="shared" si="10"/>
        <v>1359.26</v>
      </c>
      <c r="O696" s="44">
        <v>1359.26</v>
      </c>
      <c r="P696" s="40" t="s">
        <v>3416</v>
      </c>
      <c r="Q696" s="40" t="s">
        <v>3417</v>
      </c>
      <c r="R696" s="40" t="s">
        <v>494</v>
      </c>
      <c r="S696" s="40" t="s">
        <v>502</v>
      </c>
      <c r="T696" s="40" t="s">
        <v>535</v>
      </c>
      <c r="U696" s="40" t="s">
        <v>939</v>
      </c>
      <c r="V696" s="40" t="s">
        <v>5004</v>
      </c>
      <c r="W696" s="40" t="s">
        <v>3418</v>
      </c>
    </row>
    <row r="697" spans="1:23" ht="12" x14ac:dyDescent="0.2">
      <c r="A697" s="39" t="s">
        <v>5005</v>
      </c>
      <c r="B697" s="40" t="s">
        <v>5006</v>
      </c>
      <c r="C697" s="40" t="s">
        <v>5007</v>
      </c>
      <c r="D697" s="41">
        <v>46003</v>
      </c>
      <c r="E697" s="41">
        <v>46033</v>
      </c>
      <c r="F697" s="41">
        <v>46091</v>
      </c>
      <c r="G697" s="42">
        <v>58</v>
      </c>
      <c r="H697" s="40" t="s">
        <v>543</v>
      </c>
      <c r="I697" s="39" t="s">
        <v>320</v>
      </c>
      <c r="J697" s="43">
        <v>128263.5</v>
      </c>
      <c r="K697" s="43">
        <v>0</v>
      </c>
      <c r="L697" s="43">
        <v>128263.5</v>
      </c>
      <c r="M697" s="44">
        <v>0</v>
      </c>
      <c r="N697" s="44">
        <f t="shared" si="10"/>
        <v>128263.5</v>
      </c>
      <c r="O697" s="44">
        <v>128263.5</v>
      </c>
      <c r="P697" s="40" t="s">
        <v>5008</v>
      </c>
      <c r="Q697" s="40" t="s">
        <v>5009</v>
      </c>
      <c r="R697" s="40" t="s">
        <v>494</v>
      </c>
      <c r="S697" s="40" t="s">
        <v>502</v>
      </c>
      <c r="T697" s="40" t="s">
        <v>330</v>
      </c>
      <c r="U697" s="40" t="s">
        <v>4889</v>
      </c>
      <c r="V697" s="40"/>
      <c r="W697" s="40"/>
    </row>
    <row r="698" spans="1:23" ht="12" x14ac:dyDescent="0.2">
      <c r="A698" s="39" t="s">
        <v>2178</v>
      </c>
      <c r="B698" s="40" t="s">
        <v>2179</v>
      </c>
      <c r="C698" s="40" t="s">
        <v>5010</v>
      </c>
      <c r="D698" s="41">
        <v>46003</v>
      </c>
      <c r="E698" s="41">
        <v>46033</v>
      </c>
      <c r="F698" s="41">
        <v>46091</v>
      </c>
      <c r="G698" s="42">
        <v>58</v>
      </c>
      <c r="H698" s="40" t="s">
        <v>543</v>
      </c>
      <c r="I698" s="39" t="s">
        <v>320</v>
      </c>
      <c r="J698" s="43">
        <v>121320.19</v>
      </c>
      <c r="K698" s="43">
        <v>0</v>
      </c>
      <c r="L698" s="43">
        <v>19797.2</v>
      </c>
      <c r="M698" s="44">
        <v>0</v>
      </c>
      <c r="N698" s="44">
        <f t="shared" si="10"/>
        <v>19797.2</v>
      </c>
      <c r="O698" s="44">
        <v>19797.2</v>
      </c>
      <c r="P698" s="40" t="s">
        <v>5011</v>
      </c>
      <c r="Q698" s="40" t="s">
        <v>5012</v>
      </c>
      <c r="R698" s="40" t="s">
        <v>494</v>
      </c>
      <c r="S698" s="40" t="s">
        <v>502</v>
      </c>
      <c r="T698" s="40" t="s">
        <v>218</v>
      </c>
      <c r="U698" s="40" t="s">
        <v>5013</v>
      </c>
      <c r="V698" s="40"/>
      <c r="W698" s="40" t="s">
        <v>5014</v>
      </c>
    </row>
    <row r="699" spans="1:23" ht="12" x14ac:dyDescent="0.2">
      <c r="A699" s="39" t="s">
        <v>2178</v>
      </c>
      <c r="B699" s="40" t="s">
        <v>2179</v>
      </c>
      <c r="C699" s="40" t="s">
        <v>5015</v>
      </c>
      <c r="D699" s="41">
        <v>46003</v>
      </c>
      <c r="E699" s="41">
        <v>46033</v>
      </c>
      <c r="F699" s="41">
        <v>46091</v>
      </c>
      <c r="G699" s="42">
        <v>58</v>
      </c>
      <c r="H699" s="40" t="s">
        <v>543</v>
      </c>
      <c r="I699" s="39" t="s">
        <v>320</v>
      </c>
      <c r="J699" s="43">
        <v>147789.53</v>
      </c>
      <c r="K699" s="43">
        <v>0</v>
      </c>
      <c r="L699" s="43">
        <v>26775.89</v>
      </c>
      <c r="M699" s="44">
        <v>0</v>
      </c>
      <c r="N699" s="44">
        <f t="shared" si="10"/>
        <v>26775.89</v>
      </c>
      <c r="O699" s="44">
        <v>26775.89</v>
      </c>
      <c r="P699" s="40" t="s">
        <v>5016</v>
      </c>
      <c r="Q699" s="40" t="s">
        <v>5017</v>
      </c>
      <c r="R699" s="40" t="s">
        <v>494</v>
      </c>
      <c r="S699" s="40" t="s">
        <v>502</v>
      </c>
      <c r="T699" s="40" t="s">
        <v>496</v>
      </c>
      <c r="U699" s="40" t="s">
        <v>5018</v>
      </c>
      <c r="V699" s="40"/>
      <c r="W699" s="40" t="s">
        <v>5019</v>
      </c>
    </row>
    <row r="700" spans="1:23" ht="12" x14ac:dyDescent="0.2">
      <c r="A700" s="39" t="s">
        <v>928</v>
      </c>
      <c r="B700" s="40" t="s">
        <v>5020</v>
      </c>
      <c r="C700" s="40" t="s">
        <v>5021</v>
      </c>
      <c r="D700" s="41">
        <v>46006</v>
      </c>
      <c r="E700" s="41">
        <v>46036</v>
      </c>
      <c r="F700" s="41">
        <v>46091</v>
      </c>
      <c r="G700" s="42">
        <v>55</v>
      </c>
      <c r="H700" s="40" t="s">
        <v>543</v>
      </c>
      <c r="I700" s="39" t="s">
        <v>320</v>
      </c>
      <c r="J700" s="43">
        <v>354821.37</v>
      </c>
      <c r="K700" s="43">
        <v>0</v>
      </c>
      <c r="L700" s="43">
        <v>354821.37</v>
      </c>
      <c r="M700" s="44">
        <v>0</v>
      </c>
      <c r="N700" s="44">
        <f t="shared" si="10"/>
        <v>354821.37</v>
      </c>
      <c r="O700" s="44">
        <v>354821.37</v>
      </c>
      <c r="P700" s="40" t="s">
        <v>929</v>
      </c>
      <c r="Q700" s="40" t="s">
        <v>5022</v>
      </c>
      <c r="R700" s="40" t="s">
        <v>494</v>
      </c>
      <c r="S700" s="40" t="s">
        <v>502</v>
      </c>
      <c r="T700" s="40" t="s">
        <v>284</v>
      </c>
      <c r="U700" s="40" t="s">
        <v>756</v>
      </c>
      <c r="V700" s="40"/>
      <c r="W700" s="40" t="s">
        <v>321</v>
      </c>
    </row>
    <row r="701" spans="1:23" ht="12" x14ac:dyDescent="0.2">
      <c r="A701" s="39" t="s">
        <v>2178</v>
      </c>
      <c r="B701" s="40" t="s">
        <v>2179</v>
      </c>
      <c r="C701" s="40" t="s">
        <v>5023</v>
      </c>
      <c r="D701" s="41">
        <v>46006</v>
      </c>
      <c r="E701" s="41">
        <v>46036</v>
      </c>
      <c r="F701" s="41">
        <v>46091</v>
      </c>
      <c r="G701" s="42">
        <v>55</v>
      </c>
      <c r="H701" s="40" t="s">
        <v>543</v>
      </c>
      <c r="I701" s="39" t="s">
        <v>320</v>
      </c>
      <c r="J701" s="43">
        <v>-101.25</v>
      </c>
      <c r="K701" s="43">
        <v>0</v>
      </c>
      <c r="L701" s="43">
        <v>-101.25</v>
      </c>
      <c r="M701" s="44">
        <v>0</v>
      </c>
      <c r="N701" s="44">
        <f t="shared" si="10"/>
        <v>-101.25</v>
      </c>
      <c r="O701" s="44">
        <v>-101.25</v>
      </c>
      <c r="P701" s="40" t="s">
        <v>5024</v>
      </c>
      <c r="Q701" s="40" t="s">
        <v>5025</v>
      </c>
      <c r="R701" s="40" t="s">
        <v>494</v>
      </c>
      <c r="S701" s="40" t="s">
        <v>502</v>
      </c>
      <c r="T701" s="40" t="s">
        <v>163</v>
      </c>
      <c r="U701" s="40" t="s">
        <v>2319</v>
      </c>
      <c r="V701" s="40"/>
      <c r="W701" s="40" t="s">
        <v>5026</v>
      </c>
    </row>
    <row r="702" spans="1:23" ht="12" x14ac:dyDescent="0.2">
      <c r="A702" s="39" t="s">
        <v>1511</v>
      </c>
      <c r="B702" s="40" t="s">
        <v>5027</v>
      </c>
      <c r="C702" s="40" t="s">
        <v>5028</v>
      </c>
      <c r="D702" s="41">
        <v>46006</v>
      </c>
      <c r="E702" s="41">
        <v>46036</v>
      </c>
      <c r="F702" s="41">
        <v>46091</v>
      </c>
      <c r="G702" s="42">
        <v>55</v>
      </c>
      <c r="H702" s="40" t="s">
        <v>543</v>
      </c>
      <c r="I702" s="39" t="s">
        <v>320</v>
      </c>
      <c r="J702" s="43">
        <v>22104</v>
      </c>
      <c r="K702" s="43">
        <v>3684</v>
      </c>
      <c r="L702" s="43">
        <v>3684</v>
      </c>
      <c r="M702" s="44">
        <v>614</v>
      </c>
      <c r="N702" s="44">
        <f t="shared" si="10"/>
        <v>0</v>
      </c>
      <c r="O702" s="44">
        <v>3684</v>
      </c>
      <c r="P702" s="40" t="s">
        <v>5029</v>
      </c>
      <c r="Q702" s="40" t="s">
        <v>5030</v>
      </c>
      <c r="R702" s="40" t="s">
        <v>494</v>
      </c>
      <c r="S702" s="40" t="s">
        <v>502</v>
      </c>
      <c r="T702" s="40" t="s">
        <v>327</v>
      </c>
      <c r="U702" s="40" t="s">
        <v>537</v>
      </c>
      <c r="V702" s="40" t="s">
        <v>3006</v>
      </c>
      <c r="W702" s="40" t="s">
        <v>5031</v>
      </c>
    </row>
    <row r="703" spans="1:23" ht="12" x14ac:dyDescent="0.2">
      <c r="A703" s="39" t="s">
        <v>2178</v>
      </c>
      <c r="B703" s="40" t="s">
        <v>2179</v>
      </c>
      <c r="C703" s="40" t="s">
        <v>5032</v>
      </c>
      <c r="D703" s="41">
        <v>46006</v>
      </c>
      <c r="E703" s="41">
        <v>46036</v>
      </c>
      <c r="F703" s="41">
        <v>46091</v>
      </c>
      <c r="G703" s="42">
        <v>55</v>
      </c>
      <c r="H703" s="40" t="s">
        <v>543</v>
      </c>
      <c r="I703" s="39" t="s">
        <v>320</v>
      </c>
      <c r="J703" s="43">
        <v>-441482.85</v>
      </c>
      <c r="K703" s="43">
        <v>0</v>
      </c>
      <c r="L703" s="43">
        <v>-54895.96</v>
      </c>
      <c r="M703" s="44">
        <v>0</v>
      </c>
      <c r="N703" s="44">
        <f t="shared" si="10"/>
        <v>-54895.96</v>
      </c>
      <c r="O703" s="44">
        <v>-54895.96</v>
      </c>
      <c r="P703" s="40" t="s">
        <v>5033</v>
      </c>
      <c r="Q703" s="40" t="s">
        <v>5034</v>
      </c>
      <c r="R703" s="40" t="s">
        <v>494</v>
      </c>
      <c r="S703" s="40" t="s">
        <v>502</v>
      </c>
      <c r="T703" s="40" t="s">
        <v>278</v>
      </c>
      <c r="U703" s="40" t="s">
        <v>564</v>
      </c>
      <c r="V703" s="40"/>
      <c r="W703" s="40" t="s">
        <v>5035</v>
      </c>
    </row>
    <row r="704" spans="1:23" ht="12" x14ac:dyDescent="0.2">
      <c r="A704" s="39" t="s">
        <v>31</v>
      </c>
      <c r="B704" s="40" t="s">
        <v>353</v>
      </c>
      <c r="C704" s="40" t="s">
        <v>5036</v>
      </c>
      <c r="D704" s="41">
        <v>46006</v>
      </c>
      <c r="E704" s="41">
        <v>46036</v>
      </c>
      <c r="F704" s="41">
        <v>46091</v>
      </c>
      <c r="G704" s="42">
        <v>55</v>
      </c>
      <c r="H704" s="40" t="s">
        <v>543</v>
      </c>
      <c r="I704" s="39" t="s">
        <v>320</v>
      </c>
      <c r="J704" s="43">
        <v>28047.02</v>
      </c>
      <c r="K704" s="43">
        <v>0</v>
      </c>
      <c r="L704" s="43">
        <v>28047.02</v>
      </c>
      <c r="M704" s="44">
        <v>0</v>
      </c>
      <c r="N704" s="44">
        <f t="shared" si="10"/>
        <v>28047.02</v>
      </c>
      <c r="O704" s="44">
        <v>28047.02</v>
      </c>
      <c r="P704" s="40" t="s">
        <v>5037</v>
      </c>
      <c r="Q704" s="40" t="s">
        <v>5038</v>
      </c>
      <c r="R704" s="40" t="s">
        <v>494</v>
      </c>
      <c r="S704" s="40" t="s">
        <v>502</v>
      </c>
      <c r="T704" s="40" t="s">
        <v>185</v>
      </c>
      <c r="U704" s="40" t="s">
        <v>5039</v>
      </c>
      <c r="V704" s="40"/>
      <c r="W704" s="40" t="s">
        <v>5040</v>
      </c>
    </row>
    <row r="705" spans="1:23" ht="12" x14ac:dyDescent="0.2">
      <c r="A705" s="39" t="s">
        <v>337</v>
      </c>
      <c r="B705" s="40" t="s">
        <v>336</v>
      </c>
      <c r="C705" s="40" t="s">
        <v>5041</v>
      </c>
      <c r="D705" s="41">
        <v>46006</v>
      </c>
      <c r="E705" s="41">
        <v>46036</v>
      </c>
      <c r="F705" s="41">
        <v>46091</v>
      </c>
      <c r="G705" s="42">
        <v>55</v>
      </c>
      <c r="H705" s="40" t="s">
        <v>543</v>
      </c>
      <c r="I705" s="39" t="s">
        <v>320</v>
      </c>
      <c r="J705" s="43">
        <v>1166987.1599999999</v>
      </c>
      <c r="K705" s="43">
        <v>0</v>
      </c>
      <c r="L705" s="43">
        <v>1166987.1599999999</v>
      </c>
      <c r="M705" s="44">
        <v>0</v>
      </c>
      <c r="N705" s="44">
        <f t="shared" si="10"/>
        <v>1166987.1599999999</v>
      </c>
      <c r="O705" s="44">
        <v>1166987.1599999999</v>
      </c>
      <c r="P705" s="40" t="s">
        <v>4261</v>
      </c>
      <c r="Q705" s="40" t="s">
        <v>4262</v>
      </c>
      <c r="R705" s="40" t="s">
        <v>494</v>
      </c>
      <c r="S705" s="40" t="s">
        <v>502</v>
      </c>
      <c r="T705" s="40" t="s">
        <v>289</v>
      </c>
      <c r="U705" s="40" t="s">
        <v>554</v>
      </c>
      <c r="V705" s="40" t="s">
        <v>4263</v>
      </c>
      <c r="W705" s="40" t="s">
        <v>4264</v>
      </c>
    </row>
    <row r="706" spans="1:23" ht="12" x14ac:dyDescent="0.2">
      <c r="A706" s="39" t="s">
        <v>1032</v>
      </c>
      <c r="B706" s="40" t="s">
        <v>1033</v>
      </c>
      <c r="C706" s="40" t="s">
        <v>5042</v>
      </c>
      <c r="D706" s="41">
        <v>46006</v>
      </c>
      <c r="E706" s="41">
        <v>46036</v>
      </c>
      <c r="F706" s="41">
        <v>46091</v>
      </c>
      <c r="G706" s="42">
        <v>55</v>
      </c>
      <c r="H706" s="40" t="s">
        <v>543</v>
      </c>
      <c r="I706" s="39" t="s">
        <v>320</v>
      </c>
      <c r="J706" s="43">
        <v>246412</v>
      </c>
      <c r="K706" s="43">
        <v>0</v>
      </c>
      <c r="L706" s="43">
        <v>246412</v>
      </c>
      <c r="M706" s="44">
        <v>0</v>
      </c>
      <c r="N706" s="44">
        <f t="shared" si="10"/>
        <v>246412</v>
      </c>
      <c r="O706" s="44">
        <v>246412</v>
      </c>
      <c r="P706" s="40" t="s">
        <v>2871</v>
      </c>
      <c r="Q706" s="40" t="s">
        <v>2990</v>
      </c>
      <c r="R706" s="40" t="s">
        <v>494</v>
      </c>
      <c r="S706" s="40" t="s">
        <v>502</v>
      </c>
      <c r="T706" s="40" t="s">
        <v>164</v>
      </c>
      <c r="U706" s="40" t="s">
        <v>2991</v>
      </c>
      <c r="V706" s="40" t="s">
        <v>3988</v>
      </c>
      <c r="W706" s="40" t="s">
        <v>3989</v>
      </c>
    </row>
    <row r="707" spans="1:23" ht="12" x14ac:dyDescent="0.2">
      <c r="A707" s="39" t="s">
        <v>17</v>
      </c>
      <c r="B707" s="40" t="s">
        <v>342</v>
      </c>
      <c r="C707" s="40" t="s">
        <v>5043</v>
      </c>
      <c r="D707" s="41">
        <v>46007</v>
      </c>
      <c r="E707" s="41">
        <v>46037</v>
      </c>
      <c r="F707" s="41">
        <v>46091</v>
      </c>
      <c r="G707" s="42">
        <v>54</v>
      </c>
      <c r="H707" s="40" t="s">
        <v>543</v>
      </c>
      <c r="I707" s="39" t="s">
        <v>320</v>
      </c>
      <c r="J707" s="43">
        <v>70373</v>
      </c>
      <c r="K707" s="43">
        <v>0</v>
      </c>
      <c r="L707" s="43">
        <v>70373</v>
      </c>
      <c r="M707" s="44">
        <v>0</v>
      </c>
      <c r="N707" s="44">
        <f t="shared" ref="N707:N770" si="11">IF(I707="GBP",L707-K707,O707-K707)</f>
        <v>70373</v>
      </c>
      <c r="O707" s="44">
        <v>70373</v>
      </c>
      <c r="P707" s="40" t="s">
        <v>5044</v>
      </c>
      <c r="Q707" s="40" t="s">
        <v>5045</v>
      </c>
      <c r="R707" s="40" t="s">
        <v>494</v>
      </c>
      <c r="S707" s="40" t="s">
        <v>502</v>
      </c>
      <c r="T707" s="40" t="s">
        <v>514</v>
      </c>
      <c r="U707" s="40" t="s">
        <v>616</v>
      </c>
      <c r="V707" s="40" t="s">
        <v>3006</v>
      </c>
      <c r="W707" s="40" t="s">
        <v>5046</v>
      </c>
    </row>
    <row r="708" spans="1:23" ht="12" x14ac:dyDescent="0.2">
      <c r="A708" s="39" t="s">
        <v>444</v>
      </c>
      <c r="B708" s="40" t="s">
        <v>443</v>
      </c>
      <c r="C708" s="40" t="s">
        <v>5047</v>
      </c>
      <c r="D708" s="41">
        <v>46007</v>
      </c>
      <c r="E708" s="41">
        <v>46037</v>
      </c>
      <c r="F708" s="41">
        <v>46091</v>
      </c>
      <c r="G708" s="42">
        <v>54</v>
      </c>
      <c r="H708" s="40" t="s">
        <v>543</v>
      </c>
      <c r="I708" s="39" t="s">
        <v>320</v>
      </c>
      <c r="J708" s="43">
        <v>66903.66</v>
      </c>
      <c r="K708" s="43">
        <v>0</v>
      </c>
      <c r="L708" s="43">
        <v>66903.66</v>
      </c>
      <c r="M708" s="44">
        <v>0</v>
      </c>
      <c r="N708" s="44">
        <f t="shared" si="11"/>
        <v>66903.66</v>
      </c>
      <c r="O708" s="44">
        <v>66903.66</v>
      </c>
      <c r="P708" s="40" t="s">
        <v>5048</v>
      </c>
      <c r="Q708" s="40" t="s">
        <v>5049</v>
      </c>
      <c r="R708" s="40" t="s">
        <v>494</v>
      </c>
      <c r="S708" s="40" t="s">
        <v>502</v>
      </c>
      <c r="T708" s="40" t="s">
        <v>224</v>
      </c>
      <c r="U708" s="40" t="s">
        <v>5050</v>
      </c>
      <c r="V708" s="40"/>
      <c r="W708" s="40" t="s">
        <v>5051</v>
      </c>
    </row>
    <row r="709" spans="1:23" ht="12" x14ac:dyDescent="0.2">
      <c r="A709" s="39" t="s">
        <v>337</v>
      </c>
      <c r="B709" s="40" t="s">
        <v>336</v>
      </c>
      <c r="C709" s="40" t="s">
        <v>5052</v>
      </c>
      <c r="D709" s="41">
        <v>46007</v>
      </c>
      <c r="E709" s="41">
        <v>46037</v>
      </c>
      <c r="F709" s="41">
        <v>46091</v>
      </c>
      <c r="G709" s="42">
        <v>54</v>
      </c>
      <c r="H709" s="40" t="s">
        <v>543</v>
      </c>
      <c r="I709" s="39" t="s">
        <v>320</v>
      </c>
      <c r="J709" s="43">
        <v>14576.23</v>
      </c>
      <c r="K709" s="43">
        <v>0</v>
      </c>
      <c r="L709" s="43">
        <v>14576.23</v>
      </c>
      <c r="M709" s="44">
        <v>0</v>
      </c>
      <c r="N709" s="44">
        <f t="shared" si="11"/>
        <v>14576.23</v>
      </c>
      <c r="O709" s="44">
        <v>14576.23</v>
      </c>
      <c r="P709" s="40" t="s">
        <v>5053</v>
      </c>
      <c r="Q709" s="40" t="s">
        <v>5054</v>
      </c>
      <c r="R709" s="40" t="s">
        <v>494</v>
      </c>
      <c r="S709" s="40" t="s">
        <v>502</v>
      </c>
      <c r="T709" s="40" t="s">
        <v>512</v>
      </c>
      <c r="U709" s="40" t="s">
        <v>5055</v>
      </c>
      <c r="V709" s="40"/>
      <c r="W709" s="40" t="s">
        <v>5056</v>
      </c>
    </row>
    <row r="710" spans="1:23" ht="12" x14ac:dyDescent="0.2">
      <c r="A710" s="39" t="s">
        <v>48</v>
      </c>
      <c r="B710" s="40" t="s">
        <v>389</v>
      </c>
      <c r="C710" s="40" t="s">
        <v>5057</v>
      </c>
      <c r="D710" s="41">
        <v>46007</v>
      </c>
      <c r="E710" s="41">
        <v>46037</v>
      </c>
      <c r="F710" s="41">
        <v>46091</v>
      </c>
      <c r="G710" s="42">
        <v>54</v>
      </c>
      <c r="H710" s="40" t="s">
        <v>543</v>
      </c>
      <c r="I710" s="39" t="s">
        <v>320</v>
      </c>
      <c r="J710" s="43">
        <v>28844.34</v>
      </c>
      <c r="K710" s="43">
        <v>0</v>
      </c>
      <c r="L710" s="43">
        <v>28844.34</v>
      </c>
      <c r="M710" s="44">
        <v>0</v>
      </c>
      <c r="N710" s="44">
        <f t="shared" si="11"/>
        <v>28844.34</v>
      </c>
      <c r="O710" s="44">
        <v>28844.34</v>
      </c>
      <c r="P710" s="40" t="s">
        <v>5058</v>
      </c>
      <c r="Q710" s="40" t="s">
        <v>5059</v>
      </c>
      <c r="R710" s="40" t="s">
        <v>494</v>
      </c>
      <c r="S710" s="40" t="s">
        <v>502</v>
      </c>
      <c r="T710" s="40" t="s">
        <v>222</v>
      </c>
      <c r="U710" s="40" t="s">
        <v>5060</v>
      </c>
      <c r="V710" s="40"/>
      <c r="W710" s="40" t="s">
        <v>5061</v>
      </c>
    </row>
    <row r="711" spans="1:23" ht="12" x14ac:dyDescent="0.2">
      <c r="A711" s="39" t="s">
        <v>444</v>
      </c>
      <c r="B711" s="40" t="s">
        <v>443</v>
      </c>
      <c r="C711" s="40" t="s">
        <v>5062</v>
      </c>
      <c r="D711" s="41">
        <v>46007</v>
      </c>
      <c r="E711" s="41">
        <v>46037</v>
      </c>
      <c r="F711" s="41">
        <v>46091</v>
      </c>
      <c r="G711" s="42">
        <v>54</v>
      </c>
      <c r="H711" s="40" t="s">
        <v>543</v>
      </c>
      <c r="I711" s="39" t="s">
        <v>320</v>
      </c>
      <c r="J711" s="43">
        <v>2483.6</v>
      </c>
      <c r="K711" s="43">
        <v>0</v>
      </c>
      <c r="L711" s="43">
        <v>2483.6</v>
      </c>
      <c r="M711" s="44">
        <v>0</v>
      </c>
      <c r="N711" s="44">
        <f t="shared" si="11"/>
        <v>2483.6</v>
      </c>
      <c r="O711" s="44">
        <v>2483.6</v>
      </c>
      <c r="P711" s="40" t="s">
        <v>5063</v>
      </c>
      <c r="Q711" s="40" t="s">
        <v>5064</v>
      </c>
      <c r="R711" s="40" t="s">
        <v>494</v>
      </c>
      <c r="S711" s="40" t="s">
        <v>502</v>
      </c>
      <c r="T711" s="40" t="s">
        <v>224</v>
      </c>
      <c r="U711" s="40" t="s">
        <v>5065</v>
      </c>
      <c r="V711" s="40"/>
      <c r="W711" s="40" t="s">
        <v>5066</v>
      </c>
    </row>
    <row r="712" spans="1:23" ht="12" x14ac:dyDescent="0.2">
      <c r="A712" s="39" t="s">
        <v>444</v>
      </c>
      <c r="B712" s="40" t="s">
        <v>443</v>
      </c>
      <c r="C712" s="40" t="s">
        <v>5067</v>
      </c>
      <c r="D712" s="41">
        <v>46007</v>
      </c>
      <c r="E712" s="41">
        <v>46037</v>
      </c>
      <c r="F712" s="41">
        <v>46091</v>
      </c>
      <c r="G712" s="42">
        <v>54</v>
      </c>
      <c r="H712" s="40" t="s">
        <v>543</v>
      </c>
      <c r="I712" s="39" t="s">
        <v>320</v>
      </c>
      <c r="J712" s="43">
        <v>-11397.22</v>
      </c>
      <c r="K712" s="43">
        <v>0</v>
      </c>
      <c r="L712" s="43">
        <v>-11397.22</v>
      </c>
      <c r="M712" s="44">
        <v>0</v>
      </c>
      <c r="N712" s="44">
        <f t="shared" si="11"/>
        <v>-11397.22</v>
      </c>
      <c r="O712" s="44">
        <v>-11397.22</v>
      </c>
      <c r="P712" s="40" t="s">
        <v>5068</v>
      </c>
      <c r="Q712" s="40" t="s">
        <v>5069</v>
      </c>
      <c r="R712" s="40" t="s">
        <v>494</v>
      </c>
      <c r="S712" s="40" t="s">
        <v>502</v>
      </c>
      <c r="T712" s="40" t="s">
        <v>224</v>
      </c>
      <c r="U712" s="40" t="s">
        <v>5065</v>
      </c>
      <c r="V712" s="40"/>
      <c r="W712" s="40" t="s">
        <v>5070</v>
      </c>
    </row>
    <row r="713" spans="1:23" ht="12" x14ac:dyDescent="0.2">
      <c r="A713" s="39" t="s">
        <v>3527</v>
      </c>
      <c r="B713" s="40" t="s">
        <v>3528</v>
      </c>
      <c r="C713" s="40" t="s">
        <v>5071</v>
      </c>
      <c r="D713" s="41">
        <v>46007</v>
      </c>
      <c r="E713" s="41">
        <v>46037</v>
      </c>
      <c r="F713" s="41">
        <v>46091</v>
      </c>
      <c r="G713" s="42">
        <v>54</v>
      </c>
      <c r="H713" s="40" t="s">
        <v>543</v>
      </c>
      <c r="I713" s="39" t="s">
        <v>320</v>
      </c>
      <c r="J713" s="43">
        <v>23093.13</v>
      </c>
      <c r="K713" s="43">
        <v>0</v>
      </c>
      <c r="L713" s="43">
        <v>23093.13</v>
      </c>
      <c r="M713" s="44">
        <v>0</v>
      </c>
      <c r="N713" s="44">
        <f t="shared" si="11"/>
        <v>23093.13</v>
      </c>
      <c r="O713" s="44">
        <v>23093.13</v>
      </c>
      <c r="P713" s="40" t="s">
        <v>3529</v>
      </c>
      <c r="Q713" s="40" t="s">
        <v>3530</v>
      </c>
      <c r="R713" s="40" t="s">
        <v>494</v>
      </c>
      <c r="S713" s="40" t="s">
        <v>502</v>
      </c>
      <c r="T713" s="40" t="s">
        <v>282</v>
      </c>
      <c r="U713" s="40" t="s">
        <v>3531</v>
      </c>
      <c r="V713" s="40"/>
      <c r="W713" s="40" t="s">
        <v>3532</v>
      </c>
    </row>
    <row r="714" spans="1:23" ht="12" x14ac:dyDescent="0.2">
      <c r="A714" s="39" t="s">
        <v>2178</v>
      </c>
      <c r="B714" s="40" t="s">
        <v>2179</v>
      </c>
      <c r="C714" s="40" t="s">
        <v>5072</v>
      </c>
      <c r="D714" s="41">
        <v>46007</v>
      </c>
      <c r="E714" s="41">
        <v>46037</v>
      </c>
      <c r="F714" s="41">
        <v>46091</v>
      </c>
      <c r="G714" s="42">
        <v>54</v>
      </c>
      <c r="H714" s="40" t="s">
        <v>543</v>
      </c>
      <c r="I714" s="39" t="s">
        <v>320</v>
      </c>
      <c r="J714" s="43">
        <v>1267.1199999999999</v>
      </c>
      <c r="K714" s="43">
        <v>0</v>
      </c>
      <c r="L714" s="43">
        <v>1267.1199999999999</v>
      </c>
      <c r="M714" s="44">
        <v>0</v>
      </c>
      <c r="N714" s="44">
        <f t="shared" si="11"/>
        <v>1267.1199999999999</v>
      </c>
      <c r="O714" s="44">
        <v>1267.1199999999999</v>
      </c>
      <c r="P714" s="40" t="s">
        <v>4562</v>
      </c>
      <c r="Q714" s="40" t="s">
        <v>4563</v>
      </c>
      <c r="R714" s="40" t="s">
        <v>494</v>
      </c>
      <c r="S714" s="40" t="s">
        <v>502</v>
      </c>
      <c r="T714" s="40" t="s">
        <v>218</v>
      </c>
      <c r="U714" s="40" t="s">
        <v>982</v>
      </c>
      <c r="V714" s="40"/>
      <c r="W714" s="40" t="s">
        <v>4564</v>
      </c>
    </row>
    <row r="715" spans="1:23" ht="12" x14ac:dyDescent="0.2">
      <c r="A715" s="39" t="s">
        <v>415</v>
      </c>
      <c r="B715" s="40" t="s">
        <v>2934</v>
      </c>
      <c r="C715" s="40" t="s">
        <v>5073</v>
      </c>
      <c r="D715" s="41">
        <v>46007</v>
      </c>
      <c r="E715" s="41">
        <v>46037</v>
      </c>
      <c r="F715" s="41">
        <v>46091</v>
      </c>
      <c r="G715" s="42">
        <v>54</v>
      </c>
      <c r="H715" s="40" t="s">
        <v>543</v>
      </c>
      <c r="I715" s="39" t="s">
        <v>320</v>
      </c>
      <c r="J715" s="43">
        <v>1749</v>
      </c>
      <c r="K715" s="43">
        <v>0</v>
      </c>
      <c r="L715" s="43">
        <v>1749</v>
      </c>
      <c r="M715" s="44">
        <v>0</v>
      </c>
      <c r="N715" s="44">
        <f t="shared" si="11"/>
        <v>1749</v>
      </c>
      <c r="O715" s="44">
        <v>1749</v>
      </c>
      <c r="P715" s="40" t="s">
        <v>3445</v>
      </c>
      <c r="Q715" s="40" t="s">
        <v>3446</v>
      </c>
      <c r="R715" s="40" t="s">
        <v>494</v>
      </c>
      <c r="S715" s="40" t="s">
        <v>502</v>
      </c>
      <c r="T715" s="40" t="s">
        <v>282</v>
      </c>
      <c r="U715" s="40" t="s">
        <v>3447</v>
      </c>
      <c r="V715" s="40"/>
      <c r="W715" s="40" t="s">
        <v>3448</v>
      </c>
    </row>
    <row r="716" spans="1:23" ht="12" x14ac:dyDescent="0.2">
      <c r="A716" s="39" t="s">
        <v>37</v>
      </c>
      <c r="B716" s="40" t="s">
        <v>452</v>
      </c>
      <c r="C716" s="40" t="s">
        <v>5074</v>
      </c>
      <c r="D716" s="41">
        <v>46007</v>
      </c>
      <c r="E716" s="41">
        <v>46037</v>
      </c>
      <c r="F716" s="41">
        <v>46091</v>
      </c>
      <c r="G716" s="42">
        <v>54</v>
      </c>
      <c r="H716" s="40" t="s">
        <v>543</v>
      </c>
      <c r="I716" s="39" t="s">
        <v>320</v>
      </c>
      <c r="J716" s="43">
        <v>3594.3</v>
      </c>
      <c r="K716" s="43">
        <v>0</v>
      </c>
      <c r="L716" s="43">
        <v>3594.3</v>
      </c>
      <c r="M716" s="44">
        <v>0</v>
      </c>
      <c r="N716" s="44">
        <f t="shared" si="11"/>
        <v>3594.3</v>
      </c>
      <c r="O716" s="44">
        <v>3594.3</v>
      </c>
      <c r="P716" s="40" t="s">
        <v>3423</v>
      </c>
      <c r="Q716" s="40" t="s">
        <v>3424</v>
      </c>
      <c r="R716" s="40" t="s">
        <v>494</v>
      </c>
      <c r="S716" s="40" t="s">
        <v>502</v>
      </c>
      <c r="T716" s="40" t="s">
        <v>512</v>
      </c>
      <c r="U716" s="40" t="s">
        <v>857</v>
      </c>
      <c r="V716" s="40"/>
      <c r="W716" s="40" t="s">
        <v>3425</v>
      </c>
    </row>
    <row r="717" spans="1:23" ht="12" x14ac:dyDescent="0.2">
      <c r="A717" s="39" t="s">
        <v>357</v>
      </c>
      <c r="B717" s="40" t="s">
        <v>356</v>
      </c>
      <c r="C717" s="40" t="s">
        <v>5075</v>
      </c>
      <c r="D717" s="41">
        <v>46007</v>
      </c>
      <c r="E717" s="41">
        <v>46037</v>
      </c>
      <c r="F717" s="41">
        <v>46091</v>
      </c>
      <c r="G717" s="42">
        <v>54</v>
      </c>
      <c r="H717" s="40" t="s">
        <v>543</v>
      </c>
      <c r="I717" s="39" t="s">
        <v>341</v>
      </c>
      <c r="J717" s="43">
        <v>7501.91</v>
      </c>
      <c r="K717" s="43">
        <v>0</v>
      </c>
      <c r="L717" s="43">
        <v>7501.91</v>
      </c>
      <c r="M717" s="44">
        <v>0</v>
      </c>
      <c r="N717" s="44">
        <f t="shared" si="11"/>
        <v>6346.84</v>
      </c>
      <c r="O717" s="44">
        <v>6346.84</v>
      </c>
      <c r="P717" s="40" t="s">
        <v>1874</v>
      </c>
      <c r="Q717" s="40" t="s">
        <v>1875</v>
      </c>
      <c r="R717" s="40" t="s">
        <v>494</v>
      </c>
      <c r="S717" s="40" t="s">
        <v>502</v>
      </c>
      <c r="T717" s="40" t="s">
        <v>769</v>
      </c>
      <c r="U717" s="40" t="s">
        <v>1876</v>
      </c>
      <c r="V717" s="40"/>
      <c r="W717" s="40" t="s">
        <v>1877</v>
      </c>
    </row>
    <row r="718" spans="1:23" ht="12" x14ac:dyDescent="0.2">
      <c r="A718" s="39" t="s">
        <v>437</v>
      </c>
      <c r="B718" s="40" t="s">
        <v>916</v>
      </c>
      <c r="C718" s="40" t="s">
        <v>5076</v>
      </c>
      <c r="D718" s="41">
        <v>46007</v>
      </c>
      <c r="E718" s="41">
        <v>46037</v>
      </c>
      <c r="F718" s="41">
        <v>46091</v>
      </c>
      <c r="G718" s="42">
        <v>54</v>
      </c>
      <c r="H718" s="40" t="s">
        <v>543</v>
      </c>
      <c r="I718" s="39" t="s">
        <v>320</v>
      </c>
      <c r="J718" s="43">
        <v>30684.43</v>
      </c>
      <c r="K718" s="43">
        <v>0</v>
      </c>
      <c r="L718" s="43">
        <v>30684.43</v>
      </c>
      <c r="M718" s="44">
        <v>0</v>
      </c>
      <c r="N718" s="44">
        <f t="shared" si="11"/>
        <v>30684.43</v>
      </c>
      <c r="O718" s="44">
        <v>30684.43</v>
      </c>
      <c r="P718" s="40" t="s">
        <v>3607</v>
      </c>
      <c r="Q718" s="40" t="s">
        <v>3608</v>
      </c>
      <c r="R718" s="40" t="s">
        <v>494</v>
      </c>
      <c r="S718" s="40" t="s">
        <v>502</v>
      </c>
      <c r="T718" s="40" t="s">
        <v>282</v>
      </c>
      <c r="U718" s="40" t="s">
        <v>2939</v>
      </c>
      <c r="V718" s="40"/>
      <c r="W718" s="40" t="s">
        <v>3609</v>
      </c>
    </row>
    <row r="719" spans="1:23" ht="12" x14ac:dyDescent="0.2">
      <c r="A719" s="39" t="s">
        <v>48</v>
      </c>
      <c r="B719" s="40" t="s">
        <v>389</v>
      </c>
      <c r="C719" s="40" t="s">
        <v>5077</v>
      </c>
      <c r="D719" s="41">
        <v>46007</v>
      </c>
      <c r="E719" s="41">
        <v>46037</v>
      </c>
      <c r="F719" s="41">
        <v>46091</v>
      </c>
      <c r="G719" s="42">
        <v>54</v>
      </c>
      <c r="H719" s="40" t="s">
        <v>543</v>
      </c>
      <c r="I719" s="39" t="s">
        <v>320</v>
      </c>
      <c r="J719" s="43">
        <v>58746.85</v>
      </c>
      <c r="K719" s="43">
        <v>0</v>
      </c>
      <c r="L719" s="43">
        <v>58746.85</v>
      </c>
      <c r="M719" s="44">
        <v>0</v>
      </c>
      <c r="N719" s="44">
        <f t="shared" si="11"/>
        <v>58746.85</v>
      </c>
      <c r="O719" s="44">
        <v>58746.85</v>
      </c>
      <c r="P719" s="40" t="s">
        <v>5078</v>
      </c>
      <c r="Q719" s="40" t="s">
        <v>5079</v>
      </c>
      <c r="R719" s="40" t="s">
        <v>494</v>
      </c>
      <c r="S719" s="40" t="s">
        <v>502</v>
      </c>
      <c r="T719" s="40" t="s">
        <v>301</v>
      </c>
      <c r="U719" s="40" t="s">
        <v>3127</v>
      </c>
      <c r="V719" s="40"/>
      <c r="W719" s="40" t="s">
        <v>5080</v>
      </c>
    </row>
    <row r="720" spans="1:23" ht="12" x14ac:dyDescent="0.2">
      <c r="A720" s="39" t="s">
        <v>454</v>
      </c>
      <c r="B720" s="40" t="s">
        <v>1202</v>
      </c>
      <c r="C720" s="40" t="s">
        <v>5081</v>
      </c>
      <c r="D720" s="41">
        <v>46008</v>
      </c>
      <c r="E720" s="41">
        <v>46038</v>
      </c>
      <c r="F720" s="41">
        <v>46091</v>
      </c>
      <c r="G720" s="42">
        <v>53</v>
      </c>
      <c r="H720" s="40" t="s">
        <v>543</v>
      </c>
      <c r="I720" s="39" t="s">
        <v>320</v>
      </c>
      <c r="J720" s="43">
        <v>17841.310000000001</v>
      </c>
      <c r="K720" s="43">
        <v>0</v>
      </c>
      <c r="L720" s="43">
        <v>17841.310000000001</v>
      </c>
      <c r="M720" s="44">
        <v>0</v>
      </c>
      <c r="N720" s="44">
        <f t="shared" si="11"/>
        <v>17841.310000000001</v>
      </c>
      <c r="O720" s="44">
        <v>17841.310000000001</v>
      </c>
      <c r="P720" s="40" t="s">
        <v>2152</v>
      </c>
      <c r="Q720" s="40" t="s">
        <v>2153</v>
      </c>
      <c r="R720" s="40" t="s">
        <v>494</v>
      </c>
      <c r="S720" s="40" t="s">
        <v>495</v>
      </c>
      <c r="T720" s="40" t="s">
        <v>280</v>
      </c>
      <c r="U720" s="40" t="s">
        <v>759</v>
      </c>
      <c r="V720" s="40" t="s">
        <v>3875</v>
      </c>
      <c r="W720" s="40" t="s">
        <v>2154</v>
      </c>
    </row>
    <row r="721" spans="1:23" ht="12" x14ac:dyDescent="0.2">
      <c r="A721" s="39" t="s">
        <v>357</v>
      </c>
      <c r="B721" s="40" t="s">
        <v>356</v>
      </c>
      <c r="C721" s="40" t="s">
        <v>5082</v>
      </c>
      <c r="D721" s="41">
        <v>46008</v>
      </c>
      <c r="E721" s="41">
        <v>46038</v>
      </c>
      <c r="F721" s="41">
        <v>46091</v>
      </c>
      <c r="G721" s="42">
        <v>53</v>
      </c>
      <c r="H721" s="40" t="s">
        <v>543</v>
      </c>
      <c r="I721" s="39" t="s">
        <v>341</v>
      </c>
      <c r="J721" s="43">
        <v>116827.19</v>
      </c>
      <c r="K721" s="43">
        <v>0</v>
      </c>
      <c r="L721" s="43">
        <v>32695.68</v>
      </c>
      <c r="M721" s="44">
        <v>0</v>
      </c>
      <c r="N721" s="44">
        <f t="shared" si="11"/>
        <v>27769.42</v>
      </c>
      <c r="O721" s="44">
        <v>27769.42</v>
      </c>
      <c r="P721" s="40" t="s">
        <v>5083</v>
      </c>
      <c r="Q721" s="40" t="s">
        <v>5084</v>
      </c>
      <c r="R721" s="40" t="s">
        <v>494</v>
      </c>
      <c r="S721" s="40" t="s">
        <v>502</v>
      </c>
      <c r="T721" s="40" t="s">
        <v>178</v>
      </c>
      <c r="U721" s="40" t="s">
        <v>5085</v>
      </c>
      <c r="V721" s="40"/>
      <c r="W721" s="40" t="s">
        <v>5086</v>
      </c>
    </row>
    <row r="722" spans="1:23" ht="12" x14ac:dyDescent="0.2">
      <c r="A722" s="39" t="s">
        <v>37</v>
      </c>
      <c r="B722" s="40" t="s">
        <v>452</v>
      </c>
      <c r="C722" s="40" t="s">
        <v>5087</v>
      </c>
      <c r="D722" s="41">
        <v>46008</v>
      </c>
      <c r="E722" s="41">
        <v>46038</v>
      </c>
      <c r="F722" s="41">
        <v>46091</v>
      </c>
      <c r="G722" s="42">
        <v>53</v>
      </c>
      <c r="H722" s="40" t="s">
        <v>543</v>
      </c>
      <c r="I722" s="39" t="s">
        <v>320</v>
      </c>
      <c r="J722" s="43">
        <v>137525.5</v>
      </c>
      <c r="K722" s="43">
        <v>0</v>
      </c>
      <c r="L722" s="43">
        <v>137525.5</v>
      </c>
      <c r="M722" s="44">
        <v>0</v>
      </c>
      <c r="N722" s="44">
        <f t="shared" si="11"/>
        <v>137525.5</v>
      </c>
      <c r="O722" s="44">
        <v>137525.5</v>
      </c>
      <c r="P722" s="40" t="s">
        <v>3279</v>
      </c>
      <c r="Q722" s="40" t="s">
        <v>3280</v>
      </c>
      <c r="R722" s="40" t="s">
        <v>494</v>
      </c>
      <c r="S722" s="40" t="s">
        <v>502</v>
      </c>
      <c r="T722" s="40" t="s">
        <v>284</v>
      </c>
      <c r="U722" s="40" t="s">
        <v>1505</v>
      </c>
      <c r="V722" s="40"/>
      <c r="W722" s="40" t="s">
        <v>3281</v>
      </c>
    </row>
    <row r="723" spans="1:23" ht="12" x14ac:dyDescent="0.2">
      <c r="A723" s="39" t="s">
        <v>357</v>
      </c>
      <c r="B723" s="40" t="s">
        <v>356</v>
      </c>
      <c r="C723" s="40" t="s">
        <v>5088</v>
      </c>
      <c r="D723" s="41">
        <v>46008</v>
      </c>
      <c r="E723" s="41">
        <v>46038</v>
      </c>
      <c r="F723" s="41">
        <v>46091</v>
      </c>
      <c r="G723" s="42">
        <v>53</v>
      </c>
      <c r="H723" s="40" t="s">
        <v>543</v>
      </c>
      <c r="I723" s="39" t="s">
        <v>341</v>
      </c>
      <c r="J723" s="43">
        <v>85688.22</v>
      </c>
      <c r="K723" s="43">
        <v>0</v>
      </c>
      <c r="L723" s="43">
        <v>85688.22</v>
      </c>
      <c r="M723" s="44">
        <v>0</v>
      </c>
      <c r="N723" s="44">
        <f t="shared" si="11"/>
        <v>72423.679999999993</v>
      </c>
      <c r="O723" s="44">
        <v>72423.679999999993</v>
      </c>
      <c r="P723" s="40" t="s">
        <v>5089</v>
      </c>
      <c r="Q723" s="40" t="s">
        <v>5090</v>
      </c>
      <c r="R723" s="40" t="s">
        <v>494</v>
      </c>
      <c r="S723" s="40" t="s">
        <v>502</v>
      </c>
      <c r="T723" s="40" t="s">
        <v>219</v>
      </c>
      <c r="U723" s="40" t="s">
        <v>2461</v>
      </c>
      <c r="V723" s="40"/>
      <c r="W723" s="40" t="s">
        <v>5091</v>
      </c>
    </row>
    <row r="724" spans="1:23" ht="12" x14ac:dyDescent="0.2">
      <c r="A724" s="39" t="s">
        <v>48</v>
      </c>
      <c r="B724" s="40" t="s">
        <v>389</v>
      </c>
      <c r="C724" s="40" t="s">
        <v>5092</v>
      </c>
      <c r="D724" s="41">
        <v>46008</v>
      </c>
      <c r="E724" s="41">
        <v>46038</v>
      </c>
      <c r="F724" s="41">
        <v>46091</v>
      </c>
      <c r="G724" s="42">
        <v>53</v>
      </c>
      <c r="H724" s="40" t="s">
        <v>543</v>
      </c>
      <c r="I724" s="39" t="s">
        <v>320</v>
      </c>
      <c r="J724" s="43">
        <v>71374.83</v>
      </c>
      <c r="K724" s="43">
        <v>0</v>
      </c>
      <c r="L724" s="43">
        <v>71296.97</v>
      </c>
      <c r="M724" s="44">
        <v>0</v>
      </c>
      <c r="N724" s="44">
        <f t="shared" si="11"/>
        <v>71296.97</v>
      </c>
      <c r="O724" s="44">
        <v>71296.97</v>
      </c>
      <c r="P724" s="40" t="s">
        <v>5093</v>
      </c>
      <c r="Q724" s="40" t="s">
        <v>5094</v>
      </c>
      <c r="R724" s="40" t="s">
        <v>494</v>
      </c>
      <c r="S724" s="40" t="s">
        <v>502</v>
      </c>
      <c r="T724" s="40" t="s">
        <v>497</v>
      </c>
      <c r="U724" s="40" t="s">
        <v>5095</v>
      </c>
      <c r="V724" s="40"/>
      <c r="W724" s="40" t="s">
        <v>5096</v>
      </c>
    </row>
    <row r="725" spans="1:23" ht="12" x14ac:dyDescent="0.2">
      <c r="A725" s="39" t="s">
        <v>337</v>
      </c>
      <c r="B725" s="40" t="s">
        <v>336</v>
      </c>
      <c r="C725" s="40" t="s">
        <v>5097</v>
      </c>
      <c r="D725" s="41">
        <v>46008</v>
      </c>
      <c r="E725" s="41">
        <v>46038</v>
      </c>
      <c r="F725" s="41">
        <v>46091</v>
      </c>
      <c r="G725" s="42">
        <v>53</v>
      </c>
      <c r="H725" s="40" t="s">
        <v>543</v>
      </c>
      <c r="I725" s="39" t="s">
        <v>320</v>
      </c>
      <c r="J725" s="43">
        <v>106046</v>
      </c>
      <c r="K725" s="43">
        <v>0</v>
      </c>
      <c r="L725" s="43">
        <v>106046</v>
      </c>
      <c r="M725" s="44">
        <v>0</v>
      </c>
      <c r="N725" s="44">
        <f t="shared" si="11"/>
        <v>106046</v>
      </c>
      <c r="O725" s="44">
        <v>106046</v>
      </c>
      <c r="P725" s="40" t="s">
        <v>1080</v>
      </c>
      <c r="Q725" s="40" t="s">
        <v>1081</v>
      </c>
      <c r="R725" s="40" t="s">
        <v>494</v>
      </c>
      <c r="S725" s="40" t="s">
        <v>502</v>
      </c>
      <c r="T725" s="40" t="s">
        <v>289</v>
      </c>
      <c r="U725" s="40" t="s">
        <v>691</v>
      </c>
      <c r="V725" s="40"/>
      <c r="W725" s="40" t="s">
        <v>1082</v>
      </c>
    </row>
    <row r="726" spans="1:23" ht="12" x14ac:dyDescent="0.2">
      <c r="A726" s="39" t="s">
        <v>17</v>
      </c>
      <c r="B726" s="40" t="s">
        <v>342</v>
      </c>
      <c r="C726" s="40" t="s">
        <v>5098</v>
      </c>
      <c r="D726" s="41">
        <v>46008</v>
      </c>
      <c r="E726" s="41">
        <v>46038</v>
      </c>
      <c r="F726" s="41">
        <v>46091</v>
      </c>
      <c r="G726" s="42">
        <v>53</v>
      </c>
      <c r="H726" s="40" t="s">
        <v>543</v>
      </c>
      <c r="I726" s="39" t="s">
        <v>323</v>
      </c>
      <c r="J726" s="43">
        <v>163968.92000000001</v>
      </c>
      <c r="K726" s="43">
        <v>0</v>
      </c>
      <c r="L726" s="43">
        <v>163968.92000000001</v>
      </c>
      <c r="M726" s="44">
        <v>0</v>
      </c>
      <c r="N726" s="44">
        <f t="shared" si="11"/>
        <v>117120.66</v>
      </c>
      <c r="O726" s="44">
        <v>117120.66</v>
      </c>
      <c r="P726" s="40" t="s">
        <v>1209</v>
      </c>
      <c r="Q726" s="40" t="s">
        <v>1210</v>
      </c>
      <c r="R726" s="40" t="s">
        <v>494</v>
      </c>
      <c r="S726" s="40" t="s">
        <v>495</v>
      </c>
      <c r="T726" s="40" t="s">
        <v>280</v>
      </c>
      <c r="U726" s="40" t="s">
        <v>824</v>
      </c>
      <c r="V726" s="40" t="s">
        <v>3006</v>
      </c>
      <c r="W726" s="40" t="s">
        <v>1211</v>
      </c>
    </row>
    <row r="727" spans="1:23" ht="12" x14ac:dyDescent="0.2">
      <c r="A727" s="39" t="s">
        <v>48</v>
      </c>
      <c r="B727" s="40" t="s">
        <v>389</v>
      </c>
      <c r="C727" s="40" t="s">
        <v>5099</v>
      </c>
      <c r="D727" s="41">
        <v>46008</v>
      </c>
      <c r="E727" s="41">
        <v>46038</v>
      </c>
      <c r="F727" s="41">
        <v>46091</v>
      </c>
      <c r="G727" s="42">
        <v>53</v>
      </c>
      <c r="H727" s="40" t="s">
        <v>543</v>
      </c>
      <c r="I727" s="39" t="s">
        <v>320</v>
      </c>
      <c r="J727" s="43">
        <v>76490.7</v>
      </c>
      <c r="K727" s="43">
        <v>0</v>
      </c>
      <c r="L727" s="43">
        <v>22390.560000000001</v>
      </c>
      <c r="M727" s="44">
        <v>0</v>
      </c>
      <c r="N727" s="44">
        <f t="shared" si="11"/>
        <v>22390.560000000001</v>
      </c>
      <c r="O727" s="44">
        <v>22390.560000000001</v>
      </c>
      <c r="P727" s="40" t="s">
        <v>5100</v>
      </c>
      <c r="Q727" s="40" t="s">
        <v>5101</v>
      </c>
      <c r="R727" s="40" t="s">
        <v>494</v>
      </c>
      <c r="S727" s="40" t="s">
        <v>502</v>
      </c>
      <c r="T727" s="40" t="s">
        <v>176</v>
      </c>
      <c r="U727" s="40" t="s">
        <v>5102</v>
      </c>
      <c r="V727" s="40"/>
      <c r="W727" s="40" t="s">
        <v>5103</v>
      </c>
    </row>
    <row r="728" spans="1:23" ht="12" x14ac:dyDescent="0.2">
      <c r="A728" s="39" t="s">
        <v>906</v>
      </c>
      <c r="B728" s="40" t="s">
        <v>907</v>
      </c>
      <c r="C728" s="40" t="s">
        <v>5104</v>
      </c>
      <c r="D728" s="41">
        <v>46009</v>
      </c>
      <c r="E728" s="41">
        <v>46039</v>
      </c>
      <c r="F728" s="41">
        <v>46091</v>
      </c>
      <c r="G728" s="42">
        <v>52</v>
      </c>
      <c r="H728" s="40" t="s">
        <v>543</v>
      </c>
      <c r="I728" s="39" t="s">
        <v>320</v>
      </c>
      <c r="J728" s="43">
        <v>16133.8</v>
      </c>
      <c r="K728" s="43">
        <v>0</v>
      </c>
      <c r="L728" s="43">
        <v>16133.8</v>
      </c>
      <c r="M728" s="44">
        <v>0</v>
      </c>
      <c r="N728" s="44">
        <f t="shared" si="11"/>
        <v>16133.8</v>
      </c>
      <c r="O728" s="44">
        <v>16133.8</v>
      </c>
      <c r="P728" s="40" t="s">
        <v>1343</v>
      </c>
      <c r="Q728" s="40" t="s">
        <v>1344</v>
      </c>
      <c r="R728" s="40" t="s">
        <v>494</v>
      </c>
      <c r="S728" s="40" t="s">
        <v>502</v>
      </c>
      <c r="T728" s="40" t="s">
        <v>888</v>
      </c>
      <c r="U728" s="40" t="s">
        <v>1160</v>
      </c>
      <c r="V728" s="40" t="s">
        <v>4394</v>
      </c>
      <c r="W728" s="40" t="s">
        <v>1345</v>
      </c>
    </row>
    <row r="729" spans="1:23" ht="12" x14ac:dyDescent="0.2">
      <c r="A729" s="39" t="s">
        <v>357</v>
      </c>
      <c r="B729" s="40" t="s">
        <v>356</v>
      </c>
      <c r="C729" s="40" t="s">
        <v>5105</v>
      </c>
      <c r="D729" s="41">
        <v>46009</v>
      </c>
      <c r="E729" s="41">
        <v>46039</v>
      </c>
      <c r="F729" s="41">
        <v>46091</v>
      </c>
      <c r="G729" s="42">
        <v>52</v>
      </c>
      <c r="H729" s="40" t="s">
        <v>543</v>
      </c>
      <c r="I729" s="39" t="s">
        <v>341</v>
      </c>
      <c r="J729" s="43">
        <v>4854.43</v>
      </c>
      <c r="K729" s="43">
        <v>0</v>
      </c>
      <c r="L729" s="43">
        <v>4854.43</v>
      </c>
      <c r="M729" s="44">
        <v>0</v>
      </c>
      <c r="N729" s="44">
        <f t="shared" si="11"/>
        <v>4125</v>
      </c>
      <c r="O729" s="44">
        <v>4125</v>
      </c>
      <c r="P729" s="40" t="s">
        <v>5106</v>
      </c>
      <c r="Q729" s="40" t="s">
        <v>5107</v>
      </c>
      <c r="R729" s="40" t="s">
        <v>494</v>
      </c>
      <c r="S729" s="40" t="s">
        <v>502</v>
      </c>
      <c r="T729" s="40" t="s">
        <v>769</v>
      </c>
      <c r="U729" s="40" t="s">
        <v>5108</v>
      </c>
      <c r="V729" s="40"/>
      <c r="W729" s="40" t="s">
        <v>5109</v>
      </c>
    </row>
    <row r="730" spans="1:23" ht="12" x14ac:dyDescent="0.2">
      <c r="A730" s="39" t="s">
        <v>742</v>
      </c>
      <c r="B730" s="40" t="s">
        <v>743</v>
      </c>
      <c r="C730" s="40" t="s">
        <v>5110</v>
      </c>
      <c r="D730" s="41">
        <v>46009</v>
      </c>
      <c r="E730" s="41">
        <v>46039</v>
      </c>
      <c r="F730" s="41">
        <v>46091</v>
      </c>
      <c r="G730" s="42">
        <v>52</v>
      </c>
      <c r="H730" s="40" t="s">
        <v>543</v>
      </c>
      <c r="I730" s="39" t="s">
        <v>323</v>
      </c>
      <c r="J730" s="43">
        <v>1817210.08</v>
      </c>
      <c r="K730" s="43">
        <v>0</v>
      </c>
      <c r="L730" s="43">
        <v>1817210.08</v>
      </c>
      <c r="M730" s="44">
        <v>0</v>
      </c>
      <c r="N730" s="44">
        <f t="shared" si="11"/>
        <v>1354247.15</v>
      </c>
      <c r="O730" s="44">
        <v>1354247.15</v>
      </c>
      <c r="P730" s="40" t="s">
        <v>744</v>
      </c>
      <c r="Q730" s="40" t="s">
        <v>745</v>
      </c>
      <c r="R730" s="40" t="s">
        <v>494</v>
      </c>
      <c r="S730" s="40" t="s">
        <v>502</v>
      </c>
      <c r="T730" s="40" t="s">
        <v>773</v>
      </c>
      <c r="U730" s="40" t="s">
        <v>576</v>
      </c>
      <c r="V730" s="40" t="s">
        <v>5111</v>
      </c>
      <c r="W730" s="40" t="s">
        <v>322</v>
      </c>
    </row>
    <row r="731" spans="1:23" ht="12" x14ac:dyDescent="0.2">
      <c r="A731" s="39" t="s">
        <v>2178</v>
      </c>
      <c r="B731" s="40" t="s">
        <v>2179</v>
      </c>
      <c r="C731" s="40" t="s">
        <v>5112</v>
      </c>
      <c r="D731" s="41">
        <v>46009</v>
      </c>
      <c r="E731" s="41">
        <v>46039</v>
      </c>
      <c r="F731" s="41">
        <v>46091</v>
      </c>
      <c r="G731" s="42">
        <v>52</v>
      </c>
      <c r="H731" s="40" t="s">
        <v>543</v>
      </c>
      <c r="I731" s="39" t="s">
        <v>320</v>
      </c>
      <c r="J731" s="43">
        <v>-25416.44</v>
      </c>
      <c r="K731" s="43">
        <v>0</v>
      </c>
      <c r="L731" s="43">
        <v>-25416.44</v>
      </c>
      <c r="M731" s="44">
        <v>0</v>
      </c>
      <c r="N731" s="44">
        <f t="shared" si="11"/>
        <v>-25416.44</v>
      </c>
      <c r="O731" s="44">
        <v>-25416.44</v>
      </c>
      <c r="P731" s="40" t="s">
        <v>5113</v>
      </c>
      <c r="Q731" s="40" t="s">
        <v>5114</v>
      </c>
      <c r="R731" s="40" t="s">
        <v>494</v>
      </c>
      <c r="S731" s="40" t="s">
        <v>502</v>
      </c>
      <c r="T731" s="40" t="s">
        <v>185</v>
      </c>
      <c r="U731" s="40" t="s">
        <v>1103</v>
      </c>
      <c r="V731" s="40"/>
      <c r="W731" s="40" t="s">
        <v>5115</v>
      </c>
    </row>
    <row r="732" spans="1:23" ht="12" x14ac:dyDescent="0.2">
      <c r="A732" s="39" t="s">
        <v>357</v>
      </c>
      <c r="B732" s="40" t="s">
        <v>356</v>
      </c>
      <c r="C732" s="40" t="s">
        <v>5116</v>
      </c>
      <c r="D732" s="41">
        <v>46009</v>
      </c>
      <c r="E732" s="41">
        <v>46039</v>
      </c>
      <c r="F732" s="41">
        <v>46091</v>
      </c>
      <c r="G732" s="42">
        <v>52</v>
      </c>
      <c r="H732" s="40" t="s">
        <v>543</v>
      </c>
      <c r="I732" s="39" t="s">
        <v>341</v>
      </c>
      <c r="J732" s="43">
        <v>233798.62</v>
      </c>
      <c r="K732" s="43">
        <v>0</v>
      </c>
      <c r="L732" s="43">
        <v>171655.1</v>
      </c>
      <c r="M732" s="44">
        <v>0</v>
      </c>
      <c r="N732" s="44">
        <f t="shared" si="11"/>
        <v>145862.20000000001</v>
      </c>
      <c r="O732" s="44">
        <v>145862.20000000001</v>
      </c>
      <c r="P732" s="40" t="s">
        <v>5106</v>
      </c>
      <c r="Q732" s="40" t="s">
        <v>5107</v>
      </c>
      <c r="R732" s="40" t="s">
        <v>494</v>
      </c>
      <c r="S732" s="40" t="s">
        <v>502</v>
      </c>
      <c r="T732" s="40" t="s">
        <v>769</v>
      </c>
      <c r="U732" s="40" t="s">
        <v>5108</v>
      </c>
      <c r="V732" s="40"/>
      <c r="W732" s="40" t="s">
        <v>5109</v>
      </c>
    </row>
    <row r="733" spans="1:23" ht="12" x14ac:dyDescent="0.2">
      <c r="A733" s="39" t="s">
        <v>2178</v>
      </c>
      <c r="B733" s="40" t="s">
        <v>2179</v>
      </c>
      <c r="C733" s="40" t="s">
        <v>5117</v>
      </c>
      <c r="D733" s="41">
        <v>46009</v>
      </c>
      <c r="E733" s="41">
        <v>46039</v>
      </c>
      <c r="F733" s="41">
        <v>46091</v>
      </c>
      <c r="G733" s="42">
        <v>52</v>
      </c>
      <c r="H733" s="40" t="s">
        <v>543</v>
      </c>
      <c r="I733" s="39" t="s">
        <v>320</v>
      </c>
      <c r="J733" s="43">
        <v>-167.18</v>
      </c>
      <c r="K733" s="43">
        <v>0</v>
      </c>
      <c r="L733" s="43">
        <v>-167.18</v>
      </c>
      <c r="M733" s="44">
        <v>0</v>
      </c>
      <c r="N733" s="44">
        <f t="shared" si="11"/>
        <v>-167.18</v>
      </c>
      <c r="O733" s="44">
        <v>-167.18</v>
      </c>
      <c r="P733" s="40" t="s">
        <v>2313</v>
      </c>
      <c r="Q733" s="40" t="s">
        <v>2314</v>
      </c>
      <c r="R733" s="40" t="s">
        <v>494</v>
      </c>
      <c r="S733" s="40" t="s">
        <v>502</v>
      </c>
      <c r="T733" s="40" t="s">
        <v>185</v>
      </c>
      <c r="U733" s="40" t="s">
        <v>993</v>
      </c>
      <c r="V733" s="40"/>
      <c r="W733" s="40" t="s">
        <v>2315</v>
      </c>
    </row>
    <row r="734" spans="1:23" ht="12" x14ac:dyDescent="0.2">
      <c r="A734" s="39" t="s">
        <v>37</v>
      </c>
      <c r="B734" s="40" t="s">
        <v>452</v>
      </c>
      <c r="C734" s="40" t="s">
        <v>5118</v>
      </c>
      <c r="D734" s="41">
        <v>46009</v>
      </c>
      <c r="E734" s="41">
        <v>46039</v>
      </c>
      <c r="F734" s="41">
        <v>46091</v>
      </c>
      <c r="G734" s="42">
        <v>52</v>
      </c>
      <c r="H734" s="40" t="s">
        <v>543</v>
      </c>
      <c r="I734" s="39" t="s">
        <v>320</v>
      </c>
      <c r="J734" s="43">
        <v>4804.57</v>
      </c>
      <c r="K734" s="43">
        <v>0</v>
      </c>
      <c r="L734" s="43">
        <v>4804.57</v>
      </c>
      <c r="M734" s="44">
        <v>0</v>
      </c>
      <c r="N734" s="44">
        <f t="shared" si="11"/>
        <v>4804.57</v>
      </c>
      <c r="O734" s="44">
        <v>4804.57</v>
      </c>
      <c r="P734" s="40" t="s">
        <v>3682</v>
      </c>
      <c r="Q734" s="40" t="s">
        <v>3683</v>
      </c>
      <c r="R734" s="40" t="s">
        <v>494</v>
      </c>
      <c r="S734" s="40" t="s">
        <v>502</v>
      </c>
      <c r="T734" s="40" t="s">
        <v>888</v>
      </c>
      <c r="U734" s="40" t="s">
        <v>1160</v>
      </c>
      <c r="V734" s="40"/>
      <c r="W734" s="40" t="s">
        <v>3684</v>
      </c>
    </row>
    <row r="735" spans="1:23" ht="12" x14ac:dyDescent="0.2">
      <c r="A735" s="39" t="s">
        <v>5119</v>
      </c>
      <c r="B735" s="40" t="s">
        <v>5120</v>
      </c>
      <c r="C735" s="40" t="s">
        <v>5121</v>
      </c>
      <c r="D735" s="41">
        <v>46009</v>
      </c>
      <c r="E735" s="41">
        <v>46039</v>
      </c>
      <c r="F735" s="41">
        <v>46091</v>
      </c>
      <c r="G735" s="42">
        <v>52</v>
      </c>
      <c r="H735" s="40" t="s">
        <v>543</v>
      </c>
      <c r="I735" s="39" t="s">
        <v>320</v>
      </c>
      <c r="J735" s="43">
        <v>70000</v>
      </c>
      <c r="K735" s="43">
        <v>0</v>
      </c>
      <c r="L735" s="43">
        <v>70000</v>
      </c>
      <c r="M735" s="44">
        <v>0</v>
      </c>
      <c r="N735" s="44">
        <f t="shared" si="11"/>
        <v>70000</v>
      </c>
      <c r="O735" s="44">
        <v>70000</v>
      </c>
      <c r="P735" s="40" t="s">
        <v>5122</v>
      </c>
      <c r="Q735" s="40" t="s">
        <v>5123</v>
      </c>
      <c r="R735" s="40" t="s">
        <v>494</v>
      </c>
      <c r="S735" s="40" t="s">
        <v>502</v>
      </c>
      <c r="T735" s="40" t="s">
        <v>284</v>
      </c>
      <c r="U735" s="40" t="s">
        <v>1260</v>
      </c>
      <c r="V735" s="40"/>
      <c r="W735" s="40" t="s">
        <v>5124</v>
      </c>
    </row>
    <row r="736" spans="1:23" ht="12" x14ac:dyDescent="0.2">
      <c r="A736" s="39" t="s">
        <v>3387</v>
      </c>
      <c r="B736" s="40" t="s">
        <v>3388</v>
      </c>
      <c r="C736" s="40" t="s">
        <v>5125</v>
      </c>
      <c r="D736" s="41">
        <v>46009</v>
      </c>
      <c r="E736" s="41">
        <v>46039</v>
      </c>
      <c r="F736" s="41">
        <v>46091</v>
      </c>
      <c r="G736" s="42">
        <v>52</v>
      </c>
      <c r="H736" s="40" t="s">
        <v>543</v>
      </c>
      <c r="I736" s="39" t="s">
        <v>320</v>
      </c>
      <c r="J736" s="43">
        <v>94126.49</v>
      </c>
      <c r="K736" s="43">
        <v>0</v>
      </c>
      <c r="L736" s="43">
        <v>94126.49</v>
      </c>
      <c r="M736" s="44">
        <v>0</v>
      </c>
      <c r="N736" s="44">
        <f t="shared" si="11"/>
        <v>94126.49</v>
      </c>
      <c r="O736" s="44">
        <v>94126.49</v>
      </c>
      <c r="P736" s="40" t="s">
        <v>3390</v>
      </c>
      <c r="Q736" s="40" t="s">
        <v>3391</v>
      </c>
      <c r="R736" s="40" t="s">
        <v>494</v>
      </c>
      <c r="S736" s="40" t="s">
        <v>502</v>
      </c>
      <c r="T736" s="40" t="s">
        <v>225</v>
      </c>
      <c r="U736" s="40" t="s">
        <v>574</v>
      </c>
      <c r="V736" s="40" t="s">
        <v>4035</v>
      </c>
      <c r="W736" s="40"/>
    </row>
    <row r="737" spans="1:23" ht="12" x14ac:dyDescent="0.2">
      <c r="A737" s="39" t="s">
        <v>5126</v>
      </c>
      <c r="B737" s="40" t="s">
        <v>5127</v>
      </c>
      <c r="C737" s="40" t="s">
        <v>5128</v>
      </c>
      <c r="D737" s="41">
        <v>46010</v>
      </c>
      <c r="E737" s="41">
        <v>46040</v>
      </c>
      <c r="F737" s="41">
        <v>46091</v>
      </c>
      <c r="G737" s="42">
        <v>51</v>
      </c>
      <c r="H737" s="40" t="s">
        <v>543</v>
      </c>
      <c r="I737" s="39" t="s">
        <v>320</v>
      </c>
      <c r="J737" s="43">
        <v>12798</v>
      </c>
      <c r="K737" s="43">
        <v>0</v>
      </c>
      <c r="L737" s="43">
        <v>12798</v>
      </c>
      <c r="M737" s="44">
        <v>0</v>
      </c>
      <c r="N737" s="44">
        <f t="shared" si="11"/>
        <v>12798</v>
      </c>
      <c r="O737" s="44">
        <v>12798</v>
      </c>
      <c r="P737" s="40" t="s">
        <v>5129</v>
      </c>
      <c r="Q737" s="40" t="s">
        <v>5130</v>
      </c>
      <c r="R737" s="40" t="s">
        <v>494</v>
      </c>
      <c r="S737" s="40" t="s">
        <v>495</v>
      </c>
      <c r="T737" s="40" t="s">
        <v>191</v>
      </c>
      <c r="U737" s="40" t="s">
        <v>5131</v>
      </c>
      <c r="V737" s="40"/>
      <c r="W737" s="40" t="s">
        <v>5132</v>
      </c>
    </row>
    <row r="738" spans="1:23" ht="12" x14ac:dyDescent="0.2">
      <c r="A738" s="39" t="s">
        <v>1678</v>
      </c>
      <c r="B738" s="40" t="s">
        <v>1679</v>
      </c>
      <c r="C738" s="40" t="s">
        <v>5133</v>
      </c>
      <c r="D738" s="41">
        <v>46010</v>
      </c>
      <c r="E738" s="41">
        <v>46040</v>
      </c>
      <c r="F738" s="41">
        <v>46091</v>
      </c>
      <c r="G738" s="42">
        <v>51</v>
      </c>
      <c r="H738" s="40" t="s">
        <v>543</v>
      </c>
      <c r="I738" s="39" t="s">
        <v>320</v>
      </c>
      <c r="J738" s="43">
        <v>8526.83</v>
      </c>
      <c r="K738" s="43">
        <v>1421.15</v>
      </c>
      <c r="L738" s="43">
        <v>8526.83</v>
      </c>
      <c r="M738" s="44">
        <v>1421.15</v>
      </c>
      <c r="N738" s="44">
        <f t="shared" si="11"/>
        <v>7105.68</v>
      </c>
      <c r="O738" s="44">
        <v>8526.83</v>
      </c>
      <c r="P738" s="40" t="s">
        <v>1680</v>
      </c>
      <c r="Q738" s="40" t="s">
        <v>1681</v>
      </c>
      <c r="R738" s="40" t="s">
        <v>494</v>
      </c>
      <c r="S738" s="40" t="s">
        <v>502</v>
      </c>
      <c r="T738" s="40" t="s">
        <v>218</v>
      </c>
      <c r="U738" s="40" t="s">
        <v>1682</v>
      </c>
      <c r="V738" s="40"/>
      <c r="W738" s="40" t="s">
        <v>1683</v>
      </c>
    </row>
    <row r="739" spans="1:23" ht="12" x14ac:dyDescent="0.2">
      <c r="A739" s="39" t="s">
        <v>337</v>
      </c>
      <c r="B739" s="40" t="s">
        <v>336</v>
      </c>
      <c r="C739" s="40" t="s">
        <v>5134</v>
      </c>
      <c r="D739" s="41">
        <v>46010</v>
      </c>
      <c r="E739" s="41">
        <v>46040</v>
      </c>
      <c r="F739" s="41">
        <v>46091</v>
      </c>
      <c r="G739" s="42">
        <v>51</v>
      </c>
      <c r="H739" s="40" t="s">
        <v>543</v>
      </c>
      <c r="I739" s="39" t="s">
        <v>320</v>
      </c>
      <c r="J739" s="43">
        <v>189998.88</v>
      </c>
      <c r="K739" s="43">
        <v>0</v>
      </c>
      <c r="L739" s="43">
        <v>189998.88</v>
      </c>
      <c r="M739" s="44">
        <v>0</v>
      </c>
      <c r="N739" s="44">
        <f t="shared" si="11"/>
        <v>189998.88</v>
      </c>
      <c r="O739" s="44">
        <v>189998.88</v>
      </c>
      <c r="P739" s="40" t="s">
        <v>1814</v>
      </c>
      <c r="Q739" s="40" t="s">
        <v>1815</v>
      </c>
      <c r="R739" s="40" t="s">
        <v>494</v>
      </c>
      <c r="S739" s="40" t="s">
        <v>502</v>
      </c>
      <c r="T739" s="40" t="s">
        <v>284</v>
      </c>
      <c r="U739" s="40" t="s">
        <v>1816</v>
      </c>
      <c r="V739" s="40" t="s">
        <v>3860</v>
      </c>
      <c r="W739" s="40" t="s">
        <v>1817</v>
      </c>
    </row>
    <row r="740" spans="1:23" ht="12" x14ac:dyDescent="0.2">
      <c r="A740" s="39" t="s">
        <v>48</v>
      </c>
      <c r="B740" s="40" t="s">
        <v>389</v>
      </c>
      <c r="C740" s="40" t="s">
        <v>5135</v>
      </c>
      <c r="D740" s="41">
        <v>46010</v>
      </c>
      <c r="E740" s="41">
        <v>46040</v>
      </c>
      <c r="F740" s="41">
        <v>46091</v>
      </c>
      <c r="G740" s="42">
        <v>51</v>
      </c>
      <c r="H740" s="40" t="s">
        <v>543</v>
      </c>
      <c r="I740" s="39" t="s">
        <v>320</v>
      </c>
      <c r="J740" s="43">
        <v>17026.48</v>
      </c>
      <c r="K740" s="43">
        <v>0</v>
      </c>
      <c r="L740" s="43">
        <v>17026.48</v>
      </c>
      <c r="M740" s="44">
        <v>0</v>
      </c>
      <c r="N740" s="44">
        <f t="shared" si="11"/>
        <v>17026.48</v>
      </c>
      <c r="O740" s="44">
        <v>17026.48</v>
      </c>
      <c r="P740" s="40" t="s">
        <v>5136</v>
      </c>
      <c r="Q740" s="40" t="s">
        <v>5137</v>
      </c>
      <c r="R740" s="40" t="s">
        <v>494</v>
      </c>
      <c r="S740" s="40" t="s">
        <v>502</v>
      </c>
      <c r="T740" s="40" t="s">
        <v>176</v>
      </c>
      <c r="U740" s="40" t="s">
        <v>5102</v>
      </c>
      <c r="V740" s="40"/>
      <c r="W740" s="40" t="s">
        <v>5138</v>
      </c>
    </row>
    <row r="741" spans="1:23" ht="12" x14ac:dyDescent="0.2">
      <c r="A741" s="39" t="s">
        <v>1818</v>
      </c>
      <c r="B741" s="40" t="s">
        <v>1819</v>
      </c>
      <c r="C741" s="40" t="s">
        <v>5139</v>
      </c>
      <c r="D741" s="41">
        <v>46010</v>
      </c>
      <c r="E741" s="41">
        <v>46040</v>
      </c>
      <c r="F741" s="41">
        <v>46091</v>
      </c>
      <c r="G741" s="42">
        <v>51</v>
      </c>
      <c r="H741" s="40" t="s">
        <v>543</v>
      </c>
      <c r="I741" s="39" t="s">
        <v>320</v>
      </c>
      <c r="J741" s="43">
        <v>-121831.66</v>
      </c>
      <c r="K741" s="43">
        <v>0</v>
      </c>
      <c r="L741" s="43">
        <v>-121831.66</v>
      </c>
      <c r="M741" s="44">
        <v>0</v>
      </c>
      <c r="N741" s="44">
        <f t="shared" si="11"/>
        <v>-121831.66</v>
      </c>
      <c r="O741" s="44">
        <v>-121831.66</v>
      </c>
      <c r="P741" s="40" t="s">
        <v>5140</v>
      </c>
      <c r="Q741" s="40" t="s">
        <v>5141</v>
      </c>
      <c r="R741" s="40" t="s">
        <v>494</v>
      </c>
      <c r="S741" s="40" t="s">
        <v>495</v>
      </c>
      <c r="T741" s="40" t="s">
        <v>311</v>
      </c>
      <c r="U741" s="40" t="s">
        <v>5142</v>
      </c>
      <c r="V741" s="40"/>
      <c r="W741" s="40" t="s">
        <v>5143</v>
      </c>
    </row>
    <row r="742" spans="1:23" ht="12" x14ac:dyDescent="0.2">
      <c r="A742" s="39" t="s">
        <v>1070</v>
      </c>
      <c r="B742" s="40" t="s">
        <v>364</v>
      </c>
      <c r="C742" s="40" t="s">
        <v>5144</v>
      </c>
      <c r="D742" s="41">
        <v>46010</v>
      </c>
      <c r="E742" s="41">
        <v>46040</v>
      </c>
      <c r="F742" s="41">
        <v>46091</v>
      </c>
      <c r="G742" s="42">
        <v>51</v>
      </c>
      <c r="H742" s="40" t="s">
        <v>543</v>
      </c>
      <c r="I742" s="39" t="s">
        <v>320</v>
      </c>
      <c r="J742" s="43">
        <v>648541.49</v>
      </c>
      <c r="K742" s="43">
        <v>108090.25</v>
      </c>
      <c r="L742" s="43">
        <v>648541.49</v>
      </c>
      <c r="M742" s="44">
        <v>108090.25</v>
      </c>
      <c r="N742" s="44">
        <f t="shared" si="11"/>
        <v>540451.24</v>
      </c>
      <c r="O742" s="44">
        <v>648541.49</v>
      </c>
      <c r="P742" s="40" t="s">
        <v>5145</v>
      </c>
      <c r="Q742" s="40" t="s">
        <v>5146</v>
      </c>
      <c r="R742" s="40" t="s">
        <v>494</v>
      </c>
      <c r="S742" s="40" t="s">
        <v>495</v>
      </c>
      <c r="T742" s="40" t="s">
        <v>1669</v>
      </c>
      <c r="U742" s="40" t="s">
        <v>1670</v>
      </c>
      <c r="V742" s="40" t="s">
        <v>5147</v>
      </c>
      <c r="W742" s="40" t="s">
        <v>5148</v>
      </c>
    </row>
    <row r="743" spans="1:23" ht="12" x14ac:dyDescent="0.2">
      <c r="A743" s="39" t="s">
        <v>2659</v>
      </c>
      <c r="B743" s="40" t="s">
        <v>2660</v>
      </c>
      <c r="C743" s="40" t="s">
        <v>5149</v>
      </c>
      <c r="D743" s="41">
        <v>46010</v>
      </c>
      <c r="E743" s="41">
        <v>46040</v>
      </c>
      <c r="F743" s="41">
        <v>46091</v>
      </c>
      <c r="G743" s="42">
        <v>51</v>
      </c>
      <c r="H743" s="40" t="s">
        <v>543</v>
      </c>
      <c r="I743" s="39" t="s">
        <v>320</v>
      </c>
      <c r="J743" s="43">
        <v>20188.39</v>
      </c>
      <c r="K743" s="43">
        <v>0</v>
      </c>
      <c r="L743" s="43">
        <v>20188.39</v>
      </c>
      <c r="M743" s="44">
        <v>0</v>
      </c>
      <c r="N743" s="44">
        <f t="shared" si="11"/>
        <v>20188.39</v>
      </c>
      <c r="O743" s="44">
        <v>20188.39</v>
      </c>
      <c r="P743" s="40" t="s">
        <v>3263</v>
      </c>
      <c r="Q743" s="40" t="s">
        <v>3264</v>
      </c>
      <c r="R743" s="40" t="s">
        <v>494</v>
      </c>
      <c r="S743" s="40" t="s">
        <v>495</v>
      </c>
      <c r="T743" s="40" t="s">
        <v>514</v>
      </c>
      <c r="U743" s="40" t="s">
        <v>3265</v>
      </c>
      <c r="V743" s="40" t="s">
        <v>5150</v>
      </c>
      <c r="W743" s="40" t="s">
        <v>3266</v>
      </c>
    </row>
    <row r="744" spans="1:23" ht="12" x14ac:dyDescent="0.2">
      <c r="A744" s="39" t="s">
        <v>366</v>
      </c>
      <c r="B744" s="40" t="s">
        <v>365</v>
      </c>
      <c r="C744" s="40" t="s">
        <v>5151</v>
      </c>
      <c r="D744" s="41">
        <v>46010</v>
      </c>
      <c r="E744" s="41">
        <v>46040</v>
      </c>
      <c r="F744" s="41">
        <v>46091</v>
      </c>
      <c r="G744" s="42">
        <v>51</v>
      </c>
      <c r="H744" s="40" t="s">
        <v>543</v>
      </c>
      <c r="I744" s="39" t="s">
        <v>320</v>
      </c>
      <c r="J744" s="43">
        <v>28646.65</v>
      </c>
      <c r="K744" s="43">
        <v>0</v>
      </c>
      <c r="L744" s="43">
        <v>28646.65</v>
      </c>
      <c r="M744" s="44">
        <v>0</v>
      </c>
      <c r="N744" s="44">
        <f t="shared" si="11"/>
        <v>28646.65</v>
      </c>
      <c r="O744" s="44">
        <v>28646.65</v>
      </c>
      <c r="P744" s="40" t="s">
        <v>5152</v>
      </c>
      <c r="Q744" s="40" t="s">
        <v>5153</v>
      </c>
      <c r="R744" s="40" t="s">
        <v>494</v>
      </c>
      <c r="S744" s="40" t="s">
        <v>502</v>
      </c>
      <c r="T744" s="40" t="s">
        <v>218</v>
      </c>
      <c r="U744" s="40" t="s">
        <v>557</v>
      </c>
      <c r="V744" s="40" t="s">
        <v>5154</v>
      </c>
      <c r="W744" s="40" t="s">
        <v>5155</v>
      </c>
    </row>
    <row r="745" spans="1:23" ht="12" x14ac:dyDescent="0.2">
      <c r="A745" s="39" t="s">
        <v>1818</v>
      </c>
      <c r="B745" s="40" t="s">
        <v>1819</v>
      </c>
      <c r="C745" s="40" t="s">
        <v>5156</v>
      </c>
      <c r="D745" s="41">
        <v>46010</v>
      </c>
      <c r="E745" s="41">
        <v>46040</v>
      </c>
      <c r="F745" s="41">
        <v>46091</v>
      </c>
      <c r="G745" s="42">
        <v>51</v>
      </c>
      <c r="H745" s="40" t="s">
        <v>543</v>
      </c>
      <c r="I745" s="39" t="s">
        <v>320</v>
      </c>
      <c r="J745" s="43">
        <v>-5438.99</v>
      </c>
      <c r="K745" s="43">
        <v>0</v>
      </c>
      <c r="L745" s="43">
        <v>-5438.99</v>
      </c>
      <c r="M745" s="44">
        <v>0</v>
      </c>
      <c r="N745" s="44">
        <f t="shared" si="11"/>
        <v>-5438.99</v>
      </c>
      <c r="O745" s="44">
        <v>-5438.99</v>
      </c>
      <c r="P745" s="40" t="s">
        <v>5157</v>
      </c>
      <c r="Q745" s="40" t="s">
        <v>5158</v>
      </c>
      <c r="R745" s="40" t="s">
        <v>494</v>
      </c>
      <c r="S745" s="40" t="s">
        <v>495</v>
      </c>
      <c r="T745" s="40" t="s">
        <v>1892</v>
      </c>
      <c r="U745" s="40" t="s">
        <v>5159</v>
      </c>
      <c r="V745" s="40"/>
      <c r="W745" s="40" t="s">
        <v>5160</v>
      </c>
    </row>
    <row r="746" spans="1:23" ht="12" x14ac:dyDescent="0.2">
      <c r="A746" s="39" t="s">
        <v>442</v>
      </c>
      <c r="B746" s="40" t="s">
        <v>441</v>
      </c>
      <c r="C746" s="40" t="s">
        <v>5161</v>
      </c>
      <c r="D746" s="41">
        <v>46013</v>
      </c>
      <c r="E746" s="41">
        <v>46043</v>
      </c>
      <c r="F746" s="41">
        <v>46091</v>
      </c>
      <c r="G746" s="42">
        <v>48</v>
      </c>
      <c r="H746" s="40" t="s">
        <v>543</v>
      </c>
      <c r="I746" s="39" t="s">
        <v>320</v>
      </c>
      <c r="J746" s="43">
        <v>-1004.83</v>
      </c>
      <c r="K746" s="43">
        <v>0</v>
      </c>
      <c r="L746" s="43">
        <v>-1004.83</v>
      </c>
      <c r="M746" s="44">
        <v>0</v>
      </c>
      <c r="N746" s="44">
        <f t="shared" si="11"/>
        <v>-1004.83</v>
      </c>
      <c r="O746" s="44">
        <v>-1004.83</v>
      </c>
      <c r="P746" s="40" t="s">
        <v>5162</v>
      </c>
      <c r="Q746" s="40" t="s">
        <v>5163</v>
      </c>
      <c r="R746" s="40" t="s">
        <v>494</v>
      </c>
      <c r="S746" s="40" t="s">
        <v>495</v>
      </c>
      <c r="T746" s="40" t="s">
        <v>733</v>
      </c>
      <c r="U746" s="40" t="s">
        <v>2614</v>
      </c>
      <c r="V746" s="40" t="s">
        <v>4017</v>
      </c>
      <c r="W746" s="40" t="s">
        <v>5164</v>
      </c>
    </row>
    <row r="747" spans="1:23" ht="12" x14ac:dyDescent="0.2">
      <c r="A747" s="39" t="s">
        <v>911</v>
      </c>
      <c r="B747" s="40" t="s">
        <v>912</v>
      </c>
      <c r="C747" s="40" t="s">
        <v>5165</v>
      </c>
      <c r="D747" s="41">
        <v>46014</v>
      </c>
      <c r="E747" s="41">
        <v>46044</v>
      </c>
      <c r="F747" s="41">
        <v>46091</v>
      </c>
      <c r="G747" s="42">
        <v>47</v>
      </c>
      <c r="H747" s="40" t="s">
        <v>543</v>
      </c>
      <c r="I747" s="39" t="s">
        <v>323</v>
      </c>
      <c r="J747" s="43">
        <v>165916.96</v>
      </c>
      <c r="K747" s="43">
        <v>0</v>
      </c>
      <c r="L747" s="43">
        <v>165916.96</v>
      </c>
      <c r="M747" s="44">
        <v>0</v>
      </c>
      <c r="N747" s="44">
        <f t="shared" si="11"/>
        <v>122901.45</v>
      </c>
      <c r="O747" s="44">
        <v>122901.45</v>
      </c>
      <c r="P747" s="40" t="s">
        <v>4657</v>
      </c>
      <c r="Q747" s="40" t="s">
        <v>4658</v>
      </c>
      <c r="R747" s="40" t="s">
        <v>494</v>
      </c>
      <c r="S747" s="40" t="s">
        <v>502</v>
      </c>
      <c r="T747" s="40" t="s">
        <v>513</v>
      </c>
      <c r="U747" s="40" t="s">
        <v>4006</v>
      </c>
      <c r="V747" s="40"/>
      <c r="W747" s="40" t="s">
        <v>4659</v>
      </c>
    </row>
    <row r="748" spans="1:23" ht="12" x14ac:dyDescent="0.2">
      <c r="A748" s="39" t="s">
        <v>5166</v>
      </c>
      <c r="B748" s="40" t="s">
        <v>5167</v>
      </c>
      <c r="C748" s="40" t="s">
        <v>5168</v>
      </c>
      <c r="D748" s="41">
        <v>46014</v>
      </c>
      <c r="E748" s="41">
        <v>46044</v>
      </c>
      <c r="F748" s="41">
        <v>46091</v>
      </c>
      <c r="G748" s="42">
        <v>47</v>
      </c>
      <c r="H748" s="40" t="s">
        <v>543</v>
      </c>
      <c r="I748" s="39" t="s">
        <v>320</v>
      </c>
      <c r="J748" s="43">
        <v>-58310.61</v>
      </c>
      <c r="K748" s="43">
        <v>0</v>
      </c>
      <c r="L748" s="43">
        <v>-58310.61</v>
      </c>
      <c r="M748" s="44">
        <v>0</v>
      </c>
      <c r="N748" s="44">
        <f t="shared" si="11"/>
        <v>-58310.61</v>
      </c>
      <c r="O748" s="44">
        <v>-58310.61</v>
      </c>
      <c r="P748" s="40" t="s">
        <v>5169</v>
      </c>
      <c r="Q748" s="40" t="s">
        <v>5170</v>
      </c>
      <c r="R748" s="40" t="s">
        <v>494</v>
      </c>
      <c r="S748" s="40" t="s">
        <v>502</v>
      </c>
      <c r="T748" s="40" t="s">
        <v>282</v>
      </c>
      <c r="U748" s="40" t="s">
        <v>783</v>
      </c>
      <c r="V748" s="40"/>
      <c r="W748" s="40" t="s">
        <v>5171</v>
      </c>
    </row>
    <row r="749" spans="1:23" ht="12" x14ac:dyDescent="0.2">
      <c r="A749" s="39" t="s">
        <v>17</v>
      </c>
      <c r="B749" s="40" t="s">
        <v>342</v>
      </c>
      <c r="C749" s="40" t="s">
        <v>5172</v>
      </c>
      <c r="D749" s="41">
        <v>46014</v>
      </c>
      <c r="E749" s="41">
        <v>46044</v>
      </c>
      <c r="F749" s="41">
        <v>46091</v>
      </c>
      <c r="G749" s="42">
        <v>47</v>
      </c>
      <c r="H749" s="40" t="s">
        <v>543</v>
      </c>
      <c r="I749" s="39" t="s">
        <v>320</v>
      </c>
      <c r="J749" s="43">
        <v>66112</v>
      </c>
      <c r="K749" s="43">
        <v>0</v>
      </c>
      <c r="L749" s="43">
        <v>66112</v>
      </c>
      <c r="M749" s="44">
        <v>0</v>
      </c>
      <c r="N749" s="44">
        <f t="shared" si="11"/>
        <v>66112</v>
      </c>
      <c r="O749" s="44">
        <v>66112</v>
      </c>
      <c r="P749" s="40" t="s">
        <v>2055</v>
      </c>
      <c r="Q749" s="40" t="s">
        <v>2280</v>
      </c>
      <c r="R749" s="40" t="s">
        <v>494</v>
      </c>
      <c r="S749" s="40" t="s">
        <v>502</v>
      </c>
      <c r="T749" s="40" t="s">
        <v>185</v>
      </c>
      <c r="U749" s="40" t="s">
        <v>646</v>
      </c>
      <c r="V749" s="40" t="s">
        <v>3006</v>
      </c>
      <c r="W749" s="40" t="s">
        <v>2281</v>
      </c>
    </row>
    <row r="750" spans="1:23" ht="12" x14ac:dyDescent="0.2">
      <c r="A750" s="39" t="s">
        <v>911</v>
      </c>
      <c r="B750" s="40" t="s">
        <v>912</v>
      </c>
      <c r="C750" s="40" t="s">
        <v>5173</v>
      </c>
      <c r="D750" s="41">
        <v>46014</v>
      </c>
      <c r="E750" s="41">
        <v>46044</v>
      </c>
      <c r="F750" s="41">
        <v>46091</v>
      </c>
      <c r="G750" s="42">
        <v>47</v>
      </c>
      <c r="H750" s="40" t="s">
        <v>543</v>
      </c>
      <c r="I750" s="39" t="s">
        <v>323</v>
      </c>
      <c r="J750" s="43">
        <v>64479.23</v>
      </c>
      <c r="K750" s="43">
        <v>0</v>
      </c>
      <c r="L750" s="43">
        <v>64479.23</v>
      </c>
      <c r="M750" s="44">
        <v>0</v>
      </c>
      <c r="N750" s="44">
        <f t="shared" si="11"/>
        <v>47762.39</v>
      </c>
      <c r="O750" s="44">
        <v>47762.39</v>
      </c>
      <c r="P750" s="40" t="s">
        <v>4653</v>
      </c>
      <c r="Q750" s="40" t="s">
        <v>4654</v>
      </c>
      <c r="R750" s="40" t="s">
        <v>494</v>
      </c>
      <c r="S750" s="40" t="s">
        <v>502</v>
      </c>
      <c r="T750" s="40" t="s">
        <v>513</v>
      </c>
      <c r="U750" s="40" t="s">
        <v>630</v>
      </c>
      <c r="V750" s="40"/>
      <c r="W750" s="40" t="s">
        <v>4655</v>
      </c>
    </row>
    <row r="751" spans="1:23" ht="12" x14ac:dyDescent="0.2">
      <c r="A751" s="39" t="s">
        <v>5174</v>
      </c>
      <c r="B751" s="40" t="s">
        <v>5175</v>
      </c>
      <c r="C751" s="40" t="s">
        <v>5176</v>
      </c>
      <c r="D751" s="41">
        <v>46022</v>
      </c>
      <c r="E751" s="41">
        <v>46052</v>
      </c>
      <c r="F751" s="41">
        <v>46091</v>
      </c>
      <c r="G751" s="42">
        <v>39</v>
      </c>
      <c r="H751" s="40" t="s">
        <v>543</v>
      </c>
      <c r="I751" s="39" t="s">
        <v>323</v>
      </c>
      <c r="J751" s="43">
        <v>28227.89</v>
      </c>
      <c r="K751" s="43">
        <v>0</v>
      </c>
      <c r="L751" s="43">
        <v>28227.89</v>
      </c>
      <c r="M751" s="44">
        <v>0</v>
      </c>
      <c r="N751" s="44">
        <f t="shared" si="11"/>
        <v>20909.55</v>
      </c>
      <c r="O751" s="44">
        <v>20909.55</v>
      </c>
      <c r="P751" s="40" t="s">
        <v>5177</v>
      </c>
      <c r="Q751" s="40" t="s">
        <v>5178</v>
      </c>
      <c r="R751" s="40" t="s">
        <v>494</v>
      </c>
      <c r="S751" s="40" t="s">
        <v>495</v>
      </c>
      <c r="T751" s="40" t="s">
        <v>178</v>
      </c>
      <c r="U751" s="40" t="s">
        <v>5179</v>
      </c>
      <c r="V751" s="40"/>
      <c r="W751" s="40" t="s">
        <v>321</v>
      </c>
    </row>
    <row r="752" spans="1:23" ht="12" x14ac:dyDescent="0.2">
      <c r="A752" s="39" t="s">
        <v>39</v>
      </c>
      <c r="B752" s="40" t="s">
        <v>752</v>
      </c>
      <c r="C752" s="40" t="s">
        <v>5180</v>
      </c>
      <c r="D752" s="41">
        <v>46022</v>
      </c>
      <c r="E752" s="41">
        <v>46052</v>
      </c>
      <c r="F752" s="41">
        <v>46091</v>
      </c>
      <c r="G752" s="42">
        <v>39</v>
      </c>
      <c r="H752" s="40" t="s">
        <v>543</v>
      </c>
      <c r="I752" s="39" t="s">
        <v>320</v>
      </c>
      <c r="J752" s="43">
        <v>823820.36</v>
      </c>
      <c r="K752" s="43">
        <v>0</v>
      </c>
      <c r="L752" s="43">
        <v>823820.36</v>
      </c>
      <c r="M752" s="44">
        <v>0</v>
      </c>
      <c r="N752" s="44">
        <f t="shared" si="11"/>
        <v>823820.36</v>
      </c>
      <c r="O752" s="44">
        <v>823820.36</v>
      </c>
      <c r="P752" s="40" t="s">
        <v>5181</v>
      </c>
      <c r="Q752" s="40" t="s">
        <v>5182</v>
      </c>
      <c r="R752" s="40" t="s">
        <v>494</v>
      </c>
      <c r="S752" s="40" t="s">
        <v>502</v>
      </c>
      <c r="T752" s="40" t="s">
        <v>221</v>
      </c>
      <c r="U752" s="40" t="s">
        <v>4198</v>
      </c>
      <c r="V752" s="40"/>
      <c r="W752" s="40" t="s">
        <v>5183</v>
      </c>
    </row>
    <row r="753" spans="1:23" ht="12" x14ac:dyDescent="0.2">
      <c r="A753" s="39" t="s">
        <v>1835</v>
      </c>
      <c r="B753" s="40" t="s">
        <v>1836</v>
      </c>
      <c r="C753" s="40" t="s">
        <v>5184</v>
      </c>
      <c r="D753" s="41">
        <v>46025</v>
      </c>
      <c r="E753" s="41">
        <v>46055</v>
      </c>
      <c r="F753" s="41">
        <v>46091</v>
      </c>
      <c r="G753" s="42">
        <v>36</v>
      </c>
      <c r="H753" s="40" t="s">
        <v>543</v>
      </c>
      <c r="I753" s="39" t="s">
        <v>320</v>
      </c>
      <c r="J753" s="43">
        <v>114097.53</v>
      </c>
      <c r="K753" s="43">
        <v>0</v>
      </c>
      <c r="L753" s="43">
        <v>114097.53</v>
      </c>
      <c r="M753" s="44">
        <v>0</v>
      </c>
      <c r="N753" s="44">
        <f t="shared" si="11"/>
        <v>114097.53</v>
      </c>
      <c r="O753" s="44">
        <v>114097.53</v>
      </c>
      <c r="P753" s="40" t="s">
        <v>1837</v>
      </c>
      <c r="Q753" s="40" t="s">
        <v>1838</v>
      </c>
      <c r="R753" s="40" t="s">
        <v>494</v>
      </c>
      <c r="S753" s="40" t="s">
        <v>495</v>
      </c>
      <c r="T753" s="40" t="s">
        <v>512</v>
      </c>
      <c r="U753" s="40" t="s">
        <v>970</v>
      </c>
      <c r="V753" s="40"/>
      <c r="W753" s="40" t="s">
        <v>321</v>
      </c>
    </row>
    <row r="754" spans="1:23" ht="12" x14ac:dyDescent="0.2">
      <c r="A754" s="39" t="s">
        <v>825</v>
      </c>
      <c r="B754" s="40" t="s">
        <v>826</v>
      </c>
      <c r="C754" s="40" t="s">
        <v>5185</v>
      </c>
      <c r="D754" s="41">
        <v>46027</v>
      </c>
      <c r="E754" s="41">
        <v>46057</v>
      </c>
      <c r="F754" s="41">
        <v>46091</v>
      </c>
      <c r="G754" s="42">
        <v>34</v>
      </c>
      <c r="H754" s="40" t="s">
        <v>543</v>
      </c>
      <c r="I754" s="39" t="s">
        <v>320</v>
      </c>
      <c r="J754" s="43">
        <v>239431.85</v>
      </c>
      <c r="K754" s="43">
        <v>0</v>
      </c>
      <c r="L754" s="43">
        <v>239431.85</v>
      </c>
      <c r="M754" s="44">
        <v>0</v>
      </c>
      <c r="N754" s="44">
        <f t="shared" si="11"/>
        <v>239431.85</v>
      </c>
      <c r="O754" s="44">
        <v>239431.85</v>
      </c>
      <c r="P754" s="40" t="s">
        <v>2793</v>
      </c>
      <c r="Q754" s="40" t="s">
        <v>2794</v>
      </c>
      <c r="R754" s="40" t="s">
        <v>494</v>
      </c>
      <c r="S754" s="40" t="s">
        <v>502</v>
      </c>
      <c r="T754" s="40" t="s">
        <v>497</v>
      </c>
      <c r="U754" s="40" t="s">
        <v>859</v>
      </c>
      <c r="V754" s="40"/>
      <c r="W754" s="40" t="s">
        <v>321</v>
      </c>
    </row>
    <row r="755" spans="1:23" ht="12" x14ac:dyDescent="0.2">
      <c r="A755" s="39" t="s">
        <v>27</v>
      </c>
      <c r="B755" s="40" t="s">
        <v>476</v>
      </c>
      <c r="C755" s="40" t="s">
        <v>5186</v>
      </c>
      <c r="D755" s="41">
        <v>46027</v>
      </c>
      <c r="E755" s="41">
        <v>46057</v>
      </c>
      <c r="F755" s="41">
        <v>46091</v>
      </c>
      <c r="G755" s="42">
        <v>34</v>
      </c>
      <c r="H755" s="40" t="s">
        <v>543</v>
      </c>
      <c r="I755" s="39" t="s">
        <v>320</v>
      </c>
      <c r="J755" s="43">
        <v>39443.21</v>
      </c>
      <c r="K755" s="43">
        <v>0</v>
      </c>
      <c r="L755" s="43">
        <v>14095.11</v>
      </c>
      <c r="M755" s="44">
        <v>0</v>
      </c>
      <c r="N755" s="44">
        <f t="shared" si="11"/>
        <v>14095.11</v>
      </c>
      <c r="O755" s="44">
        <v>14095.11</v>
      </c>
      <c r="P755" s="40" t="s">
        <v>5187</v>
      </c>
      <c r="Q755" s="40" t="s">
        <v>5188</v>
      </c>
      <c r="R755" s="40" t="s">
        <v>494</v>
      </c>
      <c r="S755" s="40" t="s">
        <v>502</v>
      </c>
      <c r="T755" s="40" t="s">
        <v>287</v>
      </c>
      <c r="U755" s="40" t="s">
        <v>5189</v>
      </c>
      <c r="V755" s="40" t="s">
        <v>5190</v>
      </c>
      <c r="W755" s="40" t="s">
        <v>5191</v>
      </c>
    </row>
    <row r="756" spans="1:23" ht="12" x14ac:dyDescent="0.2">
      <c r="A756" s="39" t="s">
        <v>5192</v>
      </c>
      <c r="B756" s="40" t="s">
        <v>5193</v>
      </c>
      <c r="C756" s="40" t="s">
        <v>5194</v>
      </c>
      <c r="D756" s="41">
        <v>46027</v>
      </c>
      <c r="E756" s="41">
        <v>46057</v>
      </c>
      <c r="F756" s="41">
        <v>46091</v>
      </c>
      <c r="G756" s="42">
        <v>34</v>
      </c>
      <c r="H756" s="40" t="s">
        <v>543</v>
      </c>
      <c r="I756" s="39" t="s">
        <v>320</v>
      </c>
      <c r="J756" s="43">
        <v>15000</v>
      </c>
      <c r="K756" s="43">
        <v>0</v>
      </c>
      <c r="L756" s="43">
        <v>15000</v>
      </c>
      <c r="M756" s="44">
        <v>0</v>
      </c>
      <c r="N756" s="44">
        <f t="shared" si="11"/>
        <v>15000</v>
      </c>
      <c r="O756" s="44">
        <v>15000</v>
      </c>
      <c r="P756" s="40" t="s">
        <v>5195</v>
      </c>
      <c r="Q756" s="40" t="s">
        <v>5196</v>
      </c>
      <c r="R756" s="40" t="s">
        <v>494</v>
      </c>
      <c r="S756" s="40" t="s">
        <v>502</v>
      </c>
      <c r="T756" s="40" t="s">
        <v>343</v>
      </c>
      <c r="U756" s="40" t="s">
        <v>5197</v>
      </c>
      <c r="V756" s="40"/>
      <c r="W756" s="40"/>
    </row>
    <row r="757" spans="1:23" ht="12" x14ac:dyDescent="0.2">
      <c r="A757" s="39" t="s">
        <v>825</v>
      </c>
      <c r="B757" s="40" t="s">
        <v>826</v>
      </c>
      <c r="C757" s="40" t="s">
        <v>5198</v>
      </c>
      <c r="D757" s="41">
        <v>46027</v>
      </c>
      <c r="E757" s="41">
        <v>46057</v>
      </c>
      <c r="F757" s="41">
        <v>46091</v>
      </c>
      <c r="G757" s="42">
        <v>34</v>
      </c>
      <c r="H757" s="40" t="s">
        <v>543</v>
      </c>
      <c r="I757" s="39" t="s">
        <v>320</v>
      </c>
      <c r="J757" s="43">
        <v>213890.82</v>
      </c>
      <c r="K757" s="43">
        <v>0</v>
      </c>
      <c r="L757" s="43">
        <v>213890.82</v>
      </c>
      <c r="M757" s="44">
        <v>0</v>
      </c>
      <c r="N757" s="44">
        <f t="shared" si="11"/>
        <v>213890.82</v>
      </c>
      <c r="O757" s="44">
        <v>213890.82</v>
      </c>
      <c r="P757" s="40" t="s">
        <v>2797</v>
      </c>
      <c r="Q757" s="40" t="s">
        <v>2798</v>
      </c>
      <c r="R757" s="40" t="s">
        <v>494</v>
      </c>
      <c r="S757" s="40" t="s">
        <v>502</v>
      </c>
      <c r="T757" s="40" t="s">
        <v>286</v>
      </c>
      <c r="U757" s="40" t="s">
        <v>1107</v>
      </c>
      <c r="V757" s="40"/>
      <c r="W757" s="40" t="s">
        <v>321</v>
      </c>
    </row>
    <row r="758" spans="1:23" ht="12" x14ac:dyDescent="0.2">
      <c r="A758" s="39" t="s">
        <v>825</v>
      </c>
      <c r="B758" s="40" t="s">
        <v>826</v>
      </c>
      <c r="C758" s="40" t="s">
        <v>5199</v>
      </c>
      <c r="D758" s="41">
        <v>46027</v>
      </c>
      <c r="E758" s="41">
        <v>46057</v>
      </c>
      <c r="F758" s="41">
        <v>46091</v>
      </c>
      <c r="G758" s="42">
        <v>34</v>
      </c>
      <c r="H758" s="40" t="s">
        <v>543</v>
      </c>
      <c r="I758" s="39" t="s">
        <v>320</v>
      </c>
      <c r="J758" s="43">
        <v>192504.08</v>
      </c>
      <c r="K758" s="43">
        <v>0</v>
      </c>
      <c r="L758" s="43">
        <v>192504.08</v>
      </c>
      <c r="M758" s="44">
        <v>0</v>
      </c>
      <c r="N758" s="44">
        <f t="shared" si="11"/>
        <v>192504.08</v>
      </c>
      <c r="O758" s="44">
        <v>192504.08</v>
      </c>
      <c r="P758" s="40" t="s">
        <v>2799</v>
      </c>
      <c r="Q758" s="40" t="s">
        <v>2800</v>
      </c>
      <c r="R758" s="40" t="s">
        <v>494</v>
      </c>
      <c r="S758" s="40" t="s">
        <v>502</v>
      </c>
      <c r="T758" s="40" t="s">
        <v>289</v>
      </c>
      <c r="U758" s="40" t="s">
        <v>1095</v>
      </c>
      <c r="V758" s="40"/>
      <c r="W758" s="40"/>
    </row>
    <row r="759" spans="1:23" ht="12" x14ac:dyDescent="0.2">
      <c r="A759" s="39" t="s">
        <v>825</v>
      </c>
      <c r="B759" s="40" t="s">
        <v>826</v>
      </c>
      <c r="C759" s="40" t="s">
        <v>5200</v>
      </c>
      <c r="D759" s="41">
        <v>46027</v>
      </c>
      <c r="E759" s="41">
        <v>46057</v>
      </c>
      <c r="F759" s="41">
        <v>46091</v>
      </c>
      <c r="G759" s="42">
        <v>34</v>
      </c>
      <c r="H759" s="40" t="s">
        <v>543</v>
      </c>
      <c r="I759" s="39" t="s">
        <v>320</v>
      </c>
      <c r="J759" s="43">
        <v>151438.98000000001</v>
      </c>
      <c r="K759" s="43">
        <v>0</v>
      </c>
      <c r="L759" s="43">
        <v>151438.98000000001</v>
      </c>
      <c r="M759" s="44">
        <v>0</v>
      </c>
      <c r="N759" s="44">
        <f t="shared" si="11"/>
        <v>151438.98000000001</v>
      </c>
      <c r="O759" s="44">
        <v>151438.98000000001</v>
      </c>
      <c r="P759" s="40" t="s">
        <v>2809</v>
      </c>
      <c r="Q759" s="40" t="s">
        <v>2810</v>
      </c>
      <c r="R759" s="40" t="s">
        <v>494</v>
      </c>
      <c r="S759" s="40" t="s">
        <v>502</v>
      </c>
      <c r="T759" s="40" t="s">
        <v>362</v>
      </c>
      <c r="U759" s="40" t="s">
        <v>1021</v>
      </c>
      <c r="V759" s="40"/>
      <c r="W759" s="40"/>
    </row>
    <row r="760" spans="1:23" ht="12" x14ac:dyDescent="0.2">
      <c r="A760" s="39" t="s">
        <v>724</v>
      </c>
      <c r="B760" s="40" t="s">
        <v>617</v>
      </c>
      <c r="C760" s="40" t="s">
        <v>5201</v>
      </c>
      <c r="D760" s="41">
        <v>46027</v>
      </c>
      <c r="E760" s="41">
        <v>46057</v>
      </c>
      <c r="F760" s="41">
        <v>46091</v>
      </c>
      <c r="G760" s="42">
        <v>34</v>
      </c>
      <c r="H760" s="40" t="s">
        <v>543</v>
      </c>
      <c r="I760" s="39" t="s">
        <v>320</v>
      </c>
      <c r="J760" s="43">
        <v>27621</v>
      </c>
      <c r="K760" s="43">
        <v>0</v>
      </c>
      <c r="L760" s="43">
        <v>27621</v>
      </c>
      <c r="M760" s="44">
        <v>0</v>
      </c>
      <c r="N760" s="44">
        <f t="shared" si="11"/>
        <v>27621</v>
      </c>
      <c r="O760" s="44">
        <v>27621</v>
      </c>
      <c r="P760" s="40" t="s">
        <v>5202</v>
      </c>
      <c r="Q760" s="40" t="s">
        <v>5203</v>
      </c>
      <c r="R760" s="40" t="s">
        <v>494</v>
      </c>
      <c r="S760" s="40" t="s">
        <v>502</v>
      </c>
      <c r="T760" s="40" t="s">
        <v>289</v>
      </c>
      <c r="U760" s="40" t="s">
        <v>3455</v>
      </c>
      <c r="V760" s="40"/>
      <c r="W760" s="40" t="s">
        <v>321</v>
      </c>
    </row>
    <row r="761" spans="1:23" ht="12" x14ac:dyDescent="0.2">
      <c r="A761" s="39" t="s">
        <v>825</v>
      </c>
      <c r="B761" s="40" t="s">
        <v>826</v>
      </c>
      <c r="C761" s="40" t="s">
        <v>5204</v>
      </c>
      <c r="D761" s="41">
        <v>46027</v>
      </c>
      <c r="E761" s="41">
        <v>46057</v>
      </c>
      <c r="F761" s="41">
        <v>46091</v>
      </c>
      <c r="G761" s="42">
        <v>34</v>
      </c>
      <c r="H761" s="40" t="s">
        <v>543</v>
      </c>
      <c r="I761" s="39" t="s">
        <v>320</v>
      </c>
      <c r="J761" s="43">
        <v>265912.23</v>
      </c>
      <c r="K761" s="43">
        <v>0</v>
      </c>
      <c r="L761" s="43">
        <v>265912.23</v>
      </c>
      <c r="M761" s="44">
        <v>0</v>
      </c>
      <c r="N761" s="44">
        <f t="shared" si="11"/>
        <v>265912.23</v>
      </c>
      <c r="O761" s="44">
        <v>265912.23</v>
      </c>
      <c r="P761" s="40" t="s">
        <v>2811</v>
      </c>
      <c r="Q761" s="40" t="s">
        <v>2812</v>
      </c>
      <c r="R761" s="40" t="s">
        <v>494</v>
      </c>
      <c r="S761" s="40" t="s">
        <v>502</v>
      </c>
      <c r="T761" s="40" t="s">
        <v>284</v>
      </c>
      <c r="U761" s="40" t="s">
        <v>803</v>
      </c>
      <c r="V761" s="40"/>
      <c r="W761" s="40" t="s">
        <v>322</v>
      </c>
    </row>
    <row r="762" spans="1:23" ht="12" x14ac:dyDescent="0.2">
      <c r="A762" s="39" t="s">
        <v>825</v>
      </c>
      <c r="B762" s="40" t="s">
        <v>826</v>
      </c>
      <c r="C762" s="40" t="s">
        <v>5205</v>
      </c>
      <c r="D762" s="41">
        <v>46027</v>
      </c>
      <c r="E762" s="41">
        <v>46057</v>
      </c>
      <c r="F762" s="41">
        <v>46091</v>
      </c>
      <c r="G762" s="42">
        <v>34</v>
      </c>
      <c r="H762" s="40" t="s">
        <v>543</v>
      </c>
      <c r="I762" s="39" t="s">
        <v>320</v>
      </c>
      <c r="J762" s="43">
        <v>172117.2</v>
      </c>
      <c r="K762" s="43">
        <v>0</v>
      </c>
      <c r="L762" s="43">
        <v>172117.2</v>
      </c>
      <c r="M762" s="44">
        <v>0</v>
      </c>
      <c r="N762" s="44">
        <f t="shared" si="11"/>
        <v>172117.2</v>
      </c>
      <c r="O762" s="44">
        <v>172117.2</v>
      </c>
      <c r="P762" s="40" t="s">
        <v>2813</v>
      </c>
      <c r="Q762" s="40" t="s">
        <v>2814</v>
      </c>
      <c r="R762" s="40" t="s">
        <v>494</v>
      </c>
      <c r="S762" s="40" t="s">
        <v>502</v>
      </c>
      <c r="T762" s="40" t="s">
        <v>330</v>
      </c>
      <c r="U762" s="40" t="s">
        <v>498</v>
      </c>
      <c r="V762" s="40"/>
      <c r="W762" s="40"/>
    </row>
    <row r="763" spans="1:23" ht="12" x14ac:dyDescent="0.2">
      <c r="A763" s="39" t="s">
        <v>825</v>
      </c>
      <c r="B763" s="40" t="s">
        <v>826</v>
      </c>
      <c r="C763" s="40" t="s">
        <v>5206</v>
      </c>
      <c r="D763" s="41">
        <v>46027</v>
      </c>
      <c r="E763" s="41">
        <v>46057</v>
      </c>
      <c r="F763" s="41">
        <v>46091</v>
      </c>
      <c r="G763" s="42">
        <v>34</v>
      </c>
      <c r="H763" s="40" t="s">
        <v>543</v>
      </c>
      <c r="I763" s="39" t="s">
        <v>320</v>
      </c>
      <c r="J763" s="43">
        <v>13580.43</v>
      </c>
      <c r="K763" s="43">
        <v>0</v>
      </c>
      <c r="L763" s="43">
        <v>13580.43</v>
      </c>
      <c r="M763" s="44">
        <v>0</v>
      </c>
      <c r="N763" s="44">
        <f t="shared" si="11"/>
        <v>13580.43</v>
      </c>
      <c r="O763" s="44">
        <v>13580.43</v>
      </c>
      <c r="P763" s="40" t="s">
        <v>2815</v>
      </c>
      <c r="Q763" s="40" t="s">
        <v>2816</v>
      </c>
      <c r="R763" s="40" t="s">
        <v>494</v>
      </c>
      <c r="S763" s="40" t="s">
        <v>502</v>
      </c>
      <c r="T763" s="40" t="s">
        <v>190</v>
      </c>
      <c r="U763" s="40" t="s">
        <v>882</v>
      </c>
      <c r="V763" s="40"/>
      <c r="W763" s="40"/>
    </row>
    <row r="764" spans="1:23" ht="12" x14ac:dyDescent="0.2">
      <c r="A764" s="39" t="s">
        <v>825</v>
      </c>
      <c r="B764" s="40" t="s">
        <v>826</v>
      </c>
      <c r="C764" s="40" t="s">
        <v>5207</v>
      </c>
      <c r="D764" s="41">
        <v>46027</v>
      </c>
      <c r="E764" s="41">
        <v>46057</v>
      </c>
      <c r="F764" s="41">
        <v>46091</v>
      </c>
      <c r="G764" s="42">
        <v>34</v>
      </c>
      <c r="H764" s="40" t="s">
        <v>543</v>
      </c>
      <c r="I764" s="39" t="s">
        <v>320</v>
      </c>
      <c r="J764" s="43">
        <v>208099.3</v>
      </c>
      <c r="K764" s="43">
        <v>0</v>
      </c>
      <c r="L764" s="43">
        <v>208099.3</v>
      </c>
      <c r="M764" s="44">
        <v>0</v>
      </c>
      <c r="N764" s="44">
        <f t="shared" si="11"/>
        <v>208099.3</v>
      </c>
      <c r="O764" s="44">
        <v>208099.3</v>
      </c>
      <c r="P764" s="40" t="s">
        <v>2821</v>
      </c>
      <c r="Q764" s="40" t="s">
        <v>2822</v>
      </c>
      <c r="R764" s="40" t="s">
        <v>494</v>
      </c>
      <c r="S764" s="40" t="s">
        <v>502</v>
      </c>
      <c r="T764" s="40" t="s">
        <v>327</v>
      </c>
      <c r="U764" s="40" t="s">
        <v>1050</v>
      </c>
      <c r="V764" s="40"/>
      <c r="W764" s="40" t="s">
        <v>321</v>
      </c>
    </row>
    <row r="765" spans="1:23" ht="12" x14ac:dyDescent="0.2">
      <c r="A765" s="39" t="s">
        <v>825</v>
      </c>
      <c r="B765" s="40" t="s">
        <v>826</v>
      </c>
      <c r="C765" s="40" t="s">
        <v>5208</v>
      </c>
      <c r="D765" s="41">
        <v>46027</v>
      </c>
      <c r="E765" s="41">
        <v>46057</v>
      </c>
      <c r="F765" s="41">
        <v>46091</v>
      </c>
      <c r="G765" s="42">
        <v>34</v>
      </c>
      <c r="H765" s="40" t="s">
        <v>543</v>
      </c>
      <c r="I765" s="39" t="s">
        <v>320</v>
      </c>
      <c r="J765" s="43">
        <v>242983.86</v>
      </c>
      <c r="K765" s="43">
        <v>0</v>
      </c>
      <c r="L765" s="43">
        <v>242983.86</v>
      </c>
      <c r="M765" s="44">
        <v>0</v>
      </c>
      <c r="N765" s="44">
        <f t="shared" si="11"/>
        <v>242983.86</v>
      </c>
      <c r="O765" s="44">
        <v>242983.86</v>
      </c>
      <c r="P765" s="40" t="s">
        <v>2823</v>
      </c>
      <c r="Q765" s="40" t="s">
        <v>2824</v>
      </c>
      <c r="R765" s="40" t="s">
        <v>494</v>
      </c>
      <c r="S765" s="40" t="s">
        <v>502</v>
      </c>
      <c r="T765" s="40" t="s">
        <v>282</v>
      </c>
      <c r="U765" s="40" t="s">
        <v>783</v>
      </c>
      <c r="V765" s="40"/>
      <c r="W765" s="40" t="s">
        <v>500</v>
      </c>
    </row>
    <row r="766" spans="1:23" ht="12" x14ac:dyDescent="0.2">
      <c r="A766" s="39" t="s">
        <v>825</v>
      </c>
      <c r="B766" s="40" t="s">
        <v>826</v>
      </c>
      <c r="C766" s="40" t="s">
        <v>5209</v>
      </c>
      <c r="D766" s="41">
        <v>46027</v>
      </c>
      <c r="E766" s="41">
        <v>46057</v>
      </c>
      <c r="F766" s="41">
        <v>46091</v>
      </c>
      <c r="G766" s="42">
        <v>34</v>
      </c>
      <c r="H766" s="40" t="s">
        <v>543</v>
      </c>
      <c r="I766" s="39" t="s">
        <v>320</v>
      </c>
      <c r="J766" s="43">
        <v>151618.59</v>
      </c>
      <c r="K766" s="43">
        <v>0</v>
      </c>
      <c r="L766" s="43">
        <v>151618.59</v>
      </c>
      <c r="M766" s="44">
        <v>0</v>
      </c>
      <c r="N766" s="44">
        <f t="shared" si="11"/>
        <v>151618.59</v>
      </c>
      <c r="O766" s="44">
        <v>151618.59</v>
      </c>
      <c r="P766" s="40" t="s">
        <v>2789</v>
      </c>
      <c r="Q766" s="40" t="s">
        <v>2790</v>
      </c>
      <c r="R766" s="40" t="s">
        <v>494</v>
      </c>
      <c r="S766" s="40" t="s">
        <v>502</v>
      </c>
      <c r="T766" s="40" t="s">
        <v>191</v>
      </c>
      <c r="U766" s="40" t="s">
        <v>650</v>
      </c>
      <c r="V766" s="40"/>
      <c r="W766" s="40"/>
    </row>
    <row r="767" spans="1:23" ht="12" x14ac:dyDescent="0.2">
      <c r="A767" s="39" t="s">
        <v>825</v>
      </c>
      <c r="B767" s="40" t="s">
        <v>826</v>
      </c>
      <c r="C767" s="40" t="s">
        <v>5210</v>
      </c>
      <c r="D767" s="41">
        <v>46027</v>
      </c>
      <c r="E767" s="41">
        <v>46057</v>
      </c>
      <c r="F767" s="41">
        <v>46091</v>
      </c>
      <c r="G767" s="42">
        <v>34</v>
      </c>
      <c r="H767" s="40" t="s">
        <v>543</v>
      </c>
      <c r="I767" s="39" t="s">
        <v>320</v>
      </c>
      <c r="J767" s="43">
        <v>9005.69</v>
      </c>
      <c r="K767" s="43">
        <v>0</v>
      </c>
      <c r="L767" s="43">
        <v>9005.69</v>
      </c>
      <c r="M767" s="44">
        <v>0</v>
      </c>
      <c r="N767" s="44">
        <f t="shared" si="11"/>
        <v>9005.69</v>
      </c>
      <c r="O767" s="44">
        <v>9005.69</v>
      </c>
      <c r="P767" s="40" t="s">
        <v>2791</v>
      </c>
      <c r="Q767" s="40" t="s">
        <v>2792</v>
      </c>
      <c r="R767" s="40" t="s">
        <v>494</v>
      </c>
      <c r="S767" s="40" t="s">
        <v>502</v>
      </c>
      <c r="T767" s="40" t="s">
        <v>191</v>
      </c>
      <c r="U767" s="40" t="s">
        <v>1106</v>
      </c>
      <c r="V767" s="40"/>
      <c r="W767" s="40" t="s">
        <v>321</v>
      </c>
    </row>
    <row r="768" spans="1:23" ht="12" x14ac:dyDescent="0.2">
      <c r="A768" s="39" t="s">
        <v>825</v>
      </c>
      <c r="B768" s="40" t="s">
        <v>826</v>
      </c>
      <c r="C768" s="40" t="s">
        <v>5211</v>
      </c>
      <c r="D768" s="41">
        <v>46027</v>
      </c>
      <c r="E768" s="41">
        <v>46057</v>
      </c>
      <c r="F768" s="41">
        <v>46091</v>
      </c>
      <c r="G768" s="42">
        <v>34</v>
      </c>
      <c r="H768" s="40" t="s">
        <v>543</v>
      </c>
      <c r="I768" s="39" t="s">
        <v>320</v>
      </c>
      <c r="J768" s="43">
        <v>18192.22</v>
      </c>
      <c r="K768" s="43">
        <v>0</v>
      </c>
      <c r="L768" s="43">
        <v>18192.22</v>
      </c>
      <c r="M768" s="44">
        <v>0</v>
      </c>
      <c r="N768" s="44">
        <f t="shared" si="11"/>
        <v>18192.22</v>
      </c>
      <c r="O768" s="44">
        <v>18192.22</v>
      </c>
      <c r="P768" s="40" t="s">
        <v>2801</v>
      </c>
      <c r="Q768" s="40" t="s">
        <v>2802</v>
      </c>
      <c r="R768" s="40" t="s">
        <v>494</v>
      </c>
      <c r="S768" s="40" t="s">
        <v>502</v>
      </c>
      <c r="T768" s="40" t="s">
        <v>280</v>
      </c>
      <c r="U768" s="40" t="s">
        <v>1109</v>
      </c>
      <c r="V768" s="40"/>
      <c r="W768" s="40"/>
    </row>
    <row r="769" spans="1:23" ht="12" x14ac:dyDescent="0.2">
      <c r="A769" s="39" t="s">
        <v>825</v>
      </c>
      <c r="B769" s="40" t="s">
        <v>826</v>
      </c>
      <c r="C769" s="40" t="s">
        <v>5212</v>
      </c>
      <c r="D769" s="41">
        <v>46027</v>
      </c>
      <c r="E769" s="41">
        <v>46057</v>
      </c>
      <c r="F769" s="41">
        <v>46091</v>
      </c>
      <c r="G769" s="42">
        <v>34</v>
      </c>
      <c r="H769" s="40" t="s">
        <v>543</v>
      </c>
      <c r="I769" s="39" t="s">
        <v>320</v>
      </c>
      <c r="J769" s="43">
        <v>236037.61</v>
      </c>
      <c r="K769" s="43">
        <v>0</v>
      </c>
      <c r="L769" s="43">
        <v>236037.61</v>
      </c>
      <c r="M769" s="44">
        <v>0</v>
      </c>
      <c r="N769" s="44">
        <f t="shared" si="11"/>
        <v>236037.61</v>
      </c>
      <c r="O769" s="44">
        <v>236037.61</v>
      </c>
      <c r="P769" s="40" t="s">
        <v>2803</v>
      </c>
      <c r="Q769" s="40" t="s">
        <v>2804</v>
      </c>
      <c r="R769" s="40" t="s">
        <v>494</v>
      </c>
      <c r="S769" s="40" t="s">
        <v>502</v>
      </c>
      <c r="T769" s="40" t="s">
        <v>542</v>
      </c>
      <c r="U769" s="40" t="s">
        <v>1147</v>
      </c>
      <c r="V769" s="40"/>
      <c r="W769" s="40" t="s">
        <v>321</v>
      </c>
    </row>
    <row r="770" spans="1:23" ht="12" x14ac:dyDescent="0.2">
      <c r="A770" s="39" t="s">
        <v>27</v>
      </c>
      <c r="B770" s="40" t="s">
        <v>476</v>
      </c>
      <c r="C770" s="40" t="s">
        <v>5213</v>
      </c>
      <c r="D770" s="41">
        <v>46027</v>
      </c>
      <c r="E770" s="41">
        <v>46057</v>
      </c>
      <c r="F770" s="41">
        <v>46091</v>
      </c>
      <c r="G770" s="42">
        <v>34</v>
      </c>
      <c r="H770" s="40" t="s">
        <v>543</v>
      </c>
      <c r="I770" s="39" t="s">
        <v>320</v>
      </c>
      <c r="J770" s="43">
        <v>371275.04</v>
      </c>
      <c r="K770" s="43">
        <v>0</v>
      </c>
      <c r="L770" s="43">
        <v>371275.04</v>
      </c>
      <c r="M770" s="44">
        <v>0</v>
      </c>
      <c r="N770" s="44">
        <f t="shared" si="11"/>
        <v>371275.04</v>
      </c>
      <c r="O770" s="44">
        <v>371275.04</v>
      </c>
      <c r="P770" s="40" t="s">
        <v>5214</v>
      </c>
      <c r="Q770" s="40" t="s">
        <v>5215</v>
      </c>
      <c r="R770" s="40" t="s">
        <v>494</v>
      </c>
      <c r="S770" s="40" t="s">
        <v>502</v>
      </c>
      <c r="T770" s="40" t="s">
        <v>542</v>
      </c>
      <c r="U770" s="40" t="s">
        <v>5216</v>
      </c>
      <c r="V770" s="40" t="s">
        <v>5190</v>
      </c>
      <c r="W770" s="40" t="s">
        <v>5217</v>
      </c>
    </row>
    <row r="771" spans="1:23" ht="12" x14ac:dyDescent="0.2">
      <c r="A771" s="39" t="s">
        <v>825</v>
      </c>
      <c r="B771" s="40" t="s">
        <v>826</v>
      </c>
      <c r="C771" s="40" t="s">
        <v>5218</v>
      </c>
      <c r="D771" s="41">
        <v>46027</v>
      </c>
      <c r="E771" s="41">
        <v>46057</v>
      </c>
      <c r="F771" s="41">
        <v>46091</v>
      </c>
      <c r="G771" s="42">
        <v>34</v>
      </c>
      <c r="H771" s="40" t="s">
        <v>543</v>
      </c>
      <c r="I771" s="39" t="s">
        <v>320</v>
      </c>
      <c r="J771" s="43">
        <v>4198.5200000000004</v>
      </c>
      <c r="K771" s="43">
        <v>0</v>
      </c>
      <c r="L771" s="43">
        <v>4198.5200000000004</v>
      </c>
      <c r="M771" s="44">
        <v>0</v>
      </c>
      <c r="N771" s="44">
        <f t="shared" ref="N771:N834" si="12">IF(I771="GBP",L771-K771,O771-K771)</f>
        <v>4198.5200000000004</v>
      </c>
      <c r="O771" s="44">
        <v>4198.5200000000004</v>
      </c>
      <c r="P771" s="40" t="s">
        <v>2805</v>
      </c>
      <c r="Q771" s="40" t="s">
        <v>2806</v>
      </c>
      <c r="R771" s="40" t="s">
        <v>494</v>
      </c>
      <c r="S771" s="40" t="s">
        <v>502</v>
      </c>
      <c r="T771" s="40" t="s">
        <v>542</v>
      </c>
      <c r="U771" s="40" t="s">
        <v>5219</v>
      </c>
      <c r="V771" s="40"/>
      <c r="W771" s="40"/>
    </row>
    <row r="772" spans="1:23" ht="12" x14ac:dyDescent="0.2">
      <c r="A772" s="39" t="s">
        <v>825</v>
      </c>
      <c r="B772" s="40" t="s">
        <v>826</v>
      </c>
      <c r="C772" s="40" t="s">
        <v>5220</v>
      </c>
      <c r="D772" s="41">
        <v>46027</v>
      </c>
      <c r="E772" s="41">
        <v>46057</v>
      </c>
      <c r="F772" s="41">
        <v>46091</v>
      </c>
      <c r="G772" s="42">
        <v>34</v>
      </c>
      <c r="H772" s="40" t="s">
        <v>543</v>
      </c>
      <c r="I772" s="39" t="s">
        <v>320</v>
      </c>
      <c r="J772" s="43">
        <v>190271.04</v>
      </c>
      <c r="K772" s="43">
        <v>0</v>
      </c>
      <c r="L772" s="43">
        <v>190271.04</v>
      </c>
      <c r="M772" s="44">
        <v>0</v>
      </c>
      <c r="N772" s="44">
        <f t="shared" si="12"/>
        <v>190271.04</v>
      </c>
      <c r="O772" s="44">
        <v>190271.04</v>
      </c>
      <c r="P772" s="40" t="s">
        <v>2807</v>
      </c>
      <c r="Q772" s="40" t="s">
        <v>2808</v>
      </c>
      <c r="R772" s="40" t="s">
        <v>494</v>
      </c>
      <c r="S772" s="40" t="s">
        <v>502</v>
      </c>
      <c r="T772" s="40" t="s">
        <v>280</v>
      </c>
      <c r="U772" s="40" t="s">
        <v>559</v>
      </c>
      <c r="V772" s="40"/>
      <c r="W772" s="40"/>
    </row>
    <row r="773" spans="1:23" ht="12" x14ac:dyDescent="0.2">
      <c r="A773" s="39" t="s">
        <v>1237</v>
      </c>
      <c r="B773" s="40" t="s">
        <v>4901</v>
      </c>
      <c r="C773" s="40" t="s">
        <v>5221</v>
      </c>
      <c r="D773" s="41">
        <v>46027</v>
      </c>
      <c r="E773" s="41">
        <v>46057</v>
      </c>
      <c r="F773" s="41">
        <v>46091</v>
      </c>
      <c r="G773" s="42">
        <v>34</v>
      </c>
      <c r="H773" s="40" t="s">
        <v>543</v>
      </c>
      <c r="I773" s="39" t="s">
        <v>323</v>
      </c>
      <c r="J773" s="43">
        <v>60955.17</v>
      </c>
      <c r="K773" s="43">
        <v>0</v>
      </c>
      <c r="L773" s="43">
        <v>60955.17</v>
      </c>
      <c r="M773" s="44">
        <v>0</v>
      </c>
      <c r="N773" s="44">
        <f t="shared" si="12"/>
        <v>45151.98</v>
      </c>
      <c r="O773" s="44">
        <v>45151.98</v>
      </c>
      <c r="P773" s="40" t="s">
        <v>1236</v>
      </c>
      <c r="Q773" s="40" t="s">
        <v>5222</v>
      </c>
      <c r="R773" s="40" t="s">
        <v>494</v>
      </c>
      <c r="S773" s="40" t="s">
        <v>502</v>
      </c>
      <c r="T773" s="40" t="s">
        <v>330</v>
      </c>
      <c r="U773" s="40" t="s">
        <v>4090</v>
      </c>
      <c r="V773" s="40" t="s">
        <v>5223</v>
      </c>
      <c r="W773" s="40" t="s">
        <v>5224</v>
      </c>
    </row>
    <row r="774" spans="1:23" ht="12" x14ac:dyDescent="0.2">
      <c r="A774" s="39" t="s">
        <v>825</v>
      </c>
      <c r="B774" s="40" t="s">
        <v>826</v>
      </c>
      <c r="C774" s="40" t="s">
        <v>5225</v>
      </c>
      <c r="D774" s="41">
        <v>46027</v>
      </c>
      <c r="E774" s="41">
        <v>46057</v>
      </c>
      <c r="F774" s="41">
        <v>46091</v>
      </c>
      <c r="G774" s="42">
        <v>34</v>
      </c>
      <c r="H774" s="40" t="s">
        <v>543</v>
      </c>
      <c r="I774" s="39" t="s">
        <v>320</v>
      </c>
      <c r="J774" s="43">
        <v>213471.66</v>
      </c>
      <c r="K774" s="43">
        <v>0</v>
      </c>
      <c r="L774" s="43">
        <v>213471.66</v>
      </c>
      <c r="M774" s="44">
        <v>0</v>
      </c>
      <c r="N774" s="44">
        <f t="shared" si="12"/>
        <v>213471.66</v>
      </c>
      <c r="O774" s="44">
        <v>213471.66</v>
      </c>
      <c r="P774" s="40" t="s">
        <v>2781</v>
      </c>
      <c r="Q774" s="40" t="s">
        <v>2782</v>
      </c>
      <c r="R774" s="40" t="s">
        <v>494</v>
      </c>
      <c r="S774" s="40" t="s">
        <v>502</v>
      </c>
      <c r="T774" s="40" t="s">
        <v>514</v>
      </c>
      <c r="U774" s="40" t="s">
        <v>602</v>
      </c>
      <c r="V774" s="40"/>
      <c r="W774" s="40"/>
    </row>
    <row r="775" spans="1:23" ht="12" x14ac:dyDescent="0.2">
      <c r="A775" s="39" t="s">
        <v>825</v>
      </c>
      <c r="B775" s="40" t="s">
        <v>826</v>
      </c>
      <c r="C775" s="40" t="s">
        <v>5226</v>
      </c>
      <c r="D775" s="41">
        <v>46027</v>
      </c>
      <c r="E775" s="41">
        <v>46057</v>
      </c>
      <c r="F775" s="41">
        <v>46091</v>
      </c>
      <c r="G775" s="42">
        <v>34</v>
      </c>
      <c r="H775" s="40" t="s">
        <v>543</v>
      </c>
      <c r="I775" s="39" t="s">
        <v>320</v>
      </c>
      <c r="J775" s="43">
        <v>5271.54</v>
      </c>
      <c r="K775" s="43">
        <v>0</v>
      </c>
      <c r="L775" s="43">
        <v>5271.54</v>
      </c>
      <c r="M775" s="44">
        <v>0</v>
      </c>
      <c r="N775" s="44">
        <f t="shared" si="12"/>
        <v>5271.54</v>
      </c>
      <c r="O775" s="44">
        <v>5271.54</v>
      </c>
      <c r="P775" s="40" t="s">
        <v>2783</v>
      </c>
      <c r="Q775" s="40" t="s">
        <v>2784</v>
      </c>
      <c r="R775" s="40" t="s">
        <v>494</v>
      </c>
      <c r="S775" s="40" t="s">
        <v>502</v>
      </c>
      <c r="T775" s="40" t="s">
        <v>528</v>
      </c>
      <c r="U775" s="40" t="s">
        <v>1069</v>
      </c>
      <c r="V775" s="40"/>
      <c r="W775" s="40" t="s">
        <v>321</v>
      </c>
    </row>
    <row r="776" spans="1:23" ht="12" x14ac:dyDescent="0.2">
      <c r="A776" s="39" t="s">
        <v>825</v>
      </c>
      <c r="B776" s="40" t="s">
        <v>826</v>
      </c>
      <c r="C776" s="40" t="s">
        <v>5227</v>
      </c>
      <c r="D776" s="41">
        <v>46027</v>
      </c>
      <c r="E776" s="41">
        <v>46057</v>
      </c>
      <c r="F776" s="41">
        <v>46091</v>
      </c>
      <c r="G776" s="42">
        <v>34</v>
      </c>
      <c r="H776" s="40" t="s">
        <v>543</v>
      </c>
      <c r="I776" s="39" t="s">
        <v>320</v>
      </c>
      <c r="J776" s="43">
        <v>243918.39</v>
      </c>
      <c r="K776" s="43">
        <v>0</v>
      </c>
      <c r="L776" s="43">
        <v>243918.39</v>
      </c>
      <c r="M776" s="44">
        <v>0</v>
      </c>
      <c r="N776" s="44">
        <f t="shared" si="12"/>
        <v>243918.39</v>
      </c>
      <c r="O776" s="44">
        <v>243918.39</v>
      </c>
      <c r="P776" s="40" t="s">
        <v>2785</v>
      </c>
      <c r="Q776" s="40" t="s">
        <v>2786</v>
      </c>
      <c r="R776" s="40" t="s">
        <v>494</v>
      </c>
      <c r="S776" s="40" t="s">
        <v>502</v>
      </c>
      <c r="T776" s="40" t="s">
        <v>327</v>
      </c>
      <c r="U776" s="40" t="s">
        <v>1108</v>
      </c>
      <c r="V776" s="40"/>
      <c r="W776" s="40" t="s">
        <v>321</v>
      </c>
    </row>
    <row r="777" spans="1:23" ht="12" x14ac:dyDescent="0.2">
      <c r="A777" s="39" t="s">
        <v>825</v>
      </c>
      <c r="B777" s="40" t="s">
        <v>826</v>
      </c>
      <c r="C777" s="40" t="s">
        <v>5228</v>
      </c>
      <c r="D777" s="41">
        <v>46027</v>
      </c>
      <c r="E777" s="41">
        <v>46057</v>
      </c>
      <c r="F777" s="41">
        <v>46091</v>
      </c>
      <c r="G777" s="42">
        <v>34</v>
      </c>
      <c r="H777" s="40" t="s">
        <v>543</v>
      </c>
      <c r="I777" s="39" t="s">
        <v>320</v>
      </c>
      <c r="J777" s="43">
        <v>22171.63</v>
      </c>
      <c r="K777" s="43">
        <v>0</v>
      </c>
      <c r="L777" s="43">
        <v>22171.63</v>
      </c>
      <c r="M777" s="44">
        <v>0</v>
      </c>
      <c r="N777" s="44">
        <f t="shared" si="12"/>
        <v>22171.63</v>
      </c>
      <c r="O777" s="44">
        <v>22171.63</v>
      </c>
      <c r="P777" s="40" t="s">
        <v>2787</v>
      </c>
      <c r="Q777" s="40" t="s">
        <v>2788</v>
      </c>
      <c r="R777" s="40" t="s">
        <v>494</v>
      </c>
      <c r="S777" s="40" t="s">
        <v>502</v>
      </c>
      <c r="T777" s="40" t="s">
        <v>198</v>
      </c>
      <c r="U777" s="40" t="s">
        <v>1941</v>
      </c>
      <c r="V777" s="40"/>
      <c r="W777" s="40"/>
    </row>
    <row r="778" spans="1:23" ht="12" x14ac:dyDescent="0.2">
      <c r="A778" s="39" t="s">
        <v>27</v>
      </c>
      <c r="B778" s="40" t="s">
        <v>476</v>
      </c>
      <c r="C778" s="40" t="s">
        <v>5229</v>
      </c>
      <c r="D778" s="41">
        <v>46027</v>
      </c>
      <c r="E778" s="41">
        <v>46057</v>
      </c>
      <c r="F778" s="41">
        <v>46091</v>
      </c>
      <c r="G778" s="42">
        <v>34</v>
      </c>
      <c r="H778" s="40" t="s">
        <v>543</v>
      </c>
      <c r="I778" s="39" t="s">
        <v>320</v>
      </c>
      <c r="J778" s="43">
        <v>44346.09</v>
      </c>
      <c r="K778" s="43">
        <v>0</v>
      </c>
      <c r="L778" s="43">
        <v>38384.28</v>
      </c>
      <c r="M778" s="44">
        <v>0</v>
      </c>
      <c r="N778" s="44">
        <f t="shared" si="12"/>
        <v>38384.28</v>
      </c>
      <c r="O778" s="44">
        <v>38384.28</v>
      </c>
      <c r="P778" s="40" t="s">
        <v>5230</v>
      </c>
      <c r="Q778" s="40" t="s">
        <v>5231</v>
      </c>
      <c r="R778" s="40" t="s">
        <v>494</v>
      </c>
      <c r="S778" s="40" t="s">
        <v>502</v>
      </c>
      <c r="T778" s="40" t="s">
        <v>188</v>
      </c>
      <c r="U778" s="40" t="s">
        <v>5232</v>
      </c>
      <c r="V778" s="40" t="s">
        <v>5190</v>
      </c>
      <c r="W778" s="40" t="s">
        <v>5233</v>
      </c>
    </row>
    <row r="779" spans="1:23" ht="12" x14ac:dyDescent="0.2">
      <c r="A779" s="39" t="s">
        <v>1223</v>
      </c>
      <c r="B779" s="40" t="s">
        <v>1224</v>
      </c>
      <c r="C779" s="40" t="s">
        <v>5234</v>
      </c>
      <c r="D779" s="41">
        <v>46027</v>
      </c>
      <c r="E779" s="41">
        <v>46057</v>
      </c>
      <c r="F779" s="41">
        <v>46091</v>
      </c>
      <c r="G779" s="42">
        <v>34</v>
      </c>
      <c r="H779" s="40" t="s">
        <v>543</v>
      </c>
      <c r="I779" s="39" t="s">
        <v>323</v>
      </c>
      <c r="J779" s="43">
        <v>54160.68</v>
      </c>
      <c r="K779" s="43">
        <v>0</v>
      </c>
      <c r="L779" s="43">
        <v>54160.68</v>
      </c>
      <c r="M779" s="44">
        <v>0</v>
      </c>
      <c r="N779" s="44">
        <f t="shared" si="12"/>
        <v>40119.019999999997</v>
      </c>
      <c r="O779" s="44">
        <v>40119.019999999997</v>
      </c>
      <c r="P779" s="40" t="s">
        <v>1225</v>
      </c>
      <c r="Q779" s="40" t="s">
        <v>1226</v>
      </c>
      <c r="R779" s="40" t="s">
        <v>494</v>
      </c>
      <c r="S779" s="40" t="s">
        <v>502</v>
      </c>
      <c r="T779" s="40" t="s">
        <v>164</v>
      </c>
      <c r="U779" s="40" t="s">
        <v>623</v>
      </c>
      <c r="V779" s="40"/>
      <c r="W779" s="40" t="s">
        <v>1227</v>
      </c>
    </row>
    <row r="780" spans="1:23" ht="12" x14ac:dyDescent="0.2">
      <c r="A780" s="39" t="s">
        <v>2178</v>
      </c>
      <c r="B780" s="40" t="s">
        <v>2179</v>
      </c>
      <c r="C780" s="40" t="s">
        <v>5235</v>
      </c>
      <c r="D780" s="41">
        <v>46027</v>
      </c>
      <c r="E780" s="41">
        <v>46057</v>
      </c>
      <c r="F780" s="41">
        <v>46091</v>
      </c>
      <c r="G780" s="42">
        <v>34</v>
      </c>
      <c r="H780" s="40" t="s">
        <v>543</v>
      </c>
      <c r="I780" s="39" t="s">
        <v>320</v>
      </c>
      <c r="J780" s="43">
        <v>32530.18</v>
      </c>
      <c r="K780" s="43">
        <v>0</v>
      </c>
      <c r="L780" s="43">
        <v>32530.18</v>
      </c>
      <c r="M780" s="44">
        <v>0</v>
      </c>
      <c r="N780" s="44">
        <f t="shared" si="12"/>
        <v>32530.18</v>
      </c>
      <c r="O780" s="44">
        <v>32530.18</v>
      </c>
      <c r="P780" s="40" t="s">
        <v>5236</v>
      </c>
      <c r="Q780" s="40" t="s">
        <v>5237</v>
      </c>
      <c r="R780" s="40" t="s">
        <v>494</v>
      </c>
      <c r="S780" s="40" t="s">
        <v>502</v>
      </c>
      <c r="T780" s="40" t="s">
        <v>163</v>
      </c>
      <c r="U780" s="40" t="s">
        <v>2180</v>
      </c>
      <c r="V780" s="40"/>
      <c r="W780" s="40" t="s">
        <v>5238</v>
      </c>
    </row>
    <row r="781" spans="1:23" ht="12" x14ac:dyDescent="0.2">
      <c r="A781" s="39" t="s">
        <v>27</v>
      </c>
      <c r="B781" s="40" t="s">
        <v>476</v>
      </c>
      <c r="C781" s="40" t="s">
        <v>5239</v>
      </c>
      <c r="D781" s="41">
        <v>46027</v>
      </c>
      <c r="E781" s="41">
        <v>46057</v>
      </c>
      <c r="F781" s="41">
        <v>46091</v>
      </c>
      <c r="G781" s="42">
        <v>34</v>
      </c>
      <c r="H781" s="40" t="s">
        <v>543</v>
      </c>
      <c r="I781" s="39" t="s">
        <v>320</v>
      </c>
      <c r="J781" s="43">
        <v>181424.65</v>
      </c>
      <c r="K781" s="43">
        <v>0</v>
      </c>
      <c r="L781" s="43">
        <v>45496.44</v>
      </c>
      <c r="M781" s="44">
        <v>0</v>
      </c>
      <c r="N781" s="44">
        <f t="shared" si="12"/>
        <v>45496.44</v>
      </c>
      <c r="O781" s="44">
        <v>45496.44</v>
      </c>
      <c r="P781" s="40" t="s">
        <v>5240</v>
      </c>
      <c r="Q781" s="40" t="s">
        <v>5241</v>
      </c>
      <c r="R781" s="40" t="s">
        <v>494</v>
      </c>
      <c r="S781" s="40" t="s">
        <v>502</v>
      </c>
      <c r="T781" s="40" t="s">
        <v>507</v>
      </c>
      <c r="U781" s="40" t="s">
        <v>5242</v>
      </c>
      <c r="V781" s="40" t="s">
        <v>5190</v>
      </c>
      <c r="W781" s="40" t="s">
        <v>5243</v>
      </c>
    </row>
    <row r="782" spans="1:23" ht="12" x14ac:dyDescent="0.2">
      <c r="A782" s="39" t="s">
        <v>27</v>
      </c>
      <c r="B782" s="40" t="s">
        <v>476</v>
      </c>
      <c r="C782" s="40" t="s">
        <v>5244</v>
      </c>
      <c r="D782" s="41">
        <v>46027</v>
      </c>
      <c r="E782" s="41">
        <v>46057</v>
      </c>
      <c r="F782" s="41">
        <v>46091</v>
      </c>
      <c r="G782" s="42">
        <v>34</v>
      </c>
      <c r="H782" s="40" t="s">
        <v>543</v>
      </c>
      <c r="I782" s="39" t="s">
        <v>320</v>
      </c>
      <c r="J782" s="43">
        <v>90528.93</v>
      </c>
      <c r="K782" s="43">
        <v>0</v>
      </c>
      <c r="L782" s="43">
        <v>90528.93</v>
      </c>
      <c r="M782" s="44">
        <v>0</v>
      </c>
      <c r="N782" s="44">
        <f t="shared" si="12"/>
        <v>90528.93</v>
      </c>
      <c r="O782" s="44">
        <v>90528.93</v>
      </c>
      <c r="P782" s="40" t="s">
        <v>1381</v>
      </c>
      <c r="Q782" s="40" t="s">
        <v>1382</v>
      </c>
      <c r="R782" s="40" t="s">
        <v>494</v>
      </c>
      <c r="S782" s="40" t="s">
        <v>502</v>
      </c>
      <c r="T782" s="40" t="s">
        <v>330</v>
      </c>
      <c r="U782" s="40" t="s">
        <v>1383</v>
      </c>
      <c r="V782" s="40" t="s">
        <v>5190</v>
      </c>
      <c r="W782" s="40" t="s">
        <v>1384</v>
      </c>
    </row>
    <row r="783" spans="1:23" ht="12" x14ac:dyDescent="0.2">
      <c r="A783" s="39" t="s">
        <v>27</v>
      </c>
      <c r="B783" s="40" t="s">
        <v>476</v>
      </c>
      <c r="C783" s="40" t="s">
        <v>5245</v>
      </c>
      <c r="D783" s="41">
        <v>46027</v>
      </c>
      <c r="E783" s="41">
        <v>46057</v>
      </c>
      <c r="F783" s="41">
        <v>46091</v>
      </c>
      <c r="G783" s="42">
        <v>34</v>
      </c>
      <c r="H783" s="40" t="s">
        <v>543</v>
      </c>
      <c r="I783" s="39" t="s">
        <v>320</v>
      </c>
      <c r="J783" s="43">
        <v>133980.54</v>
      </c>
      <c r="K783" s="43">
        <v>0</v>
      </c>
      <c r="L783" s="43">
        <v>133980.54</v>
      </c>
      <c r="M783" s="44">
        <v>0</v>
      </c>
      <c r="N783" s="44">
        <f t="shared" si="12"/>
        <v>133980.54</v>
      </c>
      <c r="O783" s="44">
        <v>133980.54</v>
      </c>
      <c r="P783" s="40" t="s">
        <v>4094</v>
      </c>
      <c r="Q783" s="40" t="s">
        <v>4095</v>
      </c>
      <c r="R783" s="40" t="s">
        <v>494</v>
      </c>
      <c r="S783" s="40" t="s">
        <v>502</v>
      </c>
      <c r="T783" s="40" t="s">
        <v>330</v>
      </c>
      <c r="U783" s="40" t="s">
        <v>4096</v>
      </c>
      <c r="V783" s="40" t="s">
        <v>5190</v>
      </c>
      <c r="W783" s="40" t="s">
        <v>4097</v>
      </c>
    </row>
    <row r="784" spans="1:23" ht="12" x14ac:dyDescent="0.2">
      <c r="A784" s="39" t="s">
        <v>27</v>
      </c>
      <c r="B784" s="40" t="s">
        <v>476</v>
      </c>
      <c r="C784" s="40" t="s">
        <v>5246</v>
      </c>
      <c r="D784" s="41">
        <v>46027</v>
      </c>
      <c r="E784" s="41">
        <v>46057</v>
      </c>
      <c r="F784" s="41">
        <v>46091</v>
      </c>
      <c r="G784" s="42">
        <v>34</v>
      </c>
      <c r="H784" s="40" t="s">
        <v>543</v>
      </c>
      <c r="I784" s="39" t="s">
        <v>320</v>
      </c>
      <c r="J784" s="43">
        <v>464842.14</v>
      </c>
      <c r="K784" s="43">
        <v>0</v>
      </c>
      <c r="L784" s="43">
        <v>464842.14</v>
      </c>
      <c r="M784" s="44">
        <v>0</v>
      </c>
      <c r="N784" s="44">
        <f t="shared" si="12"/>
        <v>464842.14</v>
      </c>
      <c r="O784" s="44">
        <v>464842.14</v>
      </c>
      <c r="P784" s="40" t="s">
        <v>5247</v>
      </c>
      <c r="Q784" s="40" t="s">
        <v>5248</v>
      </c>
      <c r="R784" s="40" t="s">
        <v>494</v>
      </c>
      <c r="S784" s="40" t="s">
        <v>502</v>
      </c>
      <c r="T784" s="40" t="s">
        <v>330</v>
      </c>
      <c r="U784" s="40" t="s">
        <v>1386</v>
      </c>
      <c r="V784" s="40" t="s">
        <v>3828</v>
      </c>
      <c r="W784" s="40" t="s">
        <v>5249</v>
      </c>
    </row>
    <row r="785" spans="1:23" ht="12" x14ac:dyDescent="0.2">
      <c r="A785" s="39" t="s">
        <v>27</v>
      </c>
      <c r="B785" s="40" t="s">
        <v>476</v>
      </c>
      <c r="C785" s="40" t="s">
        <v>5250</v>
      </c>
      <c r="D785" s="41">
        <v>46027</v>
      </c>
      <c r="E785" s="41">
        <v>46057</v>
      </c>
      <c r="F785" s="41">
        <v>46091</v>
      </c>
      <c r="G785" s="42">
        <v>34</v>
      </c>
      <c r="H785" s="40" t="s">
        <v>543</v>
      </c>
      <c r="I785" s="39" t="s">
        <v>320</v>
      </c>
      <c r="J785" s="43">
        <v>18287.12</v>
      </c>
      <c r="K785" s="43">
        <v>0</v>
      </c>
      <c r="L785" s="43">
        <v>18003.330000000002</v>
      </c>
      <c r="M785" s="44">
        <v>0</v>
      </c>
      <c r="N785" s="44">
        <f t="shared" si="12"/>
        <v>18003.330000000002</v>
      </c>
      <c r="O785" s="44">
        <v>18003.330000000002</v>
      </c>
      <c r="P785" s="40" t="s">
        <v>1960</v>
      </c>
      <c r="Q785" s="40" t="s">
        <v>1961</v>
      </c>
      <c r="R785" s="40" t="s">
        <v>494</v>
      </c>
      <c r="S785" s="40" t="s">
        <v>502</v>
      </c>
      <c r="T785" s="40" t="s">
        <v>542</v>
      </c>
      <c r="U785" s="40" t="s">
        <v>1962</v>
      </c>
      <c r="V785" s="40" t="s">
        <v>5190</v>
      </c>
      <c r="W785" s="40" t="s">
        <v>1963</v>
      </c>
    </row>
    <row r="786" spans="1:23" ht="12" x14ac:dyDescent="0.2">
      <c r="A786" s="39" t="s">
        <v>27</v>
      </c>
      <c r="B786" s="40" t="s">
        <v>476</v>
      </c>
      <c r="C786" s="40" t="s">
        <v>5251</v>
      </c>
      <c r="D786" s="41">
        <v>46027</v>
      </c>
      <c r="E786" s="41">
        <v>46057</v>
      </c>
      <c r="F786" s="41">
        <v>46091</v>
      </c>
      <c r="G786" s="42">
        <v>34</v>
      </c>
      <c r="H786" s="40" t="s">
        <v>543</v>
      </c>
      <c r="I786" s="39" t="s">
        <v>320</v>
      </c>
      <c r="J786" s="43">
        <v>121558.68</v>
      </c>
      <c r="K786" s="43">
        <v>0</v>
      </c>
      <c r="L786" s="43">
        <v>119526.34</v>
      </c>
      <c r="M786" s="44">
        <v>0</v>
      </c>
      <c r="N786" s="44">
        <f t="shared" si="12"/>
        <v>119526.34</v>
      </c>
      <c r="O786" s="44">
        <v>119526.34</v>
      </c>
      <c r="P786" s="40" t="s">
        <v>5252</v>
      </c>
      <c r="Q786" s="40" t="s">
        <v>5253</v>
      </c>
      <c r="R786" s="40" t="s">
        <v>494</v>
      </c>
      <c r="S786" s="40" t="s">
        <v>502</v>
      </c>
      <c r="T786" s="40" t="s">
        <v>165</v>
      </c>
      <c r="U786" s="40" t="s">
        <v>5254</v>
      </c>
      <c r="V786" s="40" t="s">
        <v>5190</v>
      </c>
      <c r="W786" s="40" t="s">
        <v>5255</v>
      </c>
    </row>
    <row r="787" spans="1:23" ht="12" x14ac:dyDescent="0.2">
      <c r="A787" s="39" t="s">
        <v>27</v>
      </c>
      <c r="B787" s="40" t="s">
        <v>476</v>
      </c>
      <c r="C787" s="40" t="s">
        <v>5256</v>
      </c>
      <c r="D787" s="41">
        <v>46027</v>
      </c>
      <c r="E787" s="41">
        <v>46057</v>
      </c>
      <c r="F787" s="41">
        <v>46091</v>
      </c>
      <c r="G787" s="42">
        <v>34</v>
      </c>
      <c r="H787" s="40" t="s">
        <v>543</v>
      </c>
      <c r="I787" s="39" t="s">
        <v>320</v>
      </c>
      <c r="J787" s="43">
        <v>145079.74</v>
      </c>
      <c r="K787" s="43">
        <v>0</v>
      </c>
      <c r="L787" s="43">
        <v>47321.87</v>
      </c>
      <c r="M787" s="44">
        <v>0</v>
      </c>
      <c r="N787" s="44">
        <f t="shared" si="12"/>
        <v>47321.87</v>
      </c>
      <c r="O787" s="44">
        <v>47321.87</v>
      </c>
      <c r="P787" s="40" t="s">
        <v>5257</v>
      </c>
      <c r="Q787" s="40" t="s">
        <v>5258</v>
      </c>
      <c r="R787" s="40" t="s">
        <v>494</v>
      </c>
      <c r="S787" s="40" t="s">
        <v>502</v>
      </c>
      <c r="T787" s="40" t="s">
        <v>501</v>
      </c>
      <c r="U787" s="40" t="s">
        <v>1794</v>
      </c>
      <c r="V787" s="40" t="s">
        <v>5190</v>
      </c>
      <c r="W787" s="40" t="s">
        <v>5259</v>
      </c>
    </row>
    <row r="788" spans="1:23" ht="12" x14ac:dyDescent="0.2">
      <c r="A788" s="39" t="s">
        <v>27</v>
      </c>
      <c r="B788" s="40" t="s">
        <v>476</v>
      </c>
      <c r="C788" s="40" t="s">
        <v>5260</v>
      </c>
      <c r="D788" s="41">
        <v>46027</v>
      </c>
      <c r="E788" s="41">
        <v>46057</v>
      </c>
      <c r="F788" s="41">
        <v>46091</v>
      </c>
      <c r="G788" s="42">
        <v>34</v>
      </c>
      <c r="H788" s="40" t="s">
        <v>543</v>
      </c>
      <c r="I788" s="39" t="s">
        <v>320</v>
      </c>
      <c r="J788" s="43">
        <v>64792.21</v>
      </c>
      <c r="K788" s="43">
        <v>0</v>
      </c>
      <c r="L788" s="43">
        <v>15207.67</v>
      </c>
      <c r="M788" s="44">
        <v>0</v>
      </c>
      <c r="N788" s="44">
        <f t="shared" si="12"/>
        <v>15207.67</v>
      </c>
      <c r="O788" s="44">
        <v>15207.67</v>
      </c>
      <c r="P788" s="40" t="s">
        <v>5261</v>
      </c>
      <c r="Q788" s="40" t="s">
        <v>5262</v>
      </c>
      <c r="R788" s="40" t="s">
        <v>494</v>
      </c>
      <c r="S788" s="40" t="s">
        <v>502</v>
      </c>
      <c r="T788" s="40" t="s">
        <v>165</v>
      </c>
      <c r="U788" s="40" t="s">
        <v>5263</v>
      </c>
      <c r="V788" s="40" t="s">
        <v>5190</v>
      </c>
      <c r="W788" s="40" t="s">
        <v>5264</v>
      </c>
    </row>
    <row r="789" spans="1:23" ht="12" x14ac:dyDescent="0.2">
      <c r="A789" s="39" t="s">
        <v>27</v>
      </c>
      <c r="B789" s="40" t="s">
        <v>476</v>
      </c>
      <c r="C789" s="40" t="s">
        <v>5265</v>
      </c>
      <c r="D789" s="41">
        <v>46027</v>
      </c>
      <c r="E789" s="41">
        <v>46057</v>
      </c>
      <c r="F789" s="41">
        <v>46091</v>
      </c>
      <c r="G789" s="42">
        <v>34</v>
      </c>
      <c r="H789" s="40" t="s">
        <v>543</v>
      </c>
      <c r="I789" s="39" t="s">
        <v>320</v>
      </c>
      <c r="J789" s="43">
        <v>29813.43</v>
      </c>
      <c r="K789" s="43">
        <v>0</v>
      </c>
      <c r="L789" s="43">
        <v>17420.2</v>
      </c>
      <c r="M789" s="44">
        <v>0</v>
      </c>
      <c r="N789" s="44">
        <f t="shared" si="12"/>
        <v>17420.2</v>
      </c>
      <c r="O789" s="44">
        <v>17420.2</v>
      </c>
      <c r="P789" s="40" t="s">
        <v>5266</v>
      </c>
      <c r="Q789" s="40" t="s">
        <v>5267</v>
      </c>
      <c r="R789" s="40" t="s">
        <v>494</v>
      </c>
      <c r="S789" s="40" t="s">
        <v>502</v>
      </c>
      <c r="T789" s="40" t="s">
        <v>507</v>
      </c>
      <c r="U789" s="40" t="s">
        <v>5268</v>
      </c>
      <c r="V789" s="40" t="s">
        <v>5190</v>
      </c>
      <c r="W789" s="40" t="s">
        <v>5269</v>
      </c>
    </row>
    <row r="790" spans="1:23" ht="12" x14ac:dyDescent="0.2">
      <c r="A790" s="39" t="s">
        <v>27</v>
      </c>
      <c r="B790" s="40" t="s">
        <v>476</v>
      </c>
      <c r="C790" s="40" t="s">
        <v>5270</v>
      </c>
      <c r="D790" s="41">
        <v>46027</v>
      </c>
      <c r="E790" s="41">
        <v>46057</v>
      </c>
      <c r="F790" s="41">
        <v>46091</v>
      </c>
      <c r="G790" s="42">
        <v>34</v>
      </c>
      <c r="H790" s="40" t="s">
        <v>543</v>
      </c>
      <c r="I790" s="39" t="s">
        <v>320</v>
      </c>
      <c r="J790" s="43">
        <v>40227.75</v>
      </c>
      <c r="K790" s="43">
        <v>0</v>
      </c>
      <c r="L790" s="43">
        <v>10741.2</v>
      </c>
      <c r="M790" s="44">
        <v>0</v>
      </c>
      <c r="N790" s="44">
        <f t="shared" si="12"/>
        <v>10741.2</v>
      </c>
      <c r="O790" s="44">
        <v>10741.2</v>
      </c>
      <c r="P790" s="40" t="s">
        <v>5271</v>
      </c>
      <c r="Q790" s="40" t="s">
        <v>5272</v>
      </c>
      <c r="R790" s="40" t="s">
        <v>494</v>
      </c>
      <c r="S790" s="40" t="s">
        <v>502</v>
      </c>
      <c r="T790" s="40" t="s">
        <v>289</v>
      </c>
      <c r="U790" s="40" t="s">
        <v>5273</v>
      </c>
      <c r="V790" s="40" t="s">
        <v>5190</v>
      </c>
      <c r="W790" s="40" t="s">
        <v>5274</v>
      </c>
    </row>
    <row r="791" spans="1:23" ht="12" x14ac:dyDescent="0.2">
      <c r="A791" s="39" t="s">
        <v>27</v>
      </c>
      <c r="B791" s="40" t="s">
        <v>476</v>
      </c>
      <c r="C791" s="40" t="s">
        <v>5275</v>
      </c>
      <c r="D791" s="41">
        <v>46027</v>
      </c>
      <c r="E791" s="41">
        <v>46057</v>
      </c>
      <c r="F791" s="41">
        <v>46091</v>
      </c>
      <c r="G791" s="42">
        <v>34</v>
      </c>
      <c r="H791" s="40" t="s">
        <v>543</v>
      </c>
      <c r="I791" s="39" t="s">
        <v>320</v>
      </c>
      <c r="J791" s="43">
        <v>26132.65</v>
      </c>
      <c r="K791" s="43">
        <v>0</v>
      </c>
      <c r="L791" s="43">
        <v>10523.05</v>
      </c>
      <c r="M791" s="44">
        <v>0</v>
      </c>
      <c r="N791" s="44">
        <f t="shared" si="12"/>
        <v>10523.05</v>
      </c>
      <c r="O791" s="44">
        <v>10523.05</v>
      </c>
      <c r="P791" s="40" t="s">
        <v>5276</v>
      </c>
      <c r="Q791" s="40" t="s">
        <v>5277</v>
      </c>
      <c r="R791" s="40" t="s">
        <v>494</v>
      </c>
      <c r="S791" s="40" t="s">
        <v>502</v>
      </c>
      <c r="T791" s="40" t="s">
        <v>188</v>
      </c>
      <c r="U791" s="40" t="s">
        <v>5278</v>
      </c>
      <c r="V791" s="40" t="s">
        <v>5190</v>
      </c>
      <c r="W791" s="40" t="s">
        <v>5279</v>
      </c>
    </row>
    <row r="792" spans="1:23" ht="12" x14ac:dyDescent="0.2">
      <c r="A792" s="39" t="s">
        <v>825</v>
      </c>
      <c r="B792" s="40" t="s">
        <v>826</v>
      </c>
      <c r="C792" s="40" t="s">
        <v>5280</v>
      </c>
      <c r="D792" s="41">
        <v>46027</v>
      </c>
      <c r="E792" s="41">
        <v>46057</v>
      </c>
      <c r="F792" s="41">
        <v>46091</v>
      </c>
      <c r="G792" s="42">
        <v>34</v>
      </c>
      <c r="H792" s="40" t="s">
        <v>543</v>
      </c>
      <c r="I792" s="39" t="s">
        <v>320</v>
      </c>
      <c r="J792" s="43">
        <v>163491.65</v>
      </c>
      <c r="K792" s="43">
        <v>0</v>
      </c>
      <c r="L792" s="43">
        <v>163491.65</v>
      </c>
      <c r="M792" s="44">
        <v>0</v>
      </c>
      <c r="N792" s="44">
        <f t="shared" si="12"/>
        <v>163491.65</v>
      </c>
      <c r="O792" s="44">
        <v>163491.65</v>
      </c>
      <c r="P792" s="40" t="s">
        <v>2795</v>
      </c>
      <c r="Q792" s="40" t="s">
        <v>2796</v>
      </c>
      <c r="R792" s="40" t="s">
        <v>494</v>
      </c>
      <c r="S792" s="40" t="s">
        <v>502</v>
      </c>
      <c r="T792" s="40" t="s">
        <v>289</v>
      </c>
      <c r="U792" s="40" t="s">
        <v>555</v>
      </c>
      <c r="V792" s="40"/>
      <c r="W792" s="40"/>
    </row>
    <row r="793" spans="1:23" ht="12" x14ac:dyDescent="0.2">
      <c r="A793" s="39" t="s">
        <v>1594</v>
      </c>
      <c r="B793" s="40" t="s">
        <v>5281</v>
      </c>
      <c r="C793" s="40" t="s">
        <v>5282</v>
      </c>
      <c r="D793" s="41">
        <v>46028</v>
      </c>
      <c r="E793" s="41">
        <v>46058</v>
      </c>
      <c r="F793" s="41">
        <v>46091</v>
      </c>
      <c r="G793" s="42">
        <v>33</v>
      </c>
      <c r="H793" s="40" t="s">
        <v>543</v>
      </c>
      <c r="I793" s="39" t="s">
        <v>320</v>
      </c>
      <c r="J793" s="43">
        <v>30890.97</v>
      </c>
      <c r="K793" s="43">
        <v>0</v>
      </c>
      <c r="L793" s="43">
        <v>30890.97</v>
      </c>
      <c r="M793" s="44">
        <v>0</v>
      </c>
      <c r="N793" s="44">
        <f t="shared" si="12"/>
        <v>30890.97</v>
      </c>
      <c r="O793" s="44">
        <v>30890.97</v>
      </c>
      <c r="P793" s="40" t="s">
        <v>5283</v>
      </c>
      <c r="Q793" s="40" t="s">
        <v>5284</v>
      </c>
      <c r="R793" s="40" t="s">
        <v>494</v>
      </c>
      <c r="S793" s="40" t="s">
        <v>502</v>
      </c>
      <c r="T793" s="40" t="s">
        <v>305</v>
      </c>
      <c r="U793" s="40" t="s">
        <v>5285</v>
      </c>
      <c r="V793" s="40"/>
      <c r="W793" s="40" t="s">
        <v>5286</v>
      </c>
    </row>
    <row r="794" spans="1:23" ht="12" x14ac:dyDescent="0.2">
      <c r="A794" s="39" t="s">
        <v>5287</v>
      </c>
      <c r="B794" s="40" t="s">
        <v>5288</v>
      </c>
      <c r="C794" s="40" t="s">
        <v>5289</v>
      </c>
      <c r="D794" s="41">
        <v>46028</v>
      </c>
      <c r="E794" s="41">
        <v>46058</v>
      </c>
      <c r="F794" s="41">
        <v>46091</v>
      </c>
      <c r="G794" s="42">
        <v>33</v>
      </c>
      <c r="H794" s="40" t="s">
        <v>543</v>
      </c>
      <c r="I794" s="39" t="s">
        <v>323</v>
      </c>
      <c r="J794" s="43">
        <v>161015.70000000001</v>
      </c>
      <c r="K794" s="43">
        <v>0</v>
      </c>
      <c r="L794" s="43">
        <v>161015.70000000001</v>
      </c>
      <c r="M794" s="44">
        <v>0</v>
      </c>
      <c r="N794" s="44">
        <f t="shared" si="12"/>
        <v>119270.89</v>
      </c>
      <c r="O794" s="44">
        <v>119270.89</v>
      </c>
      <c r="P794" s="40" t="s">
        <v>5290</v>
      </c>
      <c r="Q794" s="40" t="s">
        <v>5291</v>
      </c>
      <c r="R794" s="40" t="s">
        <v>494</v>
      </c>
      <c r="S794" s="40" t="s">
        <v>495</v>
      </c>
      <c r="T794" s="40" t="s">
        <v>330</v>
      </c>
      <c r="U794" s="40" t="s">
        <v>3670</v>
      </c>
      <c r="V794" s="40"/>
      <c r="W794" s="40" t="s">
        <v>5292</v>
      </c>
    </row>
    <row r="795" spans="1:23" ht="12" x14ac:dyDescent="0.2">
      <c r="A795" s="39" t="s">
        <v>1594</v>
      </c>
      <c r="B795" s="40" t="s">
        <v>5281</v>
      </c>
      <c r="C795" s="40" t="s">
        <v>5293</v>
      </c>
      <c r="D795" s="41">
        <v>46028</v>
      </c>
      <c r="E795" s="41">
        <v>46058</v>
      </c>
      <c r="F795" s="41">
        <v>46091</v>
      </c>
      <c r="G795" s="42">
        <v>33</v>
      </c>
      <c r="H795" s="40" t="s">
        <v>543</v>
      </c>
      <c r="I795" s="39" t="s">
        <v>320</v>
      </c>
      <c r="J795" s="43">
        <v>24884.31</v>
      </c>
      <c r="K795" s="43">
        <v>0</v>
      </c>
      <c r="L795" s="43">
        <v>24884.31</v>
      </c>
      <c r="M795" s="44">
        <v>0</v>
      </c>
      <c r="N795" s="44">
        <f t="shared" si="12"/>
        <v>24884.31</v>
      </c>
      <c r="O795" s="44">
        <v>24884.31</v>
      </c>
      <c r="P795" s="40" t="s">
        <v>5294</v>
      </c>
      <c r="Q795" s="40" t="s">
        <v>5295</v>
      </c>
      <c r="R795" s="40" t="s">
        <v>494</v>
      </c>
      <c r="S795" s="40" t="s">
        <v>502</v>
      </c>
      <c r="T795" s="40" t="s">
        <v>496</v>
      </c>
      <c r="U795" s="40" t="s">
        <v>1990</v>
      </c>
      <c r="V795" s="40"/>
      <c r="W795" s="40" t="s">
        <v>5296</v>
      </c>
    </row>
    <row r="796" spans="1:23" ht="12" x14ac:dyDescent="0.2">
      <c r="A796" s="39" t="s">
        <v>2178</v>
      </c>
      <c r="B796" s="40" t="s">
        <v>2179</v>
      </c>
      <c r="C796" s="40" t="s">
        <v>5297</v>
      </c>
      <c r="D796" s="41">
        <v>46028</v>
      </c>
      <c r="E796" s="41">
        <v>46058</v>
      </c>
      <c r="F796" s="41">
        <v>46091</v>
      </c>
      <c r="G796" s="42">
        <v>33</v>
      </c>
      <c r="H796" s="40" t="s">
        <v>543</v>
      </c>
      <c r="I796" s="39" t="s">
        <v>320</v>
      </c>
      <c r="J796" s="43">
        <v>25412.55</v>
      </c>
      <c r="K796" s="43">
        <v>0</v>
      </c>
      <c r="L796" s="43">
        <v>25412.55</v>
      </c>
      <c r="M796" s="44">
        <v>0</v>
      </c>
      <c r="N796" s="44">
        <f t="shared" si="12"/>
        <v>25412.55</v>
      </c>
      <c r="O796" s="44">
        <v>25412.55</v>
      </c>
      <c r="P796" s="40" t="s">
        <v>2453</v>
      </c>
      <c r="Q796" s="40" t="s">
        <v>2454</v>
      </c>
      <c r="R796" s="40" t="s">
        <v>494</v>
      </c>
      <c r="S796" s="40" t="s">
        <v>502</v>
      </c>
      <c r="T796" s="40" t="s">
        <v>218</v>
      </c>
      <c r="U796" s="40" t="s">
        <v>600</v>
      </c>
      <c r="V796" s="40"/>
      <c r="W796" s="40" t="s">
        <v>2455</v>
      </c>
    </row>
    <row r="797" spans="1:23" ht="12" x14ac:dyDescent="0.2">
      <c r="A797" s="39" t="s">
        <v>337</v>
      </c>
      <c r="B797" s="40" t="s">
        <v>336</v>
      </c>
      <c r="C797" s="40" t="s">
        <v>5298</v>
      </c>
      <c r="D797" s="41">
        <v>46028</v>
      </c>
      <c r="E797" s="41">
        <v>46058</v>
      </c>
      <c r="F797" s="41">
        <v>46091</v>
      </c>
      <c r="G797" s="42">
        <v>33</v>
      </c>
      <c r="H797" s="40" t="s">
        <v>543</v>
      </c>
      <c r="I797" s="39" t="s">
        <v>320</v>
      </c>
      <c r="J797" s="43">
        <v>15567.1</v>
      </c>
      <c r="K797" s="43">
        <v>0</v>
      </c>
      <c r="L797" s="43">
        <v>66.28</v>
      </c>
      <c r="M797" s="44">
        <v>0</v>
      </c>
      <c r="N797" s="44">
        <f t="shared" si="12"/>
        <v>66.28</v>
      </c>
      <c r="O797" s="44">
        <v>66.28</v>
      </c>
      <c r="P797" s="40" t="s">
        <v>5299</v>
      </c>
      <c r="Q797" s="40" t="s">
        <v>5300</v>
      </c>
      <c r="R797" s="40" t="s">
        <v>494</v>
      </c>
      <c r="S797" s="40" t="s">
        <v>502</v>
      </c>
      <c r="T797" s="40" t="s">
        <v>289</v>
      </c>
      <c r="U797" s="40" t="s">
        <v>1095</v>
      </c>
      <c r="V797" s="40"/>
      <c r="W797" s="40" t="s">
        <v>5301</v>
      </c>
    </row>
    <row r="798" spans="1:23" ht="12" x14ac:dyDescent="0.2">
      <c r="A798" s="39" t="s">
        <v>1545</v>
      </c>
      <c r="B798" s="40" t="s">
        <v>5302</v>
      </c>
      <c r="C798" s="40" t="s">
        <v>5303</v>
      </c>
      <c r="D798" s="41">
        <v>46029</v>
      </c>
      <c r="E798" s="41">
        <v>46059</v>
      </c>
      <c r="F798" s="41">
        <v>46091</v>
      </c>
      <c r="G798" s="42">
        <v>32</v>
      </c>
      <c r="H798" s="40" t="s">
        <v>543</v>
      </c>
      <c r="I798" s="39" t="s">
        <v>323</v>
      </c>
      <c r="J798" s="43">
        <v>26325.9</v>
      </c>
      <c r="K798" s="43">
        <v>0</v>
      </c>
      <c r="L798" s="43">
        <v>26325.9</v>
      </c>
      <c r="M798" s="44">
        <v>0</v>
      </c>
      <c r="N798" s="44">
        <f t="shared" si="12"/>
        <v>18155.79</v>
      </c>
      <c r="O798" s="44">
        <v>18155.79</v>
      </c>
      <c r="P798" s="40" t="s">
        <v>5304</v>
      </c>
      <c r="Q798" s="40" t="s">
        <v>5305</v>
      </c>
      <c r="R798" s="40" t="s">
        <v>494</v>
      </c>
      <c r="S798" s="40" t="s">
        <v>502</v>
      </c>
      <c r="T798" s="40" t="s">
        <v>191</v>
      </c>
      <c r="U798" s="40" t="s">
        <v>567</v>
      </c>
      <c r="V798" s="40"/>
      <c r="W798" s="40" t="s">
        <v>321</v>
      </c>
    </row>
    <row r="799" spans="1:23" ht="12" x14ac:dyDescent="0.2">
      <c r="A799" s="39" t="s">
        <v>2178</v>
      </c>
      <c r="B799" s="40" t="s">
        <v>2179</v>
      </c>
      <c r="C799" s="40" t="s">
        <v>5306</v>
      </c>
      <c r="D799" s="41">
        <v>46029</v>
      </c>
      <c r="E799" s="41">
        <v>46059</v>
      </c>
      <c r="F799" s="41">
        <v>46091</v>
      </c>
      <c r="G799" s="42">
        <v>32</v>
      </c>
      <c r="H799" s="40" t="s">
        <v>543</v>
      </c>
      <c r="I799" s="39" t="s">
        <v>320</v>
      </c>
      <c r="J799" s="43">
        <v>-868.25</v>
      </c>
      <c r="K799" s="43">
        <v>0</v>
      </c>
      <c r="L799" s="43">
        <v>-868.25</v>
      </c>
      <c r="M799" s="44">
        <v>0</v>
      </c>
      <c r="N799" s="44">
        <f t="shared" si="12"/>
        <v>-868.25</v>
      </c>
      <c r="O799" s="44">
        <v>-868.25</v>
      </c>
      <c r="P799" s="40" t="s">
        <v>4794</v>
      </c>
      <c r="Q799" s="40" t="s">
        <v>4795</v>
      </c>
      <c r="R799" s="40" t="s">
        <v>494</v>
      </c>
      <c r="S799" s="40" t="s">
        <v>502</v>
      </c>
      <c r="T799" s="40" t="s">
        <v>218</v>
      </c>
      <c r="U799" s="40" t="s">
        <v>1908</v>
      </c>
      <c r="V799" s="40"/>
      <c r="W799" s="40" t="s">
        <v>4796</v>
      </c>
    </row>
    <row r="800" spans="1:23" ht="12" x14ac:dyDescent="0.2">
      <c r="A800" s="39" t="s">
        <v>467</v>
      </c>
      <c r="B800" s="40" t="s">
        <v>466</v>
      </c>
      <c r="C800" s="40" t="s">
        <v>5307</v>
      </c>
      <c r="D800" s="41">
        <v>46029</v>
      </c>
      <c r="E800" s="41">
        <v>46059</v>
      </c>
      <c r="F800" s="41">
        <v>46091</v>
      </c>
      <c r="G800" s="42">
        <v>32</v>
      </c>
      <c r="H800" s="40" t="s">
        <v>543</v>
      </c>
      <c r="I800" s="39" t="s">
        <v>320</v>
      </c>
      <c r="J800" s="43">
        <v>22180.35</v>
      </c>
      <c r="K800" s="43">
        <v>0</v>
      </c>
      <c r="L800" s="43">
        <v>22180.35</v>
      </c>
      <c r="M800" s="44">
        <v>0</v>
      </c>
      <c r="N800" s="44">
        <f t="shared" si="12"/>
        <v>22180.35</v>
      </c>
      <c r="O800" s="44">
        <v>22180.35</v>
      </c>
      <c r="P800" s="40" t="s">
        <v>5308</v>
      </c>
      <c r="Q800" s="40" t="s">
        <v>5309</v>
      </c>
      <c r="R800" s="40" t="s">
        <v>494</v>
      </c>
      <c r="S800" s="40" t="s">
        <v>495</v>
      </c>
      <c r="T800" s="40" t="s">
        <v>203</v>
      </c>
      <c r="U800" s="40" t="s">
        <v>5310</v>
      </c>
      <c r="V800" s="40"/>
      <c r="W800" s="40" t="s">
        <v>5311</v>
      </c>
    </row>
    <row r="801" spans="1:23" ht="12" x14ac:dyDescent="0.2">
      <c r="A801" s="39" t="s">
        <v>2178</v>
      </c>
      <c r="B801" s="40" t="s">
        <v>2179</v>
      </c>
      <c r="C801" s="40" t="s">
        <v>5312</v>
      </c>
      <c r="D801" s="41">
        <v>46029</v>
      </c>
      <c r="E801" s="41">
        <v>46059</v>
      </c>
      <c r="F801" s="41">
        <v>46091</v>
      </c>
      <c r="G801" s="42">
        <v>32</v>
      </c>
      <c r="H801" s="40" t="s">
        <v>543</v>
      </c>
      <c r="I801" s="39" t="s">
        <v>320</v>
      </c>
      <c r="J801" s="43">
        <v>12434.19</v>
      </c>
      <c r="K801" s="43">
        <v>0</v>
      </c>
      <c r="L801" s="43">
        <v>12434.19</v>
      </c>
      <c r="M801" s="44">
        <v>0</v>
      </c>
      <c r="N801" s="44">
        <f t="shared" si="12"/>
        <v>12434.19</v>
      </c>
      <c r="O801" s="44">
        <v>12434.19</v>
      </c>
      <c r="P801" s="40" t="s">
        <v>3397</v>
      </c>
      <c r="Q801" s="40" t="s">
        <v>3398</v>
      </c>
      <c r="R801" s="40" t="s">
        <v>494</v>
      </c>
      <c r="S801" s="40" t="s">
        <v>502</v>
      </c>
      <c r="T801" s="40" t="s">
        <v>773</v>
      </c>
      <c r="U801" s="40" t="s">
        <v>1940</v>
      </c>
      <c r="V801" s="40"/>
      <c r="W801" s="40" t="s">
        <v>3399</v>
      </c>
    </row>
    <row r="802" spans="1:23" ht="12" x14ac:dyDescent="0.2">
      <c r="A802" s="39" t="s">
        <v>2580</v>
      </c>
      <c r="B802" s="40" t="s">
        <v>2581</v>
      </c>
      <c r="C802" s="40" t="s">
        <v>5313</v>
      </c>
      <c r="D802" s="41">
        <v>46029</v>
      </c>
      <c r="E802" s="41">
        <v>46059</v>
      </c>
      <c r="F802" s="41">
        <v>46091</v>
      </c>
      <c r="G802" s="42">
        <v>32</v>
      </c>
      <c r="H802" s="40" t="s">
        <v>543</v>
      </c>
      <c r="I802" s="39" t="s">
        <v>323</v>
      </c>
      <c r="J802" s="43">
        <v>3621.94</v>
      </c>
      <c r="K802" s="43">
        <v>0</v>
      </c>
      <c r="L802" s="43">
        <v>3621.94</v>
      </c>
      <c r="M802" s="44">
        <v>0</v>
      </c>
      <c r="N802" s="44">
        <f t="shared" si="12"/>
        <v>2682.92</v>
      </c>
      <c r="O802" s="44">
        <v>2682.92</v>
      </c>
      <c r="P802" s="40" t="s">
        <v>3471</v>
      </c>
      <c r="Q802" s="40" t="s">
        <v>3472</v>
      </c>
      <c r="R802" s="40" t="s">
        <v>494</v>
      </c>
      <c r="S802" s="40" t="s">
        <v>495</v>
      </c>
      <c r="T802" s="40" t="s">
        <v>542</v>
      </c>
      <c r="U802" s="40" t="s">
        <v>3473</v>
      </c>
      <c r="V802" s="40"/>
      <c r="W802" s="40" t="s">
        <v>3474</v>
      </c>
    </row>
    <row r="803" spans="1:23" ht="12" x14ac:dyDescent="0.2">
      <c r="A803" s="39" t="s">
        <v>2178</v>
      </c>
      <c r="B803" s="40" t="s">
        <v>2179</v>
      </c>
      <c r="C803" s="40" t="s">
        <v>5314</v>
      </c>
      <c r="D803" s="41">
        <v>46029</v>
      </c>
      <c r="E803" s="41">
        <v>46059</v>
      </c>
      <c r="F803" s="41">
        <v>46091</v>
      </c>
      <c r="G803" s="42">
        <v>32</v>
      </c>
      <c r="H803" s="40" t="s">
        <v>543</v>
      </c>
      <c r="I803" s="39" t="s">
        <v>320</v>
      </c>
      <c r="J803" s="43">
        <v>-30320.880000000001</v>
      </c>
      <c r="K803" s="43">
        <v>0</v>
      </c>
      <c r="L803" s="43">
        <v>-30320.880000000001</v>
      </c>
      <c r="M803" s="44">
        <v>0</v>
      </c>
      <c r="N803" s="44">
        <f t="shared" si="12"/>
        <v>-30320.880000000001</v>
      </c>
      <c r="O803" s="44">
        <v>-30320.880000000001</v>
      </c>
      <c r="P803" s="40" t="s">
        <v>5315</v>
      </c>
      <c r="Q803" s="40" t="s">
        <v>5316</v>
      </c>
      <c r="R803" s="40" t="s">
        <v>494</v>
      </c>
      <c r="S803" s="40" t="s">
        <v>502</v>
      </c>
      <c r="T803" s="40" t="s">
        <v>218</v>
      </c>
      <c r="U803" s="40" t="s">
        <v>4988</v>
      </c>
      <c r="V803" s="40"/>
      <c r="W803" s="40" t="s">
        <v>5317</v>
      </c>
    </row>
    <row r="804" spans="1:23" ht="12" x14ac:dyDescent="0.2">
      <c r="A804" s="39" t="s">
        <v>5318</v>
      </c>
      <c r="B804" s="40" t="s">
        <v>5319</v>
      </c>
      <c r="C804" s="40" t="s">
        <v>5320</v>
      </c>
      <c r="D804" s="41">
        <v>46029</v>
      </c>
      <c r="E804" s="41">
        <v>46059</v>
      </c>
      <c r="F804" s="41">
        <v>46091</v>
      </c>
      <c r="G804" s="42">
        <v>32</v>
      </c>
      <c r="H804" s="40" t="s">
        <v>543</v>
      </c>
      <c r="I804" s="39" t="s">
        <v>320</v>
      </c>
      <c r="J804" s="43">
        <v>60000</v>
      </c>
      <c r="K804" s="43">
        <v>10000</v>
      </c>
      <c r="L804" s="43">
        <v>60000</v>
      </c>
      <c r="M804" s="44">
        <v>10000</v>
      </c>
      <c r="N804" s="44">
        <f t="shared" si="12"/>
        <v>50000</v>
      </c>
      <c r="O804" s="44">
        <v>60000</v>
      </c>
      <c r="P804" s="40" t="s">
        <v>5321</v>
      </c>
      <c r="Q804" s="40" t="s">
        <v>5322</v>
      </c>
      <c r="R804" s="40" t="s">
        <v>494</v>
      </c>
      <c r="S804" s="40" t="s">
        <v>502</v>
      </c>
      <c r="T804" s="40" t="s">
        <v>363</v>
      </c>
      <c r="U804" s="40" t="s">
        <v>5323</v>
      </c>
      <c r="V804" s="40" t="s">
        <v>5324</v>
      </c>
      <c r="W804" s="40" t="s">
        <v>5325</v>
      </c>
    </row>
    <row r="805" spans="1:23" ht="12" x14ac:dyDescent="0.2">
      <c r="A805" s="39" t="s">
        <v>742</v>
      </c>
      <c r="B805" s="40" t="s">
        <v>743</v>
      </c>
      <c r="C805" s="40" t="s">
        <v>5326</v>
      </c>
      <c r="D805" s="41">
        <v>46030</v>
      </c>
      <c r="E805" s="41">
        <v>46060</v>
      </c>
      <c r="F805" s="41">
        <v>46091</v>
      </c>
      <c r="G805" s="42">
        <v>31</v>
      </c>
      <c r="H805" s="40" t="s">
        <v>543</v>
      </c>
      <c r="I805" s="39" t="s">
        <v>323</v>
      </c>
      <c r="J805" s="43">
        <v>1228056.0900000001</v>
      </c>
      <c r="K805" s="43">
        <v>0</v>
      </c>
      <c r="L805" s="43">
        <v>1228056.0900000001</v>
      </c>
      <c r="M805" s="44">
        <v>0</v>
      </c>
      <c r="N805" s="44">
        <f t="shared" si="12"/>
        <v>922178.65</v>
      </c>
      <c r="O805" s="44">
        <v>922178.65</v>
      </c>
      <c r="P805" s="40" t="s">
        <v>5327</v>
      </c>
      <c r="Q805" s="40" t="s">
        <v>5328</v>
      </c>
      <c r="R805" s="40" t="s">
        <v>494</v>
      </c>
      <c r="S805" s="40" t="s">
        <v>502</v>
      </c>
      <c r="T805" s="40" t="s">
        <v>284</v>
      </c>
      <c r="U805" s="40" t="s">
        <v>1096</v>
      </c>
      <c r="V805" s="40" t="s">
        <v>5329</v>
      </c>
      <c r="W805" s="40"/>
    </row>
    <row r="806" spans="1:23" ht="12" x14ac:dyDescent="0.2">
      <c r="A806" s="39" t="s">
        <v>5330</v>
      </c>
      <c r="B806" s="40" t="s">
        <v>5331</v>
      </c>
      <c r="C806" s="40" t="s">
        <v>5332</v>
      </c>
      <c r="D806" s="41">
        <v>46030</v>
      </c>
      <c r="E806" s="41">
        <v>46060</v>
      </c>
      <c r="F806" s="41">
        <v>46091</v>
      </c>
      <c r="G806" s="42">
        <v>31</v>
      </c>
      <c r="H806" s="40" t="s">
        <v>543</v>
      </c>
      <c r="I806" s="39" t="s">
        <v>323</v>
      </c>
      <c r="J806" s="43">
        <v>-151.97999999999999</v>
      </c>
      <c r="K806" s="43">
        <v>0</v>
      </c>
      <c r="L806" s="43">
        <v>-151.97999999999999</v>
      </c>
      <c r="M806" s="44">
        <v>0</v>
      </c>
      <c r="N806" s="44">
        <f t="shared" si="12"/>
        <v>-108.56</v>
      </c>
      <c r="O806" s="44">
        <v>-108.56</v>
      </c>
      <c r="P806" s="40" t="s">
        <v>5333</v>
      </c>
      <c r="Q806" s="40" t="s">
        <v>5334</v>
      </c>
      <c r="R806" s="40" t="s">
        <v>494</v>
      </c>
      <c r="S806" s="40" t="s">
        <v>495</v>
      </c>
      <c r="T806" s="40" t="s">
        <v>496</v>
      </c>
      <c r="U806" s="40" t="s">
        <v>2715</v>
      </c>
      <c r="V806" s="40"/>
      <c r="W806" s="40" t="s">
        <v>5335</v>
      </c>
    </row>
    <row r="807" spans="1:23" ht="12" x14ac:dyDescent="0.2">
      <c r="A807" s="39" t="s">
        <v>2178</v>
      </c>
      <c r="B807" s="40" t="s">
        <v>2179</v>
      </c>
      <c r="C807" s="40" t="s">
        <v>5336</v>
      </c>
      <c r="D807" s="41">
        <v>46030</v>
      </c>
      <c r="E807" s="41">
        <v>46060</v>
      </c>
      <c r="F807" s="41">
        <v>46091</v>
      </c>
      <c r="G807" s="42">
        <v>31</v>
      </c>
      <c r="H807" s="40" t="s">
        <v>543</v>
      </c>
      <c r="I807" s="39" t="s">
        <v>320</v>
      </c>
      <c r="J807" s="43">
        <v>-30476.83</v>
      </c>
      <c r="K807" s="43">
        <v>0</v>
      </c>
      <c r="L807" s="43">
        <v>-30476.83</v>
      </c>
      <c r="M807" s="44">
        <v>0</v>
      </c>
      <c r="N807" s="44">
        <f t="shared" si="12"/>
        <v>-30476.83</v>
      </c>
      <c r="O807" s="44">
        <v>-30476.83</v>
      </c>
      <c r="P807" s="40" t="s">
        <v>5337</v>
      </c>
      <c r="Q807" s="40" t="s">
        <v>5338</v>
      </c>
      <c r="R807" s="40" t="s">
        <v>494</v>
      </c>
      <c r="S807" s="40" t="s">
        <v>502</v>
      </c>
      <c r="T807" s="40" t="s">
        <v>163</v>
      </c>
      <c r="U807" s="40" t="s">
        <v>5339</v>
      </c>
      <c r="V807" s="40"/>
      <c r="W807" s="40" t="s">
        <v>5340</v>
      </c>
    </row>
    <row r="808" spans="1:23" ht="12" x14ac:dyDescent="0.2">
      <c r="A808" s="39" t="s">
        <v>31</v>
      </c>
      <c r="B808" s="40" t="s">
        <v>353</v>
      </c>
      <c r="C808" s="40" t="s">
        <v>5341</v>
      </c>
      <c r="D808" s="41">
        <v>46030</v>
      </c>
      <c r="E808" s="41">
        <v>46060</v>
      </c>
      <c r="F808" s="41">
        <v>46091</v>
      </c>
      <c r="G808" s="42">
        <v>31</v>
      </c>
      <c r="H808" s="40" t="s">
        <v>543</v>
      </c>
      <c r="I808" s="39" t="s">
        <v>320</v>
      </c>
      <c r="J808" s="43">
        <v>31421.88</v>
      </c>
      <c r="K808" s="43">
        <v>0</v>
      </c>
      <c r="L808" s="43">
        <v>31421.88</v>
      </c>
      <c r="M808" s="44">
        <v>0</v>
      </c>
      <c r="N808" s="44">
        <f t="shared" si="12"/>
        <v>31421.88</v>
      </c>
      <c r="O808" s="44">
        <v>31421.88</v>
      </c>
      <c r="P808" s="40" t="s">
        <v>5342</v>
      </c>
      <c r="Q808" s="40" t="s">
        <v>5343</v>
      </c>
      <c r="R808" s="40" t="s">
        <v>494</v>
      </c>
      <c r="S808" s="40" t="s">
        <v>495</v>
      </c>
      <c r="T808" s="40" t="s">
        <v>220</v>
      </c>
      <c r="U808" s="40" t="s">
        <v>5344</v>
      </c>
      <c r="V808" s="40"/>
      <c r="W808" s="40" t="s">
        <v>5345</v>
      </c>
    </row>
    <row r="809" spans="1:23" ht="12" x14ac:dyDescent="0.2">
      <c r="A809" s="39" t="s">
        <v>1070</v>
      </c>
      <c r="B809" s="40" t="s">
        <v>364</v>
      </c>
      <c r="C809" s="40" t="s">
        <v>5346</v>
      </c>
      <c r="D809" s="41">
        <v>46030</v>
      </c>
      <c r="E809" s="41">
        <v>46060</v>
      </c>
      <c r="F809" s="41">
        <v>46091</v>
      </c>
      <c r="G809" s="42">
        <v>31</v>
      </c>
      <c r="H809" s="40" t="s">
        <v>543</v>
      </c>
      <c r="I809" s="39" t="s">
        <v>320</v>
      </c>
      <c r="J809" s="43">
        <v>71571.490000000005</v>
      </c>
      <c r="K809" s="43">
        <v>0</v>
      </c>
      <c r="L809" s="43">
        <v>71571.490000000005</v>
      </c>
      <c r="M809" s="44">
        <v>0</v>
      </c>
      <c r="N809" s="44">
        <f t="shared" si="12"/>
        <v>71571.490000000005</v>
      </c>
      <c r="O809" s="44">
        <v>71571.490000000005</v>
      </c>
      <c r="P809" s="40" t="s">
        <v>5347</v>
      </c>
      <c r="Q809" s="40" t="s">
        <v>5348</v>
      </c>
      <c r="R809" s="40" t="s">
        <v>494</v>
      </c>
      <c r="S809" s="40" t="s">
        <v>502</v>
      </c>
      <c r="T809" s="40" t="s">
        <v>178</v>
      </c>
      <c r="U809" s="40" t="s">
        <v>1250</v>
      </c>
      <c r="V809" s="40" t="s">
        <v>5349</v>
      </c>
      <c r="W809" s="40" t="s">
        <v>5350</v>
      </c>
    </row>
    <row r="810" spans="1:23" ht="12" x14ac:dyDescent="0.2">
      <c r="A810" s="39" t="s">
        <v>3586</v>
      </c>
      <c r="B810" s="40" t="s">
        <v>3587</v>
      </c>
      <c r="C810" s="40" t="s">
        <v>5351</v>
      </c>
      <c r="D810" s="41">
        <v>46031</v>
      </c>
      <c r="E810" s="41">
        <v>46061</v>
      </c>
      <c r="F810" s="41">
        <v>46091</v>
      </c>
      <c r="G810" s="42">
        <v>30</v>
      </c>
      <c r="H810" s="40" t="s">
        <v>549</v>
      </c>
      <c r="I810" s="39" t="s">
        <v>320</v>
      </c>
      <c r="J810" s="43">
        <v>5475.86</v>
      </c>
      <c r="K810" s="43">
        <v>0</v>
      </c>
      <c r="L810" s="43">
        <v>5475.86</v>
      </c>
      <c r="M810" s="44">
        <v>0</v>
      </c>
      <c r="N810" s="44">
        <f t="shared" si="12"/>
        <v>5475.86</v>
      </c>
      <c r="O810" s="44">
        <v>5475.86</v>
      </c>
      <c r="P810" s="40" t="s">
        <v>3588</v>
      </c>
      <c r="Q810" s="40" t="s">
        <v>3589</v>
      </c>
      <c r="R810" s="40" t="s">
        <v>494</v>
      </c>
      <c r="S810" s="40" t="s">
        <v>502</v>
      </c>
      <c r="T810" s="40" t="s">
        <v>191</v>
      </c>
      <c r="U810" s="40" t="s">
        <v>3590</v>
      </c>
      <c r="V810" s="40" t="s">
        <v>5352</v>
      </c>
      <c r="W810" s="40" t="s">
        <v>3591</v>
      </c>
    </row>
    <row r="811" spans="1:23" ht="12" x14ac:dyDescent="0.2">
      <c r="A811" s="39" t="s">
        <v>37</v>
      </c>
      <c r="B811" s="40" t="s">
        <v>452</v>
      </c>
      <c r="C811" s="40" t="s">
        <v>5353</v>
      </c>
      <c r="D811" s="41">
        <v>46031</v>
      </c>
      <c r="E811" s="41">
        <v>46061</v>
      </c>
      <c r="F811" s="41">
        <v>46091</v>
      </c>
      <c r="G811" s="42">
        <v>30</v>
      </c>
      <c r="H811" s="40" t="s">
        <v>549</v>
      </c>
      <c r="I811" s="39" t="s">
        <v>320</v>
      </c>
      <c r="J811" s="43">
        <v>14237.19</v>
      </c>
      <c r="K811" s="43">
        <v>0</v>
      </c>
      <c r="L811" s="43">
        <v>14237.19</v>
      </c>
      <c r="M811" s="44">
        <v>0</v>
      </c>
      <c r="N811" s="44">
        <f t="shared" si="12"/>
        <v>14237.19</v>
      </c>
      <c r="O811" s="44">
        <v>14237.19</v>
      </c>
      <c r="P811" s="40" t="s">
        <v>2456</v>
      </c>
      <c r="Q811" s="40" t="s">
        <v>2457</v>
      </c>
      <c r="R811" s="40" t="s">
        <v>494</v>
      </c>
      <c r="S811" s="40" t="s">
        <v>502</v>
      </c>
      <c r="T811" s="40" t="s">
        <v>305</v>
      </c>
      <c r="U811" s="40" t="s">
        <v>2458</v>
      </c>
      <c r="V811" s="40" t="s">
        <v>4203</v>
      </c>
      <c r="W811" s="40" t="s">
        <v>2459</v>
      </c>
    </row>
    <row r="812" spans="1:23" ht="12" x14ac:dyDescent="0.2">
      <c r="A812" s="39" t="s">
        <v>16</v>
      </c>
      <c r="B812" s="40" t="s">
        <v>414</v>
      </c>
      <c r="C812" s="40" t="s">
        <v>5354</v>
      </c>
      <c r="D812" s="41">
        <v>46031</v>
      </c>
      <c r="E812" s="41">
        <v>46061</v>
      </c>
      <c r="F812" s="41">
        <v>46091</v>
      </c>
      <c r="G812" s="42">
        <v>30</v>
      </c>
      <c r="H812" s="40" t="s">
        <v>549</v>
      </c>
      <c r="I812" s="39" t="s">
        <v>320</v>
      </c>
      <c r="J812" s="43">
        <v>124444.8</v>
      </c>
      <c r="K812" s="43">
        <v>20740.8</v>
      </c>
      <c r="L812" s="43">
        <v>124444.8</v>
      </c>
      <c r="M812" s="44">
        <v>20740.8</v>
      </c>
      <c r="N812" s="44">
        <f t="shared" si="12"/>
        <v>103704</v>
      </c>
      <c r="O812" s="44">
        <v>124444.8</v>
      </c>
      <c r="P812" s="40" t="s">
        <v>5355</v>
      </c>
      <c r="Q812" s="40" t="s">
        <v>5356</v>
      </c>
      <c r="R812" s="40" t="s">
        <v>494</v>
      </c>
      <c r="S812" s="40" t="s">
        <v>502</v>
      </c>
      <c r="T812" s="40" t="s">
        <v>278</v>
      </c>
      <c r="U812" s="40" t="s">
        <v>1291</v>
      </c>
      <c r="V812" s="40"/>
      <c r="W812" s="40" t="s">
        <v>5357</v>
      </c>
    </row>
    <row r="813" spans="1:23" ht="12" x14ac:dyDescent="0.2">
      <c r="A813" s="39" t="s">
        <v>5358</v>
      </c>
      <c r="B813" s="40" t="s">
        <v>5359</v>
      </c>
      <c r="C813" s="40" t="s">
        <v>5360</v>
      </c>
      <c r="D813" s="41">
        <v>46034</v>
      </c>
      <c r="E813" s="41">
        <v>46064</v>
      </c>
      <c r="F813" s="41">
        <v>46091</v>
      </c>
      <c r="G813" s="42">
        <v>27</v>
      </c>
      <c r="H813" s="40" t="s">
        <v>549</v>
      </c>
      <c r="I813" s="39" t="s">
        <v>320</v>
      </c>
      <c r="J813" s="43">
        <v>11566.58</v>
      </c>
      <c r="K813" s="43">
        <v>0</v>
      </c>
      <c r="L813" s="43">
        <v>11566.58</v>
      </c>
      <c r="M813" s="44">
        <v>0</v>
      </c>
      <c r="N813" s="44">
        <f t="shared" si="12"/>
        <v>11566.58</v>
      </c>
      <c r="O813" s="44">
        <v>11566.58</v>
      </c>
      <c r="P813" s="40" t="s">
        <v>5361</v>
      </c>
      <c r="Q813" s="40" t="s">
        <v>5362</v>
      </c>
      <c r="R813" s="40" t="s">
        <v>494</v>
      </c>
      <c r="S813" s="40" t="s">
        <v>502</v>
      </c>
      <c r="T813" s="40" t="s">
        <v>280</v>
      </c>
      <c r="U813" s="40" t="s">
        <v>5363</v>
      </c>
      <c r="V813" s="40"/>
      <c r="W813" s="40" t="s">
        <v>5364</v>
      </c>
    </row>
    <row r="814" spans="1:23" ht="12" x14ac:dyDescent="0.2">
      <c r="A814" s="39" t="s">
        <v>2178</v>
      </c>
      <c r="B814" s="40" t="s">
        <v>2179</v>
      </c>
      <c r="C814" s="40" t="s">
        <v>5365</v>
      </c>
      <c r="D814" s="41">
        <v>46034</v>
      </c>
      <c r="E814" s="41">
        <v>46064</v>
      </c>
      <c r="F814" s="41">
        <v>46091</v>
      </c>
      <c r="G814" s="42">
        <v>27</v>
      </c>
      <c r="H814" s="40" t="s">
        <v>549</v>
      </c>
      <c r="I814" s="39" t="s">
        <v>320</v>
      </c>
      <c r="J814" s="43">
        <v>-9510.02</v>
      </c>
      <c r="K814" s="43">
        <v>0</v>
      </c>
      <c r="L814" s="43">
        <v>-9510.02</v>
      </c>
      <c r="M814" s="44">
        <v>0</v>
      </c>
      <c r="N814" s="44">
        <f t="shared" si="12"/>
        <v>-9510.02</v>
      </c>
      <c r="O814" s="44">
        <v>-9510.02</v>
      </c>
      <c r="P814" s="40" t="s">
        <v>5366</v>
      </c>
      <c r="Q814" s="40" t="s">
        <v>5367</v>
      </c>
      <c r="R814" s="40" t="s">
        <v>494</v>
      </c>
      <c r="S814" s="40" t="s">
        <v>502</v>
      </c>
      <c r="T814" s="40" t="s">
        <v>281</v>
      </c>
      <c r="U814" s="40" t="s">
        <v>5368</v>
      </c>
      <c r="V814" s="40"/>
      <c r="W814" s="40" t="s">
        <v>5369</v>
      </c>
    </row>
    <row r="815" spans="1:23" ht="12" x14ac:dyDescent="0.2">
      <c r="A815" s="39" t="s">
        <v>949</v>
      </c>
      <c r="B815" s="40" t="s">
        <v>1118</v>
      </c>
      <c r="C815" s="40" t="s">
        <v>5370</v>
      </c>
      <c r="D815" s="41">
        <v>46034</v>
      </c>
      <c r="E815" s="41">
        <v>46064</v>
      </c>
      <c r="F815" s="41">
        <v>46091</v>
      </c>
      <c r="G815" s="42">
        <v>27</v>
      </c>
      <c r="H815" s="40" t="s">
        <v>549</v>
      </c>
      <c r="I815" s="39" t="s">
        <v>320</v>
      </c>
      <c r="J815" s="43">
        <v>29714.15</v>
      </c>
      <c r="K815" s="43">
        <v>0</v>
      </c>
      <c r="L815" s="43">
        <v>29714.15</v>
      </c>
      <c r="M815" s="44">
        <v>0</v>
      </c>
      <c r="N815" s="44">
        <f t="shared" si="12"/>
        <v>29714.15</v>
      </c>
      <c r="O815" s="44">
        <v>29714.15</v>
      </c>
      <c r="P815" s="40" t="s">
        <v>1523</v>
      </c>
      <c r="Q815" s="40" t="s">
        <v>5371</v>
      </c>
      <c r="R815" s="40" t="s">
        <v>494</v>
      </c>
      <c r="S815" s="40" t="s">
        <v>495</v>
      </c>
      <c r="T815" s="40" t="s">
        <v>362</v>
      </c>
      <c r="U815" s="40" t="s">
        <v>5372</v>
      </c>
      <c r="V815" s="40"/>
      <c r="W815" s="40" t="s">
        <v>5373</v>
      </c>
    </row>
    <row r="816" spans="1:23" ht="12" x14ac:dyDescent="0.2">
      <c r="A816" s="39" t="s">
        <v>1241</v>
      </c>
      <c r="B816" s="40" t="s">
        <v>1172</v>
      </c>
      <c r="C816" s="40" t="s">
        <v>5374</v>
      </c>
      <c r="D816" s="41">
        <v>46034</v>
      </c>
      <c r="E816" s="41">
        <v>46064</v>
      </c>
      <c r="F816" s="41">
        <v>46091</v>
      </c>
      <c r="G816" s="42">
        <v>27</v>
      </c>
      <c r="H816" s="40" t="s">
        <v>549</v>
      </c>
      <c r="I816" s="39" t="s">
        <v>320</v>
      </c>
      <c r="J816" s="43">
        <v>22700</v>
      </c>
      <c r="K816" s="43">
        <v>0</v>
      </c>
      <c r="L816" s="43">
        <v>22700</v>
      </c>
      <c r="M816" s="44">
        <v>0</v>
      </c>
      <c r="N816" s="44">
        <f t="shared" si="12"/>
        <v>22700</v>
      </c>
      <c r="O816" s="44">
        <v>22700</v>
      </c>
      <c r="P816" s="40" t="s">
        <v>2105</v>
      </c>
      <c r="Q816" s="40" t="s">
        <v>5375</v>
      </c>
      <c r="R816" s="40" t="s">
        <v>494</v>
      </c>
      <c r="S816" s="40" t="s">
        <v>502</v>
      </c>
      <c r="T816" s="40" t="s">
        <v>191</v>
      </c>
      <c r="U816" s="40" t="s">
        <v>567</v>
      </c>
      <c r="V816" s="40"/>
      <c r="W816" s="40" t="s">
        <v>5376</v>
      </c>
    </row>
    <row r="817" spans="1:23" ht="12" x14ac:dyDescent="0.2">
      <c r="A817" s="39" t="s">
        <v>3367</v>
      </c>
      <c r="B817" s="40" t="s">
        <v>3368</v>
      </c>
      <c r="C817" s="40" t="s">
        <v>5377</v>
      </c>
      <c r="D817" s="41">
        <v>46034</v>
      </c>
      <c r="E817" s="41">
        <v>46064</v>
      </c>
      <c r="F817" s="41">
        <v>46091</v>
      </c>
      <c r="G817" s="42">
        <v>27</v>
      </c>
      <c r="H817" s="40" t="s">
        <v>549</v>
      </c>
      <c r="I817" s="39" t="s">
        <v>320</v>
      </c>
      <c r="J817" s="43">
        <v>5074.2</v>
      </c>
      <c r="K817" s="43">
        <v>845.7</v>
      </c>
      <c r="L817" s="43">
        <v>5074.2</v>
      </c>
      <c r="M817" s="44">
        <v>845.7</v>
      </c>
      <c r="N817" s="44">
        <f t="shared" si="12"/>
        <v>4228.5</v>
      </c>
      <c r="O817" s="44">
        <v>5074.2</v>
      </c>
      <c r="P817" s="40" t="s">
        <v>3369</v>
      </c>
      <c r="Q817" s="40" t="s">
        <v>3370</v>
      </c>
      <c r="R817" s="40" t="s">
        <v>494</v>
      </c>
      <c r="S817" s="40" t="s">
        <v>502</v>
      </c>
      <c r="T817" s="40" t="s">
        <v>813</v>
      </c>
      <c r="U817" s="40" t="s">
        <v>3371</v>
      </c>
      <c r="V817" s="40"/>
      <c r="W817" s="40" t="s">
        <v>321</v>
      </c>
    </row>
    <row r="818" spans="1:23" ht="12" x14ac:dyDescent="0.2">
      <c r="A818" s="39" t="s">
        <v>1518</v>
      </c>
      <c r="B818" s="40" t="s">
        <v>5378</v>
      </c>
      <c r="C818" s="40" t="s">
        <v>5379</v>
      </c>
      <c r="D818" s="41">
        <v>46034</v>
      </c>
      <c r="E818" s="41">
        <v>46064</v>
      </c>
      <c r="F818" s="41">
        <v>46091</v>
      </c>
      <c r="G818" s="42">
        <v>27</v>
      </c>
      <c r="H818" s="40" t="s">
        <v>549</v>
      </c>
      <c r="I818" s="39" t="s">
        <v>320</v>
      </c>
      <c r="J818" s="43">
        <v>42583.62</v>
      </c>
      <c r="K818" s="43">
        <v>0</v>
      </c>
      <c r="L818" s="43">
        <v>42583.62</v>
      </c>
      <c r="M818" s="44">
        <v>0</v>
      </c>
      <c r="N818" s="44">
        <f t="shared" si="12"/>
        <v>42583.62</v>
      </c>
      <c r="O818" s="44">
        <v>42583.62</v>
      </c>
      <c r="P818" s="40" t="s">
        <v>5380</v>
      </c>
      <c r="Q818" s="40" t="s">
        <v>5381</v>
      </c>
      <c r="R818" s="40" t="s">
        <v>494</v>
      </c>
      <c r="S818" s="40" t="s">
        <v>502</v>
      </c>
      <c r="T818" s="40" t="s">
        <v>513</v>
      </c>
      <c r="U818" s="40" t="s">
        <v>3597</v>
      </c>
      <c r="V818" s="40" t="s">
        <v>5382</v>
      </c>
      <c r="W818" s="40" t="s">
        <v>5383</v>
      </c>
    </row>
    <row r="819" spans="1:23" ht="12" x14ac:dyDescent="0.2">
      <c r="A819" s="39" t="s">
        <v>5384</v>
      </c>
      <c r="B819" s="40" t="s">
        <v>5385</v>
      </c>
      <c r="C819" s="40" t="s">
        <v>5386</v>
      </c>
      <c r="D819" s="41">
        <v>46034</v>
      </c>
      <c r="E819" s="41">
        <v>46064</v>
      </c>
      <c r="F819" s="41">
        <v>46091</v>
      </c>
      <c r="G819" s="42">
        <v>27</v>
      </c>
      <c r="H819" s="40" t="s">
        <v>549</v>
      </c>
      <c r="I819" s="39" t="s">
        <v>320</v>
      </c>
      <c r="J819" s="43">
        <v>5372.18</v>
      </c>
      <c r="K819" s="43">
        <v>0</v>
      </c>
      <c r="L819" s="43">
        <v>5372.18</v>
      </c>
      <c r="M819" s="44">
        <v>0</v>
      </c>
      <c r="N819" s="44">
        <f t="shared" si="12"/>
        <v>5372.18</v>
      </c>
      <c r="O819" s="44">
        <v>5372.18</v>
      </c>
      <c r="P819" s="40" t="s">
        <v>5387</v>
      </c>
      <c r="Q819" s="40" t="s">
        <v>5388</v>
      </c>
      <c r="R819" s="40" t="s">
        <v>494</v>
      </c>
      <c r="S819" s="40" t="s">
        <v>502</v>
      </c>
      <c r="T819" s="40" t="s">
        <v>191</v>
      </c>
      <c r="U819" s="40" t="s">
        <v>5389</v>
      </c>
      <c r="V819" s="40"/>
      <c r="W819" s="40" t="s">
        <v>5390</v>
      </c>
    </row>
    <row r="820" spans="1:23" ht="12" x14ac:dyDescent="0.2">
      <c r="A820" s="39" t="s">
        <v>2178</v>
      </c>
      <c r="B820" s="40" t="s">
        <v>2179</v>
      </c>
      <c r="C820" s="40" t="s">
        <v>5391</v>
      </c>
      <c r="D820" s="41">
        <v>46034</v>
      </c>
      <c r="E820" s="41">
        <v>46064</v>
      </c>
      <c r="F820" s="41">
        <v>46091</v>
      </c>
      <c r="G820" s="42">
        <v>27</v>
      </c>
      <c r="H820" s="40" t="s">
        <v>549</v>
      </c>
      <c r="I820" s="39" t="s">
        <v>320</v>
      </c>
      <c r="J820" s="43">
        <v>-20451.89</v>
      </c>
      <c r="K820" s="43">
        <v>0</v>
      </c>
      <c r="L820" s="43">
        <v>-20451.89</v>
      </c>
      <c r="M820" s="44">
        <v>0</v>
      </c>
      <c r="N820" s="44">
        <f t="shared" si="12"/>
        <v>-20451.89</v>
      </c>
      <c r="O820" s="44">
        <v>-20451.89</v>
      </c>
      <c r="P820" s="40" t="s">
        <v>5392</v>
      </c>
      <c r="Q820" s="40" t="s">
        <v>5393</v>
      </c>
      <c r="R820" s="40" t="s">
        <v>494</v>
      </c>
      <c r="S820" s="40" t="s">
        <v>502</v>
      </c>
      <c r="T820" s="40" t="s">
        <v>185</v>
      </c>
      <c r="U820" s="40" t="s">
        <v>5394</v>
      </c>
      <c r="V820" s="40"/>
      <c r="W820" s="40" t="s">
        <v>5395</v>
      </c>
    </row>
    <row r="821" spans="1:23" ht="12" x14ac:dyDescent="0.2">
      <c r="A821" s="39" t="s">
        <v>48</v>
      </c>
      <c r="B821" s="40" t="s">
        <v>389</v>
      </c>
      <c r="C821" s="40" t="s">
        <v>5396</v>
      </c>
      <c r="D821" s="41">
        <v>46034</v>
      </c>
      <c r="E821" s="41">
        <v>46064</v>
      </c>
      <c r="F821" s="41">
        <v>46091</v>
      </c>
      <c r="G821" s="42">
        <v>27</v>
      </c>
      <c r="H821" s="40" t="s">
        <v>549</v>
      </c>
      <c r="I821" s="39" t="s">
        <v>320</v>
      </c>
      <c r="J821" s="43">
        <v>1383500</v>
      </c>
      <c r="K821" s="43">
        <v>0</v>
      </c>
      <c r="L821" s="43">
        <v>1383500</v>
      </c>
      <c r="M821" s="44">
        <v>0</v>
      </c>
      <c r="N821" s="44">
        <f t="shared" si="12"/>
        <v>1383500</v>
      </c>
      <c r="O821" s="44">
        <v>1383500</v>
      </c>
      <c r="P821" s="40" t="s">
        <v>2110</v>
      </c>
      <c r="Q821" s="40" t="s">
        <v>5397</v>
      </c>
      <c r="R821" s="40" t="s">
        <v>494</v>
      </c>
      <c r="S821" s="40" t="s">
        <v>502</v>
      </c>
      <c r="T821" s="40" t="s">
        <v>508</v>
      </c>
      <c r="U821" s="40" t="s">
        <v>1282</v>
      </c>
      <c r="V821" s="40"/>
      <c r="W821" s="40" t="s">
        <v>5398</v>
      </c>
    </row>
    <row r="822" spans="1:23" ht="12" x14ac:dyDescent="0.2">
      <c r="A822" s="39" t="s">
        <v>49</v>
      </c>
      <c r="B822" s="40" t="s">
        <v>396</v>
      </c>
      <c r="C822" s="40" t="s">
        <v>5399</v>
      </c>
      <c r="D822" s="41">
        <v>46034</v>
      </c>
      <c r="E822" s="41">
        <v>46064</v>
      </c>
      <c r="F822" s="41">
        <v>46091</v>
      </c>
      <c r="G822" s="42">
        <v>27</v>
      </c>
      <c r="H822" s="40" t="s">
        <v>549</v>
      </c>
      <c r="I822" s="39" t="s">
        <v>1470</v>
      </c>
      <c r="J822" s="43">
        <v>2000000.02</v>
      </c>
      <c r="K822" s="43">
        <v>0</v>
      </c>
      <c r="L822" s="43">
        <v>2000000.02</v>
      </c>
      <c r="M822" s="44">
        <v>0</v>
      </c>
      <c r="N822" s="44">
        <f t="shared" si="12"/>
        <v>204251.08</v>
      </c>
      <c r="O822" s="44">
        <v>204251.08</v>
      </c>
      <c r="P822" s="40" t="s">
        <v>5400</v>
      </c>
      <c r="Q822" s="40" t="s">
        <v>5401</v>
      </c>
      <c r="R822" s="40" t="s">
        <v>494</v>
      </c>
      <c r="S822" s="40" t="s">
        <v>502</v>
      </c>
      <c r="T822" s="40" t="s">
        <v>166</v>
      </c>
      <c r="U822" s="40" t="s">
        <v>5402</v>
      </c>
      <c r="V822" s="40"/>
      <c r="W822" s="40" t="s">
        <v>321</v>
      </c>
    </row>
    <row r="823" spans="1:23" ht="12" x14ac:dyDescent="0.2">
      <c r="A823" s="39" t="s">
        <v>2178</v>
      </c>
      <c r="B823" s="40" t="s">
        <v>2179</v>
      </c>
      <c r="C823" s="40" t="s">
        <v>5403</v>
      </c>
      <c r="D823" s="41">
        <v>46034</v>
      </c>
      <c r="E823" s="41">
        <v>46064</v>
      </c>
      <c r="F823" s="41">
        <v>46091</v>
      </c>
      <c r="G823" s="42">
        <v>27</v>
      </c>
      <c r="H823" s="40" t="s">
        <v>549</v>
      </c>
      <c r="I823" s="39" t="s">
        <v>320</v>
      </c>
      <c r="J823" s="43">
        <v>-53578.61</v>
      </c>
      <c r="K823" s="43">
        <v>0</v>
      </c>
      <c r="L823" s="43">
        <v>-53578.61</v>
      </c>
      <c r="M823" s="44">
        <v>0</v>
      </c>
      <c r="N823" s="44">
        <f t="shared" si="12"/>
        <v>-53578.61</v>
      </c>
      <c r="O823" s="44">
        <v>-53578.61</v>
      </c>
      <c r="P823" s="40" t="s">
        <v>5404</v>
      </c>
      <c r="Q823" s="40" t="s">
        <v>5405</v>
      </c>
      <c r="R823" s="40" t="s">
        <v>494</v>
      </c>
      <c r="S823" s="40" t="s">
        <v>502</v>
      </c>
      <c r="T823" s="40" t="s">
        <v>218</v>
      </c>
      <c r="U823" s="40" t="s">
        <v>2919</v>
      </c>
      <c r="V823" s="40"/>
      <c r="W823" s="40" t="s">
        <v>5406</v>
      </c>
    </row>
    <row r="824" spans="1:23" ht="12" x14ac:dyDescent="0.2">
      <c r="A824" s="39" t="s">
        <v>2108</v>
      </c>
      <c r="B824" s="40" t="s">
        <v>5407</v>
      </c>
      <c r="C824" s="40" t="s">
        <v>5408</v>
      </c>
      <c r="D824" s="41">
        <v>46034</v>
      </c>
      <c r="E824" s="41">
        <v>46064</v>
      </c>
      <c r="F824" s="41">
        <v>46091</v>
      </c>
      <c r="G824" s="42">
        <v>27</v>
      </c>
      <c r="H824" s="40" t="s">
        <v>549</v>
      </c>
      <c r="I824" s="39" t="s">
        <v>392</v>
      </c>
      <c r="J824" s="43">
        <v>49212.88</v>
      </c>
      <c r="K824" s="43">
        <v>0</v>
      </c>
      <c r="L824" s="43">
        <v>49212.88</v>
      </c>
      <c r="M824" s="44">
        <v>0</v>
      </c>
      <c r="N824" s="44">
        <f t="shared" si="12"/>
        <v>22952.7</v>
      </c>
      <c r="O824" s="44">
        <v>22952.7</v>
      </c>
      <c r="P824" s="40" t="s">
        <v>2107</v>
      </c>
      <c r="Q824" s="40" t="s">
        <v>5409</v>
      </c>
      <c r="R824" s="40" t="s">
        <v>494</v>
      </c>
      <c r="S824" s="40" t="s">
        <v>495</v>
      </c>
      <c r="T824" s="40" t="s">
        <v>733</v>
      </c>
      <c r="U824" s="40" t="s">
        <v>4253</v>
      </c>
      <c r="V824" s="40"/>
      <c r="W824" s="40" t="s">
        <v>5410</v>
      </c>
    </row>
    <row r="825" spans="1:23" ht="12" x14ac:dyDescent="0.2">
      <c r="A825" s="39" t="s">
        <v>3753</v>
      </c>
      <c r="B825" s="40" t="s">
        <v>5411</v>
      </c>
      <c r="C825" s="40" t="s">
        <v>5412</v>
      </c>
      <c r="D825" s="41">
        <v>46034</v>
      </c>
      <c r="E825" s="41">
        <v>46064</v>
      </c>
      <c r="F825" s="41">
        <v>46091</v>
      </c>
      <c r="G825" s="42">
        <v>27</v>
      </c>
      <c r="H825" s="40" t="s">
        <v>549</v>
      </c>
      <c r="I825" s="39" t="s">
        <v>320</v>
      </c>
      <c r="J825" s="43">
        <v>300000</v>
      </c>
      <c r="K825" s="43">
        <v>50000</v>
      </c>
      <c r="L825" s="43">
        <v>300000</v>
      </c>
      <c r="M825" s="44">
        <v>50000</v>
      </c>
      <c r="N825" s="44">
        <f t="shared" si="12"/>
        <v>250000</v>
      </c>
      <c r="O825" s="44">
        <v>300000</v>
      </c>
      <c r="P825" s="40" t="s">
        <v>5413</v>
      </c>
      <c r="Q825" s="40" t="s">
        <v>5414</v>
      </c>
      <c r="R825" s="40" t="s">
        <v>494</v>
      </c>
      <c r="S825" s="40" t="s">
        <v>502</v>
      </c>
      <c r="T825" s="40" t="s">
        <v>218</v>
      </c>
      <c r="U825" s="40" t="s">
        <v>557</v>
      </c>
      <c r="V825" s="40" t="s">
        <v>5415</v>
      </c>
      <c r="W825" s="40" t="s">
        <v>5416</v>
      </c>
    </row>
    <row r="826" spans="1:23" ht="12" x14ac:dyDescent="0.2">
      <c r="A826" s="39" t="s">
        <v>2178</v>
      </c>
      <c r="B826" s="40" t="s">
        <v>2179</v>
      </c>
      <c r="C826" s="40" t="s">
        <v>5417</v>
      </c>
      <c r="D826" s="41">
        <v>46034</v>
      </c>
      <c r="E826" s="41">
        <v>46064</v>
      </c>
      <c r="F826" s="41">
        <v>46091</v>
      </c>
      <c r="G826" s="42">
        <v>27</v>
      </c>
      <c r="H826" s="40" t="s">
        <v>549</v>
      </c>
      <c r="I826" s="39" t="s">
        <v>320</v>
      </c>
      <c r="J826" s="43">
        <v>-65411.68</v>
      </c>
      <c r="K826" s="43">
        <v>0</v>
      </c>
      <c r="L826" s="43">
        <v>-65411.68</v>
      </c>
      <c r="M826" s="44">
        <v>0</v>
      </c>
      <c r="N826" s="44">
        <f t="shared" si="12"/>
        <v>-65411.68</v>
      </c>
      <c r="O826" s="44">
        <v>-65411.68</v>
      </c>
      <c r="P826" s="40" t="s">
        <v>2377</v>
      </c>
      <c r="Q826" s="40" t="s">
        <v>2378</v>
      </c>
      <c r="R826" s="40" t="s">
        <v>494</v>
      </c>
      <c r="S826" s="40" t="s">
        <v>502</v>
      </c>
      <c r="T826" s="40" t="s">
        <v>362</v>
      </c>
      <c r="U826" s="40" t="s">
        <v>832</v>
      </c>
      <c r="V826" s="40"/>
      <c r="W826" s="40" t="s">
        <v>2379</v>
      </c>
    </row>
    <row r="827" spans="1:23" ht="12" x14ac:dyDescent="0.2">
      <c r="A827" s="39" t="s">
        <v>2178</v>
      </c>
      <c r="B827" s="40" t="s">
        <v>2179</v>
      </c>
      <c r="C827" s="40" t="s">
        <v>5418</v>
      </c>
      <c r="D827" s="41">
        <v>46034</v>
      </c>
      <c r="E827" s="41">
        <v>46064</v>
      </c>
      <c r="F827" s="41">
        <v>46091</v>
      </c>
      <c r="G827" s="42">
        <v>27</v>
      </c>
      <c r="H827" s="40" t="s">
        <v>549</v>
      </c>
      <c r="I827" s="39" t="s">
        <v>320</v>
      </c>
      <c r="J827" s="43">
        <v>-2375.3200000000002</v>
      </c>
      <c r="K827" s="43">
        <v>0</v>
      </c>
      <c r="L827" s="43">
        <v>-2375.3200000000002</v>
      </c>
      <c r="M827" s="44">
        <v>0</v>
      </c>
      <c r="N827" s="44">
        <f t="shared" si="12"/>
        <v>-2375.3200000000002</v>
      </c>
      <c r="O827" s="44">
        <v>-2375.3200000000002</v>
      </c>
      <c r="P827" s="40" t="s">
        <v>2562</v>
      </c>
      <c r="Q827" s="40" t="s">
        <v>2563</v>
      </c>
      <c r="R827" s="40" t="s">
        <v>494</v>
      </c>
      <c r="S827" s="40" t="s">
        <v>502</v>
      </c>
      <c r="T827" s="40" t="s">
        <v>534</v>
      </c>
      <c r="U827" s="40" t="s">
        <v>2564</v>
      </c>
      <c r="V827" s="40"/>
      <c r="W827" s="40" t="s">
        <v>2565</v>
      </c>
    </row>
    <row r="828" spans="1:23" ht="12" x14ac:dyDescent="0.2">
      <c r="A828" s="39" t="s">
        <v>2178</v>
      </c>
      <c r="B828" s="40" t="s">
        <v>2179</v>
      </c>
      <c r="C828" s="40" t="s">
        <v>5419</v>
      </c>
      <c r="D828" s="41">
        <v>46034</v>
      </c>
      <c r="E828" s="41">
        <v>46064</v>
      </c>
      <c r="F828" s="41">
        <v>46091</v>
      </c>
      <c r="G828" s="42">
        <v>27</v>
      </c>
      <c r="H828" s="40" t="s">
        <v>549</v>
      </c>
      <c r="I828" s="39" t="s">
        <v>320</v>
      </c>
      <c r="J828" s="43">
        <v>-27152.87</v>
      </c>
      <c r="K828" s="43">
        <v>0</v>
      </c>
      <c r="L828" s="43">
        <v>-27152.87</v>
      </c>
      <c r="M828" s="44">
        <v>0</v>
      </c>
      <c r="N828" s="44">
        <f t="shared" si="12"/>
        <v>-27152.87</v>
      </c>
      <c r="O828" s="44">
        <v>-27152.87</v>
      </c>
      <c r="P828" s="40" t="s">
        <v>5420</v>
      </c>
      <c r="Q828" s="40" t="s">
        <v>5421</v>
      </c>
      <c r="R828" s="40" t="s">
        <v>494</v>
      </c>
      <c r="S828" s="40" t="s">
        <v>502</v>
      </c>
      <c r="T828" s="40" t="s">
        <v>163</v>
      </c>
      <c r="U828" s="40" t="s">
        <v>2335</v>
      </c>
      <c r="V828" s="40"/>
      <c r="W828" s="40" t="s">
        <v>5422</v>
      </c>
    </row>
    <row r="829" spans="1:23" ht="12" x14ac:dyDescent="0.2">
      <c r="A829" s="39" t="s">
        <v>800</v>
      </c>
      <c r="B829" s="40" t="s">
        <v>808</v>
      </c>
      <c r="C829" s="40" t="s">
        <v>5423</v>
      </c>
      <c r="D829" s="41">
        <v>46034</v>
      </c>
      <c r="E829" s="41">
        <v>46064</v>
      </c>
      <c r="F829" s="41">
        <v>46091</v>
      </c>
      <c r="G829" s="42">
        <v>27</v>
      </c>
      <c r="H829" s="40" t="s">
        <v>549</v>
      </c>
      <c r="I829" s="39" t="s">
        <v>320</v>
      </c>
      <c r="J829" s="43">
        <v>15867.1</v>
      </c>
      <c r="K829" s="43">
        <v>0</v>
      </c>
      <c r="L829" s="43">
        <v>15867.1</v>
      </c>
      <c r="M829" s="44">
        <v>0</v>
      </c>
      <c r="N829" s="44">
        <f t="shared" si="12"/>
        <v>15867.1</v>
      </c>
      <c r="O829" s="44">
        <v>15867.1</v>
      </c>
      <c r="P829" s="40" t="s">
        <v>799</v>
      </c>
      <c r="Q829" s="40" t="s">
        <v>809</v>
      </c>
      <c r="R829" s="40" t="s">
        <v>494</v>
      </c>
      <c r="S829" s="40" t="s">
        <v>502</v>
      </c>
      <c r="T829" s="40" t="s">
        <v>282</v>
      </c>
      <c r="U829" s="40" t="s">
        <v>664</v>
      </c>
      <c r="V829" s="40" t="s">
        <v>3803</v>
      </c>
      <c r="W829" s="40" t="s">
        <v>810</v>
      </c>
    </row>
    <row r="830" spans="1:23" ht="12" x14ac:dyDescent="0.2">
      <c r="A830" s="39" t="s">
        <v>5424</v>
      </c>
      <c r="B830" s="40" t="s">
        <v>5425</v>
      </c>
      <c r="C830" s="40" t="s">
        <v>5426</v>
      </c>
      <c r="D830" s="41">
        <v>46034</v>
      </c>
      <c r="E830" s="41">
        <v>46064</v>
      </c>
      <c r="F830" s="41">
        <v>46091</v>
      </c>
      <c r="G830" s="42">
        <v>27</v>
      </c>
      <c r="H830" s="40" t="s">
        <v>549</v>
      </c>
      <c r="I830" s="39" t="s">
        <v>320</v>
      </c>
      <c r="J830" s="43">
        <v>139132.89000000001</v>
      </c>
      <c r="K830" s="43">
        <v>0</v>
      </c>
      <c r="L830" s="43">
        <v>139132.89000000001</v>
      </c>
      <c r="M830" s="44">
        <v>0</v>
      </c>
      <c r="N830" s="44">
        <f t="shared" si="12"/>
        <v>139132.89000000001</v>
      </c>
      <c r="O830" s="44">
        <v>139132.89000000001</v>
      </c>
      <c r="P830" s="40" t="s">
        <v>5427</v>
      </c>
      <c r="Q830" s="40" t="s">
        <v>5428</v>
      </c>
      <c r="R830" s="40" t="s">
        <v>494</v>
      </c>
      <c r="S830" s="40" t="s">
        <v>495</v>
      </c>
      <c r="T830" s="40" t="s">
        <v>169</v>
      </c>
      <c r="U830" s="40" t="s">
        <v>5429</v>
      </c>
      <c r="V830" s="40"/>
      <c r="W830" s="40" t="s">
        <v>5430</v>
      </c>
    </row>
    <row r="831" spans="1:23" ht="12" x14ac:dyDescent="0.2">
      <c r="A831" s="39" t="s">
        <v>412</v>
      </c>
      <c r="B831" s="40" t="s">
        <v>411</v>
      </c>
      <c r="C831" s="40" t="s">
        <v>5431</v>
      </c>
      <c r="D831" s="41">
        <v>46034</v>
      </c>
      <c r="E831" s="41">
        <v>46064</v>
      </c>
      <c r="F831" s="41">
        <v>46091</v>
      </c>
      <c r="G831" s="42">
        <v>27</v>
      </c>
      <c r="H831" s="40" t="s">
        <v>549</v>
      </c>
      <c r="I831" s="39" t="s">
        <v>320</v>
      </c>
      <c r="J831" s="43">
        <v>680743.52</v>
      </c>
      <c r="K831" s="43">
        <v>0</v>
      </c>
      <c r="L831" s="43">
        <v>680743.52</v>
      </c>
      <c r="M831" s="44">
        <v>0</v>
      </c>
      <c r="N831" s="44">
        <f t="shared" si="12"/>
        <v>680743.52</v>
      </c>
      <c r="O831" s="44">
        <v>680743.52</v>
      </c>
      <c r="P831" s="40" t="s">
        <v>3574</v>
      </c>
      <c r="Q831" s="40" t="s">
        <v>3575</v>
      </c>
      <c r="R831" s="40" t="s">
        <v>494</v>
      </c>
      <c r="S831" s="40" t="s">
        <v>502</v>
      </c>
      <c r="T831" s="40" t="s">
        <v>191</v>
      </c>
      <c r="U831" s="40" t="s">
        <v>578</v>
      </c>
      <c r="V831" s="40"/>
      <c r="W831" s="40" t="s">
        <v>3576</v>
      </c>
    </row>
    <row r="832" spans="1:23" ht="12" x14ac:dyDescent="0.2">
      <c r="A832" s="39" t="s">
        <v>412</v>
      </c>
      <c r="B832" s="40" t="s">
        <v>411</v>
      </c>
      <c r="C832" s="40" t="s">
        <v>5432</v>
      </c>
      <c r="D832" s="41">
        <v>46034</v>
      </c>
      <c r="E832" s="41">
        <v>46064</v>
      </c>
      <c r="F832" s="41">
        <v>46091</v>
      </c>
      <c r="G832" s="42">
        <v>27</v>
      </c>
      <c r="H832" s="40" t="s">
        <v>549</v>
      </c>
      <c r="I832" s="39" t="s">
        <v>320</v>
      </c>
      <c r="J832" s="43">
        <v>639620.15</v>
      </c>
      <c r="K832" s="43">
        <v>0</v>
      </c>
      <c r="L832" s="43">
        <v>639620.15</v>
      </c>
      <c r="M832" s="44">
        <v>0</v>
      </c>
      <c r="N832" s="44">
        <f t="shared" si="12"/>
        <v>639620.15</v>
      </c>
      <c r="O832" s="44">
        <v>639620.15</v>
      </c>
      <c r="P832" s="40" t="s">
        <v>3574</v>
      </c>
      <c r="Q832" s="40" t="s">
        <v>3575</v>
      </c>
      <c r="R832" s="40" t="s">
        <v>494</v>
      </c>
      <c r="S832" s="40" t="s">
        <v>502</v>
      </c>
      <c r="T832" s="40" t="s">
        <v>191</v>
      </c>
      <c r="U832" s="40" t="s">
        <v>578</v>
      </c>
      <c r="V832" s="40"/>
      <c r="W832" s="40" t="s">
        <v>3576</v>
      </c>
    </row>
    <row r="833" spans="1:23" ht="12" x14ac:dyDescent="0.2">
      <c r="A833" s="39" t="s">
        <v>3688</v>
      </c>
      <c r="B833" s="40" t="s">
        <v>3689</v>
      </c>
      <c r="C833" s="40" t="s">
        <v>5433</v>
      </c>
      <c r="D833" s="41">
        <v>46034</v>
      </c>
      <c r="E833" s="41">
        <v>46064</v>
      </c>
      <c r="F833" s="41">
        <v>46091</v>
      </c>
      <c r="G833" s="42">
        <v>27</v>
      </c>
      <c r="H833" s="40" t="s">
        <v>549</v>
      </c>
      <c r="I833" s="39" t="s">
        <v>320</v>
      </c>
      <c r="J833" s="43">
        <v>65878.69</v>
      </c>
      <c r="K833" s="43">
        <v>0</v>
      </c>
      <c r="L833" s="43">
        <v>1735.85</v>
      </c>
      <c r="M833" s="44">
        <v>0</v>
      </c>
      <c r="N833" s="44">
        <f t="shared" si="12"/>
        <v>1735.85</v>
      </c>
      <c r="O833" s="44">
        <v>1735.85</v>
      </c>
      <c r="P833" s="40" t="s">
        <v>3690</v>
      </c>
      <c r="Q833" s="40" t="s">
        <v>3691</v>
      </c>
      <c r="R833" s="40" t="s">
        <v>494</v>
      </c>
      <c r="S833" s="40" t="s">
        <v>495</v>
      </c>
      <c r="T833" s="40" t="s">
        <v>289</v>
      </c>
      <c r="U833" s="40" t="s">
        <v>691</v>
      </c>
      <c r="V833" s="40"/>
      <c r="W833" s="40" t="s">
        <v>322</v>
      </c>
    </row>
    <row r="834" spans="1:23" ht="12" x14ac:dyDescent="0.2">
      <c r="A834" s="39" t="s">
        <v>5434</v>
      </c>
      <c r="B834" s="40" t="s">
        <v>3090</v>
      </c>
      <c r="C834" s="40" t="s">
        <v>5435</v>
      </c>
      <c r="D834" s="41">
        <v>46034</v>
      </c>
      <c r="E834" s="41">
        <v>46064</v>
      </c>
      <c r="F834" s="41">
        <v>46091</v>
      </c>
      <c r="G834" s="42">
        <v>27</v>
      </c>
      <c r="H834" s="40" t="s">
        <v>549</v>
      </c>
      <c r="I834" s="39" t="s">
        <v>320</v>
      </c>
      <c r="J834" s="43">
        <v>32500</v>
      </c>
      <c r="K834" s="43">
        <v>0</v>
      </c>
      <c r="L834" s="43">
        <v>32500</v>
      </c>
      <c r="M834" s="44">
        <v>0</v>
      </c>
      <c r="N834" s="44">
        <f t="shared" si="12"/>
        <v>32500</v>
      </c>
      <c r="O834" s="44">
        <v>32500</v>
      </c>
      <c r="P834" s="40" t="s">
        <v>5436</v>
      </c>
      <c r="Q834" s="40" t="s">
        <v>5437</v>
      </c>
      <c r="R834" s="40" t="s">
        <v>494</v>
      </c>
      <c r="S834" s="40" t="s">
        <v>502</v>
      </c>
      <c r="T834" s="40" t="s">
        <v>330</v>
      </c>
      <c r="U834" s="40" t="s">
        <v>2908</v>
      </c>
      <c r="V834" s="40" t="s">
        <v>3076</v>
      </c>
      <c r="W834" s="40" t="s">
        <v>5438</v>
      </c>
    </row>
    <row r="835" spans="1:23" ht="12" x14ac:dyDescent="0.2">
      <c r="A835" s="39" t="s">
        <v>1871</v>
      </c>
      <c r="B835" s="40" t="s">
        <v>5439</v>
      </c>
      <c r="C835" s="40" t="s">
        <v>5440</v>
      </c>
      <c r="D835" s="41">
        <v>46034</v>
      </c>
      <c r="E835" s="41">
        <v>46064</v>
      </c>
      <c r="F835" s="41">
        <v>46091</v>
      </c>
      <c r="G835" s="42">
        <v>27</v>
      </c>
      <c r="H835" s="40" t="s">
        <v>549</v>
      </c>
      <c r="I835" s="39" t="s">
        <v>320</v>
      </c>
      <c r="J835" s="43">
        <v>22445.47</v>
      </c>
      <c r="K835" s="43">
        <v>0</v>
      </c>
      <c r="L835" s="43">
        <v>22445.47</v>
      </c>
      <c r="M835" s="44">
        <v>0</v>
      </c>
      <c r="N835" s="44">
        <f t="shared" ref="N835:N898" si="13">IF(I835="GBP",L835-K835,O835-K835)</f>
        <v>22445.47</v>
      </c>
      <c r="O835" s="44">
        <v>22445.47</v>
      </c>
      <c r="P835" s="40" t="s">
        <v>2109</v>
      </c>
      <c r="Q835" s="40" t="s">
        <v>5441</v>
      </c>
      <c r="R835" s="40" t="s">
        <v>494</v>
      </c>
      <c r="S835" s="40" t="s">
        <v>502</v>
      </c>
      <c r="T835" s="40" t="s">
        <v>1372</v>
      </c>
      <c r="U835" s="40" t="s">
        <v>5442</v>
      </c>
      <c r="V835" s="40"/>
      <c r="W835" s="40" t="s">
        <v>5443</v>
      </c>
    </row>
    <row r="836" spans="1:23" ht="12" x14ac:dyDescent="0.2">
      <c r="A836" s="39" t="s">
        <v>3314</v>
      </c>
      <c r="B836" s="40" t="s">
        <v>3315</v>
      </c>
      <c r="C836" s="40" t="s">
        <v>5444</v>
      </c>
      <c r="D836" s="41">
        <v>46035</v>
      </c>
      <c r="E836" s="41">
        <v>46065</v>
      </c>
      <c r="F836" s="41">
        <v>46091</v>
      </c>
      <c r="G836" s="42">
        <v>26</v>
      </c>
      <c r="H836" s="40" t="s">
        <v>549</v>
      </c>
      <c r="I836" s="39" t="s">
        <v>320</v>
      </c>
      <c r="J836" s="43">
        <v>46275.63</v>
      </c>
      <c r="K836" s="43">
        <v>0</v>
      </c>
      <c r="L836" s="43">
        <v>46275.63</v>
      </c>
      <c r="M836" s="44">
        <v>0</v>
      </c>
      <c r="N836" s="44">
        <f t="shared" si="13"/>
        <v>46275.63</v>
      </c>
      <c r="O836" s="44">
        <v>46275.63</v>
      </c>
      <c r="P836" s="40" t="s">
        <v>5445</v>
      </c>
      <c r="Q836" s="40" t="s">
        <v>5446</v>
      </c>
      <c r="R836" s="40" t="s">
        <v>494</v>
      </c>
      <c r="S836" s="40" t="s">
        <v>502</v>
      </c>
      <c r="T836" s="40" t="s">
        <v>280</v>
      </c>
      <c r="U836" s="40" t="s">
        <v>5447</v>
      </c>
      <c r="V836" s="40"/>
      <c r="W836" s="40"/>
    </row>
    <row r="837" spans="1:23" ht="12" x14ac:dyDescent="0.2">
      <c r="A837" s="39" t="s">
        <v>2079</v>
      </c>
      <c r="B837" s="40" t="s">
        <v>329</v>
      </c>
      <c r="C837" s="40" t="s">
        <v>5448</v>
      </c>
      <c r="D837" s="41">
        <v>46035</v>
      </c>
      <c r="E837" s="41">
        <v>46065</v>
      </c>
      <c r="F837" s="41">
        <v>46091</v>
      </c>
      <c r="G837" s="42">
        <v>26</v>
      </c>
      <c r="H837" s="40" t="s">
        <v>549</v>
      </c>
      <c r="I837" s="39" t="s">
        <v>323</v>
      </c>
      <c r="J837" s="43">
        <v>2853157</v>
      </c>
      <c r="K837" s="43">
        <v>0</v>
      </c>
      <c r="L837" s="43">
        <v>18000</v>
      </c>
      <c r="M837" s="44">
        <v>0</v>
      </c>
      <c r="N837" s="44">
        <f t="shared" si="13"/>
        <v>13533.83</v>
      </c>
      <c r="O837" s="44">
        <v>13533.83</v>
      </c>
      <c r="P837" s="40" t="s">
        <v>5449</v>
      </c>
      <c r="Q837" s="40" t="s">
        <v>5450</v>
      </c>
      <c r="R837" s="40" t="s">
        <v>494</v>
      </c>
      <c r="S837" s="40" t="s">
        <v>502</v>
      </c>
      <c r="T837" s="40" t="s">
        <v>512</v>
      </c>
      <c r="U837" s="40" t="s">
        <v>5451</v>
      </c>
      <c r="V837" s="40"/>
      <c r="W837" s="40" t="s">
        <v>5452</v>
      </c>
    </row>
    <row r="838" spans="1:23" ht="12" x14ac:dyDescent="0.2">
      <c r="A838" s="39" t="s">
        <v>49</v>
      </c>
      <c r="B838" s="40" t="s">
        <v>396</v>
      </c>
      <c r="C838" s="40" t="s">
        <v>5453</v>
      </c>
      <c r="D838" s="41">
        <v>46035</v>
      </c>
      <c r="E838" s="41">
        <v>46065</v>
      </c>
      <c r="F838" s="41">
        <v>46091</v>
      </c>
      <c r="G838" s="42">
        <v>26</v>
      </c>
      <c r="H838" s="40" t="s">
        <v>549</v>
      </c>
      <c r="I838" s="39" t="s">
        <v>1470</v>
      </c>
      <c r="J838" s="43">
        <v>469002.51</v>
      </c>
      <c r="K838" s="43">
        <v>0</v>
      </c>
      <c r="L838" s="43">
        <v>469002.51</v>
      </c>
      <c r="M838" s="44">
        <v>0</v>
      </c>
      <c r="N838" s="44">
        <f t="shared" si="13"/>
        <v>49736.21</v>
      </c>
      <c r="O838" s="44">
        <v>49736.21</v>
      </c>
      <c r="P838" s="40" t="s">
        <v>5454</v>
      </c>
      <c r="Q838" s="40" t="s">
        <v>5455</v>
      </c>
      <c r="R838" s="40" t="s">
        <v>494</v>
      </c>
      <c r="S838" s="40" t="s">
        <v>502</v>
      </c>
      <c r="T838" s="40" t="s">
        <v>362</v>
      </c>
      <c r="U838" s="40" t="s">
        <v>3650</v>
      </c>
      <c r="V838" s="40" t="s">
        <v>5456</v>
      </c>
      <c r="W838" s="40" t="s">
        <v>5457</v>
      </c>
    </row>
    <row r="839" spans="1:23" ht="12" x14ac:dyDescent="0.2">
      <c r="A839" s="39" t="s">
        <v>366</v>
      </c>
      <c r="B839" s="40" t="s">
        <v>365</v>
      </c>
      <c r="C839" s="40" t="s">
        <v>5458</v>
      </c>
      <c r="D839" s="41">
        <v>46035</v>
      </c>
      <c r="E839" s="41">
        <v>46065</v>
      </c>
      <c r="F839" s="41">
        <v>46091</v>
      </c>
      <c r="G839" s="42">
        <v>26</v>
      </c>
      <c r="H839" s="40" t="s">
        <v>549</v>
      </c>
      <c r="I839" s="39" t="s">
        <v>320</v>
      </c>
      <c r="J839" s="43">
        <v>172046.5</v>
      </c>
      <c r="K839" s="43">
        <v>0</v>
      </c>
      <c r="L839" s="43">
        <v>172046.5</v>
      </c>
      <c r="M839" s="44">
        <v>0</v>
      </c>
      <c r="N839" s="44">
        <f t="shared" si="13"/>
        <v>172046.5</v>
      </c>
      <c r="O839" s="44">
        <v>172046.5</v>
      </c>
      <c r="P839" s="40" t="s">
        <v>5459</v>
      </c>
      <c r="Q839" s="40" t="s">
        <v>5460</v>
      </c>
      <c r="R839" s="40" t="s">
        <v>494</v>
      </c>
      <c r="S839" s="40" t="s">
        <v>502</v>
      </c>
      <c r="T839" s="40" t="s">
        <v>284</v>
      </c>
      <c r="U839" s="40" t="s">
        <v>803</v>
      </c>
      <c r="V839" s="40" t="s">
        <v>5461</v>
      </c>
      <c r="W839" s="40" t="s">
        <v>5462</v>
      </c>
    </row>
    <row r="840" spans="1:23" ht="12" x14ac:dyDescent="0.2">
      <c r="A840" s="39" t="s">
        <v>4627</v>
      </c>
      <c r="B840" s="40" t="s">
        <v>4628</v>
      </c>
      <c r="C840" s="40" t="s">
        <v>5463</v>
      </c>
      <c r="D840" s="41">
        <v>46035</v>
      </c>
      <c r="E840" s="41">
        <v>46065</v>
      </c>
      <c r="F840" s="41">
        <v>46091</v>
      </c>
      <c r="G840" s="42">
        <v>26</v>
      </c>
      <c r="H840" s="40" t="s">
        <v>549</v>
      </c>
      <c r="I840" s="39" t="s">
        <v>323</v>
      </c>
      <c r="J840" s="43">
        <v>41744.089999999997</v>
      </c>
      <c r="K840" s="43">
        <v>0</v>
      </c>
      <c r="L840" s="43">
        <v>23940.52</v>
      </c>
      <c r="M840" s="44">
        <v>0</v>
      </c>
      <c r="N840" s="44">
        <f t="shared" si="13"/>
        <v>17733.72</v>
      </c>
      <c r="O840" s="44">
        <v>17733.72</v>
      </c>
      <c r="P840" s="40" t="s">
        <v>5464</v>
      </c>
      <c r="Q840" s="40" t="s">
        <v>5465</v>
      </c>
      <c r="R840" s="40" t="s">
        <v>494</v>
      </c>
      <c r="S840" s="40" t="s">
        <v>495</v>
      </c>
      <c r="T840" s="40" t="s">
        <v>330</v>
      </c>
      <c r="U840" s="40" t="s">
        <v>768</v>
      </c>
      <c r="V840" s="40" t="s">
        <v>5466</v>
      </c>
      <c r="W840" s="40" t="s">
        <v>5467</v>
      </c>
    </row>
    <row r="841" spans="1:23" ht="12" x14ac:dyDescent="0.2">
      <c r="A841" s="39" t="s">
        <v>2178</v>
      </c>
      <c r="B841" s="40" t="s">
        <v>2179</v>
      </c>
      <c r="C841" s="40" t="s">
        <v>5468</v>
      </c>
      <c r="D841" s="41">
        <v>46035</v>
      </c>
      <c r="E841" s="41">
        <v>46065</v>
      </c>
      <c r="F841" s="41">
        <v>46091</v>
      </c>
      <c r="G841" s="42">
        <v>26</v>
      </c>
      <c r="H841" s="40" t="s">
        <v>549</v>
      </c>
      <c r="I841" s="39" t="s">
        <v>320</v>
      </c>
      <c r="J841" s="43">
        <v>43888.2</v>
      </c>
      <c r="K841" s="43">
        <v>0</v>
      </c>
      <c r="L841" s="43">
        <v>43888.2</v>
      </c>
      <c r="M841" s="44">
        <v>0</v>
      </c>
      <c r="N841" s="44">
        <f t="shared" si="13"/>
        <v>43888.2</v>
      </c>
      <c r="O841" s="44">
        <v>43888.2</v>
      </c>
      <c r="P841" s="40" t="s">
        <v>5469</v>
      </c>
      <c r="Q841" s="40" t="s">
        <v>5470</v>
      </c>
      <c r="R841" s="40" t="s">
        <v>494</v>
      </c>
      <c r="S841" s="40" t="s">
        <v>502</v>
      </c>
      <c r="T841" s="40" t="s">
        <v>733</v>
      </c>
      <c r="U841" s="40" t="s">
        <v>2293</v>
      </c>
      <c r="V841" s="40"/>
      <c r="W841" s="40" t="s">
        <v>5471</v>
      </c>
    </row>
    <row r="842" spans="1:23" ht="12" x14ac:dyDescent="0.2">
      <c r="A842" s="39" t="s">
        <v>2178</v>
      </c>
      <c r="B842" s="40" t="s">
        <v>2179</v>
      </c>
      <c r="C842" s="40" t="s">
        <v>5472</v>
      </c>
      <c r="D842" s="41">
        <v>46035</v>
      </c>
      <c r="E842" s="41">
        <v>46065</v>
      </c>
      <c r="F842" s="41">
        <v>46091</v>
      </c>
      <c r="G842" s="42">
        <v>26</v>
      </c>
      <c r="H842" s="40" t="s">
        <v>549</v>
      </c>
      <c r="I842" s="39" t="s">
        <v>320</v>
      </c>
      <c r="J842" s="43">
        <v>-74429.440000000002</v>
      </c>
      <c r="K842" s="43">
        <v>0</v>
      </c>
      <c r="L842" s="43">
        <v>-74429.440000000002</v>
      </c>
      <c r="M842" s="44">
        <v>0</v>
      </c>
      <c r="N842" s="44">
        <f t="shared" si="13"/>
        <v>-74429.440000000002</v>
      </c>
      <c r="O842" s="44">
        <v>-74429.440000000002</v>
      </c>
      <c r="P842" s="40" t="s">
        <v>2512</v>
      </c>
      <c r="Q842" s="40" t="s">
        <v>2513</v>
      </c>
      <c r="R842" s="40" t="s">
        <v>494</v>
      </c>
      <c r="S842" s="40" t="s">
        <v>502</v>
      </c>
      <c r="T842" s="40" t="s">
        <v>497</v>
      </c>
      <c r="U842" s="40" t="s">
        <v>581</v>
      </c>
      <c r="V842" s="40"/>
      <c r="W842" s="40" t="s">
        <v>2514</v>
      </c>
    </row>
    <row r="843" spans="1:23" ht="12" x14ac:dyDescent="0.2">
      <c r="A843" s="39" t="s">
        <v>16</v>
      </c>
      <c r="B843" s="40" t="s">
        <v>414</v>
      </c>
      <c r="C843" s="40" t="s">
        <v>5473</v>
      </c>
      <c r="D843" s="41">
        <v>46035</v>
      </c>
      <c r="E843" s="41">
        <v>46065</v>
      </c>
      <c r="F843" s="41">
        <v>46091</v>
      </c>
      <c r="G843" s="42">
        <v>26</v>
      </c>
      <c r="H843" s="40" t="s">
        <v>549</v>
      </c>
      <c r="I843" s="39" t="s">
        <v>320</v>
      </c>
      <c r="J843" s="43">
        <v>7484</v>
      </c>
      <c r="K843" s="43">
        <v>0</v>
      </c>
      <c r="L843" s="43">
        <v>7484</v>
      </c>
      <c r="M843" s="44">
        <v>0</v>
      </c>
      <c r="N843" s="44">
        <f t="shared" si="13"/>
        <v>7484</v>
      </c>
      <c r="O843" s="44">
        <v>7484</v>
      </c>
      <c r="P843" s="40" t="s">
        <v>5474</v>
      </c>
      <c r="Q843" s="40" t="s">
        <v>5475</v>
      </c>
      <c r="R843" s="40" t="s">
        <v>494</v>
      </c>
      <c r="S843" s="40" t="s">
        <v>495</v>
      </c>
      <c r="T843" s="40" t="s">
        <v>330</v>
      </c>
      <c r="U843" s="40" t="s">
        <v>587</v>
      </c>
      <c r="V843" s="40"/>
      <c r="W843" s="40" t="s">
        <v>5476</v>
      </c>
    </row>
    <row r="844" spans="1:23" ht="12" x14ac:dyDescent="0.2">
      <c r="A844" s="39" t="s">
        <v>53</v>
      </c>
      <c r="B844" s="40" t="s">
        <v>331</v>
      </c>
      <c r="C844" s="40" t="s">
        <v>5477</v>
      </c>
      <c r="D844" s="41">
        <v>46035</v>
      </c>
      <c r="E844" s="41">
        <v>46065</v>
      </c>
      <c r="F844" s="41">
        <v>46091</v>
      </c>
      <c r="G844" s="42">
        <v>26</v>
      </c>
      <c r="H844" s="40" t="s">
        <v>549</v>
      </c>
      <c r="I844" s="39" t="s">
        <v>320</v>
      </c>
      <c r="J844" s="43">
        <v>55156</v>
      </c>
      <c r="K844" s="43">
        <v>0</v>
      </c>
      <c r="L844" s="43">
        <v>55156</v>
      </c>
      <c r="M844" s="44">
        <v>0</v>
      </c>
      <c r="N844" s="44">
        <f t="shared" si="13"/>
        <v>55156</v>
      </c>
      <c r="O844" s="44">
        <v>55156</v>
      </c>
      <c r="P844" s="40" t="s">
        <v>5478</v>
      </c>
      <c r="Q844" s="40" t="s">
        <v>5479</v>
      </c>
      <c r="R844" s="40" t="s">
        <v>494</v>
      </c>
      <c r="S844" s="40" t="s">
        <v>502</v>
      </c>
      <c r="T844" s="40" t="s">
        <v>219</v>
      </c>
      <c r="U844" s="40" t="s">
        <v>2420</v>
      </c>
      <c r="V844" s="40"/>
      <c r="W844" s="40" t="s">
        <v>5480</v>
      </c>
    </row>
    <row r="845" spans="1:23" ht="12" x14ac:dyDescent="0.2">
      <c r="A845" s="39" t="s">
        <v>2178</v>
      </c>
      <c r="B845" s="40" t="s">
        <v>2179</v>
      </c>
      <c r="C845" s="40" t="s">
        <v>5481</v>
      </c>
      <c r="D845" s="41">
        <v>46035</v>
      </c>
      <c r="E845" s="41">
        <v>46065</v>
      </c>
      <c r="F845" s="41">
        <v>46091</v>
      </c>
      <c r="G845" s="42">
        <v>26</v>
      </c>
      <c r="H845" s="40" t="s">
        <v>549</v>
      </c>
      <c r="I845" s="39" t="s">
        <v>320</v>
      </c>
      <c r="J845" s="43">
        <v>75759.41</v>
      </c>
      <c r="K845" s="43">
        <v>0</v>
      </c>
      <c r="L845" s="43">
        <v>75759.41</v>
      </c>
      <c r="M845" s="44">
        <v>0</v>
      </c>
      <c r="N845" s="44">
        <f t="shared" si="13"/>
        <v>75759.41</v>
      </c>
      <c r="O845" s="44">
        <v>75759.41</v>
      </c>
      <c r="P845" s="40" t="s">
        <v>5482</v>
      </c>
      <c r="Q845" s="40" t="s">
        <v>5483</v>
      </c>
      <c r="R845" s="40" t="s">
        <v>494</v>
      </c>
      <c r="S845" s="40" t="s">
        <v>502</v>
      </c>
      <c r="T845" s="40" t="s">
        <v>222</v>
      </c>
      <c r="U845" s="40" t="s">
        <v>5484</v>
      </c>
      <c r="V845" s="40"/>
      <c r="W845" s="40" t="s">
        <v>5485</v>
      </c>
    </row>
    <row r="846" spans="1:23" ht="12" x14ac:dyDescent="0.2">
      <c r="A846" s="39" t="s">
        <v>1871</v>
      </c>
      <c r="B846" s="40" t="s">
        <v>5439</v>
      </c>
      <c r="C846" s="40" t="s">
        <v>5486</v>
      </c>
      <c r="D846" s="41">
        <v>46036</v>
      </c>
      <c r="E846" s="41">
        <v>46066</v>
      </c>
      <c r="F846" s="41">
        <v>46091</v>
      </c>
      <c r="G846" s="42">
        <v>25</v>
      </c>
      <c r="H846" s="40" t="s">
        <v>549</v>
      </c>
      <c r="I846" s="39" t="s">
        <v>320</v>
      </c>
      <c r="J846" s="43">
        <v>22445.47</v>
      </c>
      <c r="K846" s="43">
        <v>0</v>
      </c>
      <c r="L846" s="43">
        <v>22445.47</v>
      </c>
      <c r="M846" s="44">
        <v>0</v>
      </c>
      <c r="N846" s="44">
        <f t="shared" si="13"/>
        <v>22445.47</v>
      </c>
      <c r="O846" s="44">
        <v>22445.47</v>
      </c>
      <c r="P846" s="40" t="s">
        <v>2109</v>
      </c>
      <c r="Q846" s="40" t="s">
        <v>5441</v>
      </c>
      <c r="R846" s="40" t="s">
        <v>494</v>
      </c>
      <c r="S846" s="40" t="s">
        <v>502</v>
      </c>
      <c r="T846" s="40" t="s">
        <v>1372</v>
      </c>
      <c r="U846" s="40" t="s">
        <v>5442</v>
      </c>
      <c r="V846" s="40"/>
      <c r="W846" s="40" t="s">
        <v>5443</v>
      </c>
    </row>
    <row r="847" spans="1:23" ht="12" x14ac:dyDescent="0.2">
      <c r="A847" s="39" t="s">
        <v>412</v>
      </c>
      <c r="B847" s="40" t="s">
        <v>411</v>
      </c>
      <c r="C847" s="40" t="s">
        <v>5487</v>
      </c>
      <c r="D847" s="41">
        <v>46036</v>
      </c>
      <c r="E847" s="41">
        <v>46066</v>
      </c>
      <c r="F847" s="41">
        <v>46091</v>
      </c>
      <c r="G847" s="42">
        <v>25</v>
      </c>
      <c r="H847" s="40" t="s">
        <v>549</v>
      </c>
      <c r="I847" s="39" t="s">
        <v>320</v>
      </c>
      <c r="J847" s="43">
        <v>150329.74</v>
      </c>
      <c r="K847" s="43">
        <v>0</v>
      </c>
      <c r="L847" s="43">
        <v>150329.74</v>
      </c>
      <c r="M847" s="44">
        <v>0</v>
      </c>
      <c r="N847" s="44">
        <f t="shared" si="13"/>
        <v>150329.74</v>
      </c>
      <c r="O847" s="44">
        <v>150329.74</v>
      </c>
      <c r="P847" s="40" t="s">
        <v>5488</v>
      </c>
      <c r="Q847" s="40" t="s">
        <v>5489</v>
      </c>
      <c r="R847" s="40" t="s">
        <v>494</v>
      </c>
      <c r="S847" s="40" t="s">
        <v>502</v>
      </c>
      <c r="T847" s="40" t="s">
        <v>287</v>
      </c>
      <c r="U847" s="40" t="s">
        <v>4343</v>
      </c>
      <c r="V847" s="40"/>
      <c r="W847" s="40" t="s">
        <v>5490</v>
      </c>
    </row>
    <row r="848" spans="1:23" ht="12" x14ac:dyDescent="0.2">
      <c r="A848" s="39" t="s">
        <v>2178</v>
      </c>
      <c r="B848" s="40" t="s">
        <v>2179</v>
      </c>
      <c r="C848" s="40" t="s">
        <v>5491</v>
      </c>
      <c r="D848" s="41">
        <v>46036</v>
      </c>
      <c r="E848" s="41">
        <v>46066</v>
      </c>
      <c r="F848" s="41">
        <v>46091</v>
      </c>
      <c r="G848" s="42">
        <v>25</v>
      </c>
      <c r="H848" s="40" t="s">
        <v>549</v>
      </c>
      <c r="I848" s="39" t="s">
        <v>320</v>
      </c>
      <c r="J848" s="43">
        <v>5814.44</v>
      </c>
      <c r="K848" s="43">
        <v>0</v>
      </c>
      <c r="L848" s="43">
        <v>5814.44</v>
      </c>
      <c r="M848" s="44">
        <v>0</v>
      </c>
      <c r="N848" s="44">
        <f t="shared" si="13"/>
        <v>5814.44</v>
      </c>
      <c r="O848" s="44">
        <v>5814.44</v>
      </c>
      <c r="P848" s="40" t="s">
        <v>5492</v>
      </c>
      <c r="Q848" s="40" t="s">
        <v>5493</v>
      </c>
      <c r="R848" s="40" t="s">
        <v>494</v>
      </c>
      <c r="S848" s="40" t="s">
        <v>502</v>
      </c>
      <c r="T848" s="40" t="s">
        <v>163</v>
      </c>
      <c r="U848" s="40" t="s">
        <v>5494</v>
      </c>
      <c r="V848" s="40"/>
      <c r="W848" s="40" t="s">
        <v>5495</v>
      </c>
    </row>
    <row r="849" spans="1:23" ht="12" x14ac:dyDescent="0.2">
      <c r="A849" s="39" t="s">
        <v>814</v>
      </c>
      <c r="B849" s="40" t="s">
        <v>834</v>
      </c>
      <c r="C849" s="40" t="s">
        <v>5496</v>
      </c>
      <c r="D849" s="41">
        <v>46036</v>
      </c>
      <c r="E849" s="41">
        <v>46066</v>
      </c>
      <c r="F849" s="41">
        <v>46091</v>
      </c>
      <c r="G849" s="42">
        <v>25</v>
      </c>
      <c r="H849" s="40" t="s">
        <v>549</v>
      </c>
      <c r="I849" s="39" t="s">
        <v>320</v>
      </c>
      <c r="J849" s="43">
        <v>38258.379999999997</v>
      </c>
      <c r="K849" s="43">
        <v>0</v>
      </c>
      <c r="L849" s="43">
        <v>38258.379999999997</v>
      </c>
      <c r="M849" s="44">
        <v>0</v>
      </c>
      <c r="N849" s="44">
        <f t="shared" si="13"/>
        <v>38258.379999999997</v>
      </c>
      <c r="O849" s="44">
        <v>38258.379999999997</v>
      </c>
      <c r="P849" s="40" t="s">
        <v>3102</v>
      </c>
      <c r="Q849" s="40" t="s">
        <v>3103</v>
      </c>
      <c r="R849" s="40" t="s">
        <v>494</v>
      </c>
      <c r="S849" s="40" t="s">
        <v>502</v>
      </c>
      <c r="T849" s="40" t="s">
        <v>284</v>
      </c>
      <c r="U849" s="40" t="s">
        <v>566</v>
      </c>
      <c r="V849" s="40"/>
      <c r="W849" s="40" t="s">
        <v>3104</v>
      </c>
    </row>
    <row r="850" spans="1:23" ht="12" x14ac:dyDescent="0.2">
      <c r="A850" s="39" t="s">
        <v>335</v>
      </c>
      <c r="B850" s="40" t="s">
        <v>334</v>
      </c>
      <c r="C850" s="40" t="s">
        <v>5497</v>
      </c>
      <c r="D850" s="41">
        <v>46036</v>
      </c>
      <c r="E850" s="41">
        <v>46066</v>
      </c>
      <c r="F850" s="41">
        <v>46091</v>
      </c>
      <c r="G850" s="42">
        <v>25</v>
      </c>
      <c r="H850" s="40" t="s">
        <v>549</v>
      </c>
      <c r="I850" s="39" t="s">
        <v>320</v>
      </c>
      <c r="J850" s="43">
        <v>10722.22</v>
      </c>
      <c r="K850" s="43">
        <v>0</v>
      </c>
      <c r="L850" s="43">
        <v>10722.22</v>
      </c>
      <c r="M850" s="44">
        <v>0</v>
      </c>
      <c r="N850" s="44">
        <f t="shared" si="13"/>
        <v>10722.22</v>
      </c>
      <c r="O850" s="44">
        <v>10722.22</v>
      </c>
      <c r="P850" s="40" t="s">
        <v>5498</v>
      </c>
      <c r="Q850" s="40" t="s">
        <v>5499</v>
      </c>
      <c r="R850" s="40" t="s">
        <v>494</v>
      </c>
      <c r="S850" s="40" t="s">
        <v>495</v>
      </c>
      <c r="T850" s="40" t="s">
        <v>284</v>
      </c>
      <c r="U850" s="40" t="s">
        <v>1798</v>
      </c>
      <c r="V850" s="40"/>
      <c r="W850" s="40" t="s">
        <v>5500</v>
      </c>
    </row>
    <row r="851" spans="1:23" ht="12" x14ac:dyDescent="0.2">
      <c r="A851" s="39" t="s">
        <v>337</v>
      </c>
      <c r="B851" s="40" t="s">
        <v>336</v>
      </c>
      <c r="C851" s="40" t="s">
        <v>5501</v>
      </c>
      <c r="D851" s="41">
        <v>46036</v>
      </c>
      <c r="E851" s="41">
        <v>46066</v>
      </c>
      <c r="F851" s="41">
        <v>46091</v>
      </c>
      <c r="G851" s="42">
        <v>25</v>
      </c>
      <c r="H851" s="40" t="s">
        <v>549</v>
      </c>
      <c r="I851" s="39" t="s">
        <v>320</v>
      </c>
      <c r="J851" s="43">
        <v>67533.399999999994</v>
      </c>
      <c r="K851" s="43">
        <v>0</v>
      </c>
      <c r="L851" s="43">
        <v>67533.399999999994</v>
      </c>
      <c r="M851" s="44">
        <v>0</v>
      </c>
      <c r="N851" s="44">
        <f t="shared" si="13"/>
        <v>67533.399999999994</v>
      </c>
      <c r="O851" s="44">
        <v>67533.399999999994</v>
      </c>
      <c r="P851" s="40" t="s">
        <v>2611</v>
      </c>
      <c r="Q851" s="40" t="s">
        <v>2612</v>
      </c>
      <c r="R851" s="40" t="s">
        <v>494</v>
      </c>
      <c r="S851" s="40" t="s">
        <v>502</v>
      </c>
      <c r="T851" s="40" t="s">
        <v>362</v>
      </c>
      <c r="U851" s="40" t="s">
        <v>2914</v>
      </c>
      <c r="V851" s="40"/>
      <c r="W851" s="40" t="s">
        <v>2613</v>
      </c>
    </row>
    <row r="852" spans="1:23" ht="12" x14ac:dyDescent="0.2">
      <c r="A852" s="39" t="s">
        <v>374</v>
      </c>
      <c r="B852" s="40" t="s">
        <v>373</v>
      </c>
      <c r="C852" s="40" t="s">
        <v>5502</v>
      </c>
      <c r="D852" s="41">
        <v>46036</v>
      </c>
      <c r="E852" s="41">
        <v>46066</v>
      </c>
      <c r="F852" s="41">
        <v>46091</v>
      </c>
      <c r="G852" s="42">
        <v>25</v>
      </c>
      <c r="H852" s="40" t="s">
        <v>549</v>
      </c>
      <c r="I852" s="39" t="s">
        <v>320</v>
      </c>
      <c r="J852" s="43">
        <v>98671.38</v>
      </c>
      <c r="K852" s="43">
        <v>0</v>
      </c>
      <c r="L852" s="43">
        <v>98671.38</v>
      </c>
      <c r="M852" s="44">
        <v>0</v>
      </c>
      <c r="N852" s="44">
        <f t="shared" si="13"/>
        <v>98671.38</v>
      </c>
      <c r="O852" s="44">
        <v>98671.38</v>
      </c>
      <c r="P852" s="40" t="s">
        <v>5503</v>
      </c>
      <c r="Q852" s="40" t="s">
        <v>5504</v>
      </c>
      <c r="R852" s="40" t="s">
        <v>494</v>
      </c>
      <c r="S852" s="40" t="s">
        <v>502</v>
      </c>
      <c r="T852" s="40" t="s">
        <v>773</v>
      </c>
      <c r="U852" s="40" t="s">
        <v>5505</v>
      </c>
      <c r="V852" s="40" t="s">
        <v>5506</v>
      </c>
      <c r="W852" s="40" t="s">
        <v>5507</v>
      </c>
    </row>
    <row r="853" spans="1:23" ht="12" x14ac:dyDescent="0.2">
      <c r="A853" s="39" t="s">
        <v>815</v>
      </c>
      <c r="B853" s="40" t="s">
        <v>1119</v>
      </c>
      <c r="C853" s="40" t="s">
        <v>5508</v>
      </c>
      <c r="D853" s="41">
        <v>46036</v>
      </c>
      <c r="E853" s="41">
        <v>46066</v>
      </c>
      <c r="F853" s="41">
        <v>46091</v>
      </c>
      <c r="G853" s="42">
        <v>25</v>
      </c>
      <c r="H853" s="40" t="s">
        <v>549</v>
      </c>
      <c r="I853" s="39" t="s">
        <v>320</v>
      </c>
      <c r="J853" s="43">
        <v>6514.84</v>
      </c>
      <c r="K853" s="43">
        <v>0</v>
      </c>
      <c r="L853" s="43">
        <v>6514.84</v>
      </c>
      <c r="M853" s="44">
        <v>0</v>
      </c>
      <c r="N853" s="44">
        <f t="shared" si="13"/>
        <v>6514.84</v>
      </c>
      <c r="O853" s="44">
        <v>6514.84</v>
      </c>
      <c r="P853" s="40" t="s">
        <v>5509</v>
      </c>
      <c r="Q853" s="40" t="s">
        <v>5510</v>
      </c>
      <c r="R853" s="40" t="s">
        <v>494</v>
      </c>
      <c r="S853" s="40" t="s">
        <v>495</v>
      </c>
      <c r="T853" s="40" t="s">
        <v>284</v>
      </c>
      <c r="U853" s="40" t="s">
        <v>2608</v>
      </c>
      <c r="V853" s="40" t="s">
        <v>5511</v>
      </c>
      <c r="W853" s="40" t="s">
        <v>5512</v>
      </c>
    </row>
    <row r="854" spans="1:23" ht="12" x14ac:dyDescent="0.2">
      <c r="A854" s="39" t="s">
        <v>16</v>
      </c>
      <c r="B854" s="40" t="s">
        <v>414</v>
      </c>
      <c r="C854" s="40" t="s">
        <v>5513</v>
      </c>
      <c r="D854" s="41">
        <v>46037</v>
      </c>
      <c r="E854" s="41">
        <v>46067</v>
      </c>
      <c r="F854" s="41">
        <v>46091</v>
      </c>
      <c r="G854" s="42">
        <v>24</v>
      </c>
      <c r="H854" s="40" t="s">
        <v>549</v>
      </c>
      <c r="I854" s="39" t="s">
        <v>320</v>
      </c>
      <c r="J854" s="43">
        <v>24725</v>
      </c>
      <c r="K854" s="43">
        <v>0</v>
      </c>
      <c r="L854" s="43">
        <v>24725</v>
      </c>
      <c r="M854" s="44">
        <v>0</v>
      </c>
      <c r="N854" s="44">
        <f t="shared" si="13"/>
        <v>24725</v>
      </c>
      <c r="O854" s="44">
        <v>24725</v>
      </c>
      <c r="P854" s="40" t="s">
        <v>5514</v>
      </c>
      <c r="Q854" s="40" t="s">
        <v>5515</v>
      </c>
      <c r="R854" s="40" t="s">
        <v>494</v>
      </c>
      <c r="S854" s="40" t="s">
        <v>502</v>
      </c>
      <c r="T854" s="40" t="s">
        <v>280</v>
      </c>
      <c r="U854" s="40" t="s">
        <v>5516</v>
      </c>
      <c r="V854" s="40"/>
      <c r="W854" s="40" t="s">
        <v>5517</v>
      </c>
    </row>
    <row r="855" spans="1:23" ht="12" x14ac:dyDescent="0.2">
      <c r="A855" s="39" t="s">
        <v>5518</v>
      </c>
      <c r="B855" s="40" t="s">
        <v>5519</v>
      </c>
      <c r="C855" s="40" t="s">
        <v>5520</v>
      </c>
      <c r="D855" s="41">
        <v>46037</v>
      </c>
      <c r="E855" s="41">
        <v>46067</v>
      </c>
      <c r="F855" s="41">
        <v>46091</v>
      </c>
      <c r="G855" s="42">
        <v>24</v>
      </c>
      <c r="H855" s="40" t="s">
        <v>549</v>
      </c>
      <c r="I855" s="39" t="s">
        <v>323</v>
      </c>
      <c r="J855" s="43">
        <v>20633.97</v>
      </c>
      <c r="K855" s="43">
        <v>0</v>
      </c>
      <c r="L855" s="43">
        <v>20633.97</v>
      </c>
      <c r="M855" s="44">
        <v>0</v>
      </c>
      <c r="N855" s="44">
        <f t="shared" si="13"/>
        <v>15284.42</v>
      </c>
      <c r="O855" s="44">
        <v>15284.42</v>
      </c>
      <c r="P855" s="40" t="s">
        <v>5521</v>
      </c>
      <c r="Q855" s="40" t="s">
        <v>5522</v>
      </c>
      <c r="R855" s="40" t="s">
        <v>494</v>
      </c>
      <c r="S855" s="40" t="s">
        <v>502</v>
      </c>
      <c r="T855" s="40" t="s">
        <v>542</v>
      </c>
      <c r="U855" s="40" t="s">
        <v>1090</v>
      </c>
      <c r="V855" s="40"/>
      <c r="W855" s="40" t="s">
        <v>5523</v>
      </c>
    </row>
    <row r="856" spans="1:23" ht="12" x14ac:dyDescent="0.2">
      <c r="A856" s="39" t="s">
        <v>1164</v>
      </c>
      <c r="B856" s="40" t="s">
        <v>1165</v>
      </c>
      <c r="C856" s="40" t="s">
        <v>5524</v>
      </c>
      <c r="D856" s="41">
        <v>46037</v>
      </c>
      <c r="E856" s="41">
        <v>46067</v>
      </c>
      <c r="F856" s="41">
        <v>46091</v>
      </c>
      <c r="G856" s="42">
        <v>24</v>
      </c>
      <c r="H856" s="40" t="s">
        <v>549</v>
      </c>
      <c r="I856" s="39" t="s">
        <v>320</v>
      </c>
      <c r="J856" s="43">
        <v>10000</v>
      </c>
      <c r="K856" s="43">
        <v>0</v>
      </c>
      <c r="L856" s="43">
        <v>10000</v>
      </c>
      <c r="M856" s="44">
        <v>0</v>
      </c>
      <c r="N856" s="44">
        <f t="shared" si="13"/>
        <v>10000</v>
      </c>
      <c r="O856" s="44">
        <v>10000</v>
      </c>
      <c r="P856" s="40" t="s">
        <v>5525</v>
      </c>
      <c r="Q856" s="40" t="s">
        <v>5526</v>
      </c>
      <c r="R856" s="40" t="s">
        <v>494</v>
      </c>
      <c r="S856" s="40" t="s">
        <v>502</v>
      </c>
      <c r="T856" s="40" t="s">
        <v>343</v>
      </c>
      <c r="U856" s="40" t="s">
        <v>5527</v>
      </c>
      <c r="V856" s="40"/>
      <c r="W856" s="40" t="s">
        <v>321</v>
      </c>
    </row>
    <row r="857" spans="1:23" ht="12" x14ac:dyDescent="0.2">
      <c r="A857" s="39" t="s">
        <v>337</v>
      </c>
      <c r="B857" s="40" t="s">
        <v>336</v>
      </c>
      <c r="C857" s="40" t="s">
        <v>5528</v>
      </c>
      <c r="D857" s="41">
        <v>46037</v>
      </c>
      <c r="E857" s="41">
        <v>46067</v>
      </c>
      <c r="F857" s="41">
        <v>46091</v>
      </c>
      <c r="G857" s="42">
        <v>24</v>
      </c>
      <c r="H857" s="40" t="s">
        <v>549</v>
      </c>
      <c r="I857" s="39" t="s">
        <v>320</v>
      </c>
      <c r="J857" s="43">
        <v>-738.33</v>
      </c>
      <c r="K857" s="43">
        <v>0</v>
      </c>
      <c r="L857" s="43">
        <v>-738.33</v>
      </c>
      <c r="M857" s="44">
        <v>0</v>
      </c>
      <c r="N857" s="44">
        <f t="shared" si="13"/>
        <v>-738.33</v>
      </c>
      <c r="O857" s="44">
        <v>-738.33</v>
      </c>
      <c r="P857" s="40" t="s">
        <v>1746</v>
      </c>
      <c r="Q857" s="40" t="s">
        <v>1747</v>
      </c>
      <c r="R857" s="40" t="s">
        <v>494</v>
      </c>
      <c r="S857" s="40" t="s">
        <v>502</v>
      </c>
      <c r="T857" s="40" t="s">
        <v>289</v>
      </c>
      <c r="U857" s="40" t="s">
        <v>5529</v>
      </c>
      <c r="V857" s="40" t="s">
        <v>3880</v>
      </c>
      <c r="W857" s="40" t="s">
        <v>1749</v>
      </c>
    </row>
    <row r="858" spans="1:23" ht="12" x14ac:dyDescent="0.2">
      <c r="A858" s="39" t="s">
        <v>2178</v>
      </c>
      <c r="B858" s="40" t="s">
        <v>2179</v>
      </c>
      <c r="C858" s="40" t="s">
        <v>5530</v>
      </c>
      <c r="D858" s="41">
        <v>46037</v>
      </c>
      <c r="E858" s="41">
        <v>46067</v>
      </c>
      <c r="F858" s="41">
        <v>46091</v>
      </c>
      <c r="G858" s="42">
        <v>24</v>
      </c>
      <c r="H858" s="40" t="s">
        <v>549</v>
      </c>
      <c r="I858" s="39" t="s">
        <v>320</v>
      </c>
      <c r="J858" s="43">
        <v>64156.86</v>
      </c>
      <c r="K858" s="43">
        <v>0</v>
      </c>
      <c r="L858" s="43">
        <v>8034.6</v>
      </c>
      <c r="M858" s="44">
        <v>0</v>
      </c>
      <c r="N858" s="44">
        <f t="shared" si="13"/>
        <v>8034.6</v>
      </c>
      <c r="O858" s="44">
        <v>8034.6</v>
      </c>
      <c r="P858" s="40" t="s">
        <v>5531</v>
      </c>
      <c r="Q858" s="40" t="s">
        <v>5532</v>
      </c>
      <c r="R858" s="40" t="s">
        <v>494</v>
      </c>
      <c r="S858" s="40" t="s">
        <v>502</v>
      </c>
      <c r="T858" s="40" t="s">
        <v>190</v>
      </c>
      <c r="U858" s="40" t="s">
        <v>5533</v>
      </c>
      <c r="V858" s="40"/>
      <c r="W858" s="40" t="s">
        <v>5534</v>
      </c>
    </row>
    <row r="859" spans="1:23" ht="12" x14ac:dyDescent="0.2">
      <c r="A859" s="39" t="s">
        <v>2178</v>
      </c>
      <c r="B859" s="40" t="s">
        <v>2179</v>
      </c>
      <c r="C859" s="40" t="s">
        <v>5535</v>
      </c>
      <c r="D859" s="41">
        <v>46037</v>
      </c>
      <c r="E859" s="41">
        <v>46067</v>
      </c>
      <c r="F859" s="41">
        <v>46091</v>
      </c>
      <c r="G859" s="42">
        <v>24</v>
      </c>
      <c r="H859" s="40" t="s">
        <v>549</v>
      </c>
      <c r="I859" s="39" t="s">
        <v>320</v>
      </c>
      <c r="J859" s="43">
        <v>-633.48</v>
      </c>
      <c r="K859" s="43">
        <v>0</v>
      </c>
      <c r="L859" s="43">
        <v>-633.48</v>
      </c>
      <c r="M859" s="44">
        <v>0</v>
      </c>
      <c r="N859" s="44">
        <f t="shared" si="13"/>
        <v>-633.48</v>
      </c>
      <c r="O859" s="44">
        <v>-633.48</v>
      </c>
      <c r="P859" s="40" t="s">
        <v>5536</v>
      </c>
      <c r="Q859" s="40" t="s">
        <v>5537</v>
      </c>
      <c r="R859" s="40" t="s">
        <v>494</v>
      </c>
      <c r="S859" s="40" t="s">
        <v>502</v>
      </c>
      <c r="T859" s="40" t="s">
        <v>191</v>
      </c>
      <c r="U859" s="40" t="s">
        <v>692</v>
      </c>
      <c r="V859" s="40"/>
      <c r="W859" s="40" t="s">
        <v>5538</v>
      </c>
    </row>
    <row r="860" spans="1:23" ht="12" x14ac:dyDescent="0.2">
      <c r="A860" s="39" t="s">
        <v>339</v>
      </c>
      <c r="B860" s="40" t="s">
        <v>338</v>
      </c>
      <c r="C860" s="40" t="s">
        <v>5539</v>
      </c>
      <c r="D860" s="41">
        <v>46037</v>
      </c>
      <c r="E860" s="41">
        <v>46067</v>
      </c>
      <c r="F860" s="41">
        <v>46091</v>
      </c>
      <c r="G860" s="42">
        <v>24</v>
      </c>
      <c r="H860" s="40" t="s">
        <v>549</v>
      </c>
      <c r="I860" s="39" t="s">
        <v>320</v>
      </c>
      <c r="J860" s="43">
        <v>100572.14</v>
      </c>
      <c r="K860" s="43">
        <v>0</v>
      </c>
      <c r="L860" s="43">
        <v>100572.14</v>
      </c>
      <c r="M860" s="44">
        <v>0</v>
      </c>
      <c r="N860" s="44">
        <f t="shared" si="13"/>
        <v>100572.14</v>
      </c>
      <c r="O860" s="44">
        <v>100572.14</v>
      </c>
      <c r="P860" s="40" t="s">
        <v>5540</v>
      </c>
      <c r="Q860" s="40" t="s">
        <v>5541</v>
      </c>
      <c r="R860" s="40" t="s">
        <v>494</v>
      </c>
      <c r="S860" s="40" t="s">
        <v>495</v>
      </c>
      <c r="T860" s="40" t="s">
        <v>508</v>
      </c>
      <c r="U860" s="40" t="s">
        <v>3707</v>
      </c>
      <c r="V860" s="40" t="s">
        <v>4451</v>
      </c>
      <c r="W860" s="40" t="s">
        <v>5542</v>
      </c>
    </row>
    <row r="861" spans="1:23" ht="12" x14ac:dyDescent="0.2">
      <c r="A861" s="39" t="s">
        <v>461</v>
      </c>
      <c r="B861" s="40" t="s">
        <v>460</v>
      </c>
      <c r="C861" s="40" t="s">
        <v>5543</v>
      </c>
      <c r="D861" s="41">
        <v>46037</v>
      </c>
      <c r="E861" s="41">
        <v>46067</v>
      </c>
      <c r="F861" s="41">
        <v>46091</v>
      </c>
      <c r="G861" s="42">
        <v>24</v>
      </c>
      <c r="H861" s="40" t="s">
        <v>549</v>
      </c>
      <c r="I861" s="39" t="s">
        <v>320</v>
      </c>
      <c r="J861" s="43">
        <v>30707.84</v>
      </c>
      <c r="K861" s="43">
        <v>0</v>
      </c>
      <c r="L861" s="43">
        <v>30707.84</v>
      </c>
      <c r="M861" s="44">
        <v>0</v>
      </c>
      <c r="N861" s="44">
        <f t="shared" si="13"/>
        <v>30707.84</v>
      </c>
      <c r="O861" s="44">
        <v>30707.84</v>
      </c>
      <c r="P861" s="40" t="s">
        <v>3105</v>
      </c>
      <c r="Q861" s="40" t="s">
        <v>3106</v>
      </c>
      <c r="R861" s="40" t="s">
        <v>494</v>
      </c>
      <c r="S861" s="40" t="s">
        <v>502</v>
      </c>
      <c r="T861" s="40" t="s">
        <v>535</v>
      </c>
      <c r="U861" s="40" t="s">
        <v>905</v>
      </c>
      <c r="V861" s="40"/>
      <c r="W861" s="40" t="s">
        <v>3107</v>
      </c>
    </row>
    <row r="862" spans="1:23" ht="12" x14ac:dyDescent="0.2">
      <c r="A862" s="39" t="s">
        <v>49</v>
      </c>
      <c r="B862" s="40" t="s">
        <v>396</v>
      </c>
      <c r="C862" s="40" t="s">
        <v>5544</v>
      </c>
      <c r="D862" s="41">
        <v>46037</v>
      </c>
      <c r="E862" s="41">
        <v>46067</v>
      </c>
      <c r="F862" s="41">
        <v>46091</v>
      </c>
      <c r="G862" s="42">
        <v>24</v>
      </c>
      <c r="H862" s="40" t="s">
        <v>549</v>
      </c>
      <c r="I862" s="39" t="s">
        <v>320</v>
      </c>
      <c r="J862" s="43">
        <v>19838.53</v>
      </c>
      <c r="K862" s="43">
        <v>0</v>
      </c>
      <c r="L862" s="43">
        <v>19838.53</v>
      </c>
      <c r="M862" s="44">
        <v>0</v>
      </c>
      <c r="N862" s="44">
        <f t="shared" si="13"/>
        <v>19838.53</v>
      </c>
      <c r="O862" s="44">
        <v>19838.53</v>
      </c>
      <c r="P862" s="40" t="s">
        <v>3509</v>
      </c>
      <c r="Q862" s="40" t="s">
        <v>3510</v>
      </c>
      <c r="R862" s="40" t="s">
        <v>494</v>
      </c>
      <c r="S862" s="40" t="s">
        <v>502</v>
      </c>
      <c r="T862" s="40" t="s">
        <v>325</v>
      </c>
      <c r="U862" s="40" t="s">
        <v>3511</v>
      </c>
      <c r="V862" s="40"/>
      <c r="W862" s="40" t="s">
        <v>3512</v>
      </c>
    </row>
    <row r="863" spans="1:23" ht="12" x14ac:dyDescent="0.2">
      <c r="A863" s="39" t="s">
        <v>337</v>
      </c>
      <c r="B863" s="40" t="s">
        <v>336</v>
      </c>
      <c r="C863" s="40" t="s">
        <v>5545</v>
      </c>
      <c r="D863" s="41">
        <v>46037</v>
      </c>
      <c r="E863" s="41">
        <v>46067</v>
      </c>
      <c r="F863" s="41">
        <v>46091</v>
      </c>
      <c r="G863" s="42">
        <v>24</v>
      </c>
      <c r="H863" s="40" t="s">
        <v>549</v>
      </c>
      <c r="I863" s="39" t="s">
        <v>320</v>
      </c>
      <c r="J863" s="43">
        <v>30607.21</v>
      </c>
      <c r="K863" s="43">
        <v>0</v>
      </c>
      <c r="L863" s="43">
        <v>30607.21</v>
      </c>
      <c r="M863" s="44">
        <v>0</v>
      </c>
      <c r="N863" s="44">
        <f t="shared" si="13"/>
        <v>30607.21</v>
      </c>
      <c r="O863" s="44">
        <v>30607.21</v>
      </c>
      <c r="P863" s="40" t="s">
        <v>1746</v>
      </c>
      <c r="Q863" s="40" t="s">
        <v>1747</v>
      </c>
      <c r="R863" s="40" t="s">
        <v>494</v>
      </c>
      <c r="S863" s="40" t="s">
        <v>502</v>
      </c>
      <c r="T863" s="40" t="s">
        <v>289</v>
      </c>
      <c r="U863" s="40" t="s">
        <v>5529</v>
      </c>
      <c r="V863" s="40" t="s">
        <v>3880</v>
      </c>
      <c r="W863" s="40" t="s">
        <v>1749</v>
      </c>
    </row>
    <row r="864" spans="1:23" ht="12" x14ac:dyDescent="0.2">
      <c r="A864" s="39" t="s">
        <v>71</v>
      </c>
      <c r="B864" s="40" t="s">
        <v>458</v>
      </c>
      <c r="C864" s="40" t="s">
        <v>5546</v>
      </c>
      <c r="D864" s="41">
        <v>46038</v>
      </c>
      <c r="E864" s="41">
        <v>46068</v>
      </c>
      <c r="F864" s="41">
        <v>46091</v>
      </c>
      <c r="G864" s="42">
        <v>23</v>
      </c>
      <c r="H864" s="40" t="s">
        <v>549</v>
      </c>
      <c r="I864" s="39" t="s">
        <v>320</v>
      </c>
      <c r="J864" s="43">
        <v>20393.12</v>
      </c>
      <c r="K864" s="43">
        <v>0</v>
      </c>
      <c r="L864" s="43">
        <v>20393.12</v>
      </c>
      <c r="M864" s="44">
        <v>0</v>
      </c>
      <c r="N864" s="44">
        <f t="shared" si="13"/>
        <v>20393.12</v>
      </c>
      <c r="O864" s="44">
        <v>20393.12</v>
      </c>
      <c r="P864" s="40" t="s">
        <v>5547</v>
      </c>
      <c r="Q864" s="40" t="s">
        <v>5548</v>
      </c>
      <c r="R864" s="40" t="s">
        <v>494</v>
      </c>
      <c r="S864" s="40" t="s">
        <v>502</v>
      </c>
      <c r="T864" s="40" t="s">
        <v>216</v>
      </c>
      <c r="U864" s="40" t="s">
        <v>2624</v>
      </c>
      <c r="V864" s="40"/>
      <c r="W864" s="40" t="s">
        <v>5549</v>
      </c>
    </row>
    <row r="865" spans="1:23" ht="12" x14ac:dyDescent="0.2">
      <c r="A865" s="39" t="s">
        <v>624</v>
      </c>
      <c r="B865" s="40" t="s">
        <v>4602</v>
      </c>
      <c r="C865" s="40" t="s">
        <v>5550</v>
      </c>
      <c r="D865" s="41">
        <v>46038</v>
      </c>
      <c r="E865" s="41">
        <v>46068</v>
      </c>
      <c r="F865" s="41">
        <v>46091</v>
      </c>
      <c r="G865" s="42">
        <v>23</v>
      </c>
      <c r="H865" s="40" t="s">
        <v>549</v>
      </c>
      <c r="I865" s="39" t="s">
        <v>320</v>
      </c>
      <c r="J865" s="43">
        <v>43268.38</v>
      </c>
      <c r="K865" s="43">
        <v>0</v>
      </c>
      <c r="L865" s="43">
        <v>43268.38</v>
      </c>
      <c r="M865" s="44">
        <v>0</v>
      </c>
      <c r="N865" s="44">
        <f t="shared" si="13"/>
        <v>43268.38</v>
      </c>
      <c r="O865" s="44">
        <v>43268.38</v>
      </c>
      <c r="P865" s="40" t="s">
        <v>1369</v>
      </c>
      <c r="Q865" s="40" t="s">
        <v>5551</v>
      </c>
      <c r="R865" s="40" t="s">
        <v>494</v>
      </c>
      <c r="S865" s="40" t="s">
        <v>502</v>
      </c>
      <c r="T865" s="40" t="s">
        <v>282</v>
      </c>
      <c r="U865" s="40" t="s">
        <v>5552</v>
      </c>
      <c r="V865" s="40"/>
      <c r="W865" s="40" t="s">
        <v>5553</v>
      </c>
    </row>
    <row r="866" spans="1:23" ht="12" x14ac:dyDescent="0.2">
      <c r="A866" s="39" t="s">
        <v>34</v>
      </c>
      <c r="B866" s="40" t="s">
        <v>465</v>
      </c>
      <c r="C866" s="40" t="s">
        <v>5554</v>
      </c>
      <c r="D866" s="41">
        <v>46038</v>
      </c>
      <c r="E866" s="41">
        <v>46068</v>
      </c>
      <c r="F866" s="41">
        <v>46091</v>
      </c>
      <c r="G866" s="42">
        <v>23</v>
      </c>
      <c r="H866" s="40" t="s">
        <v>549</v>
      </c>
      <c r="I866" s="39" t="s">
        <v>320</v>
      </c>
      <c r="J866" s="43">
        <v>1894.39</v>
      </c>
      <c r="K866" s="43">
        <v>0</v>
      </c>
      <c r="L866" s="43">
        <v>1894.39</v>
      </c>
      <c r="M866" s="44">
        <v>0</v>
      </c>
      <c r="N866" s="44">
        <f t="shared" si="13"/>
        <v>1894.39</v>
      </c>
      <c r="O866" s="44">
        <v>1894.39</v>
      </c>
      <c r="P866" s="40" t="s">
        <v>5555</v>
      </c>
      <c r="Q866" s="40" t="s">
        <v>5556</v>
      </c>
      <c r="R866" s="40" t="s">
        <v>494</v>
      </c>
      <c r="S866" s="40" t="s">
        <v>502</v>
      </c>
      <c r="T866" s="40" t="s">
        <v>221</v>
      </c>
      <c r="U866" s="40" t="s">
        <v>5557</v>
      </c>
      <c r="V866" s="40" t="s">
        <v>5558</v>
      </c>
      <c r="W866" s="40" t="s">
        <v>5559</v>
      </c>
    </row>
    <row r="867" spans="1:23" ht="12" x14ac:dyDescent="0.2">
      <c r="A867" s="39" t="s">
        <v>925</v>
      </c>
      <c r="B867" s="40" t="s">
        <v>926</v>
      </c>
      <c r="C867" s="40" t="s">
        <v>5560</v>
      </c>
      <c r="D867" s="41">
        <v>46038</v>
      </c>
      <c r="E867" s="41">
        <v>46068</v>
      </c>
      <c r="F867" s="41">
        <v>46091</v>
      </c>
      <c r="G867" s="42">
        <v>23</v>
      </c>
      <c r="H867" s="40" t="s">
        <v>549</v>
      </c>
      <c r="I867" s="39" t="s">
        <v>320</v>
      </c>
      <c r="J867" s="43">
        <v>17005.14</v>
      </c>
      <c r="K867" s="43">
        <v>0</v>
      </c>
      <c r="L867" s="43">
        <v>17005.14</v>
      </c>
      <c r="M867" s="44">
        <v>0</v>
      </c>
      <c r="N867" s="44">
        <f t="shared" si="13"/>
        <v>17005.14</v>
      </c>
      <c r="O867" s="44">
        <v>17005.14</v>
      </c>
      <c r="P867" s="40" t="s">
        <v>5561</v>
      </c>
      <c r="Q867" s="40" t="s">
        <v>5562</v>
      </c>
      <c r="R867" s="40" t="s">
        <v>494</v>
      </c>
      <c r="S867" s="40" t="s">
        <v>502</v>
      </c>
      <c r="T867" s="40" t="s">
        <v>330</v>
      </c>
      <c r="U867" s="40" t="s">
        <v>5563</v>
      </c>
      <c r="V867" s="40"/>
      <c r="W867" s="40" t="s">
        <v>5564</v>
      </c>
    </row>
    <row r="868" spans="1:23" ht="12" x14ac:dyDescent="0.2">
      <c r="A868" s="39" t="s">
        <v>2062</v>
      </c>
      <c r="B868" s="40" t="s">
        <v>5565</v>
      </c>
      <c r="C868" s="40" t="s">
        <v>5566</v>
      </c>
      <c r="D868" s="41">
        <v>46038</v>
      </c>
      <c r="E868" s="41">
        <v>46068</v>
      </c>
      <c r="F868" s="41">
        <v>46091</v>
      </c>
      <c r="G868" s="42">
        <v>23</v>
      </c>
      <c r="H868" s="40" t="s">
        <v>549</v>
      </c>
      <c r="I868" s="39" t="s">
        <v>320</v>
      </c>
      <c r="J868" s="43">
        <v>14932.77</v>
      </c>
      <c r="K868" s="43">
        <v>0</v>
      </c>
      <c r="L868" s="43">
        <v>14932.77</v>
      </c>
      <c r="M868" s="44">
        <v>0</v>
      </c>
      <c r="N868" s="44">
        <f t="shared" si="13"/>
        <v>14932.77</v>
      </c>
      <c r="O868" s="44">
        <v>14932.77</v>
      </c>
      <c r="P868" s="40" t="s">
        <v>2060</v>
      </c>
      <c r="Q868" s="40" t="s">
        <v>5567</v>
      </c>
      <c r="R868" s="40" t="s">
        <v>494</v>
      </c>
      <c r="S868" s="40" t="s">
        <v>502</v>
      </c>
      <c r="T868" s="40" t="s">
        <v>243</v>
      </c>
      <c r="U868" s="40" t="s">
        <v>5568</v>
      </c>
      <c r="V868" s="40"/>
      <c r="W868" s="40" t="s">
        <v>5569</v>
      </c>
    </row>
    <row r="869" spans="1:23" ht="12" x14ac:dyDescent="0.2">
      <c r="A869" s="39" t="s">
        <v>4764</v>
      </c>
      <c r="B869" s="40" t="s">
        <v>390</v>
      </c>
      <c r="C869" s="40" t="s">
        <v>5570</v>
      </c>
      <c r="D869" s="41">
        <v>46038</v>
      </c>
      <c r="E869" s="41">
        <v>46068</v>
      </c>
      <c r="F869" s="41">
        <v>46091</v>
      </c>
      <c r="G869" s="42">
        <v>23</v>
      </c>
      <c r="H869" s="40" t="s">
        <v>549</v>
      </c>
      <c r="I869" s="39" t="s">
        <v>320</v>
      </c>
      <c r="J869" s="43">
        <v>52703.16</v>
      </c>
      <c r="K869" s="43">
        <v>0</v>
      </c>
      <c r="L869" s="43">
        <v>52703.16</v>
      </c>
      <c r="M869" s="44">
        <v>0</v>
      </c>
      <c r="N869" s="44">
        <f t="shared" si="13"/>
        <v>52703.16</v>
      </c>
      <c r="O869" s="44">
        <v>52703.16</v>
      </c>
      <c r="P869" s="40" t="s">
        <v>5571</v>
      </c>
      <c r="Q869" s="40" t="s">
        <v>5572</v>
      </c>
      <c r="R869" s="40" t="s">
        <v>494</v>
      </c>
      <c r="S869" s="40" t="s">
        <v>502</v>
      </c>
      <c r="T869" s="40" t="s">
        <v>191</v>
      </c>
      <c r="U869" s="40" t="s">
        <v>5573</v>
      </c>
      <c r="V869" s="40"/>
      <c r="W869" s="40" t="s">
        <v>5574</v>
      </c>
    </row>
    <row r="870" spans="1:23" ht="12" x14ac:dyDescent="0.2">
      <c r="A870" s="39" t="s">
        <v>10</v>
      </c>
      <c r="B870" s="40" t="s">
        <v>393</v>
      </c>
      <c r="C870" s="40" t="s">
        <v>5575</v>
      </c>
      <c r="D870" s="41">
        <v>46038</v>
      </c>
      <c r="E870" s="41">
        <v>46068</v>
      </c>
      <c r="F870" s="41">
        <v>46091</v>
      </c>
      <c r="G870" s="42">
        <v>23</v>
      </c>
      <c r="H870" s="40" t="s">
        <v>549</v>
      </c>
      <c r="I870" s="39" t="s">
        <v>320</v>
      </c>
      <c r="J870" s="43">
        <v>5038.3999999999996</v>
      </c>
      <c r="K870" s="43">
        <v>0</v>
      </c>
      <c r="L870" s="43">
        <v>5038.3999999999996</v>
      </c>
      <c r="M870" s="44">
        <v>0</v>
      </c>
      <c r="N870" s="44">
        <f t="shared" si="13"/>
        <v>5038.3999999999996</v>
      </c>
      <c r="O870" s="44">
        <v>5038.3999999999996</v>
      </c>
      <c r="P870" s="40" t="s">
        <v>5576</v>
      </c>
      <c r="Q870" s="40" t="s">
        <v>5577</v>
      </c>
      <c r="R870" s="40" t="s">
        <v>494</v>
      </c>
      <c r="S870" s="40" t="s">
        <v>502</v>
      </c>
      <c r="T870" s="40" t="s">
        <v>287</v>
      </c>
      <c r="U870" s="40" t="s">
        <v>1399</v>
      </c>
      <c r="V870" s="40"/>
      <c r="W870" s="40" t="s">
        <v>5578</v>
      </c>
    </row>
    <row r="871" spans="1:23" ht="12" x14ac:dyDescent="0.2">
      <c r="A871" s="39" t="s">
        <v>5579</v>
      </c>
      <c r="B871" s="40" t="s">
        <v>5580</v>
      </c>
      <c r="C871" s="40" t="s">
        <v>5581</v>
      </c>
      <c r="D871" s="41">
        <v>46038</v>
      </c>
      <c r="E871" s="41">
        <v>46068</v>
      </c>
      <c r="F871" s="41">
        <v>46091</v>
      </c>
      <c r="G871" s="42">
        <v>23</v>
      </c>
      <c r="H871" s="40" t="s">
        <v>549</v>
      </c>
      <c r="I871" s="39" t="s">
        <v>320</v>
      </c>
      <c r="J871" s="43">
        <v>1494.46</v>
      </c>
      <c r="K871" s="43">
        <v>0</v>
      </c>
      <c r="L871" s="43">
        <v>1494.46</v>
      </c>
      <c r="M871" s="44">
        <v>0</v>
      </c>
      <c r="N871" s="44">
        <f t="shared" si="13"/>
        <v>1494.46</v>
      </c>
      <c r="O871" s="44">
        <v>1494.46</v>
      </c>
      <c r="P871" s="40" t="s">
        <v>5582</v>
      </c>
      <c r="Q871" s="40" t="s">
        <v>5583</v>
      </c>
      <c r="R871" s="40" t="s">
        <v>494</v>
      </c>
      <c r="S871" s="40" t="s">
        <v>502</v>
      </c>
      <c r="T871" s="40" t="s">
        <v>287</v>
      </c>
      <c r="U871" s="40" t="s">
        <v>1399</v>
      </c>
      <c r="V871" s="40"/>
      <c r="W871" s="40" t="s">
        <v>5584</v>
      </c>
    </row>
    <row r="872" spans="1:23" ht="12" x14ac:dyDescent="0.2">
      <c r="A872" s="39" t="s">
        <v>5585</v>
      </c>
      <c r="B872" s="40" t="s">
        <v>5586</v>
      </c>
      <c r="C872" s="40" t="s">
        <v>5587</v>
      </c>
      <c r="D872" s="41">
        <v>46038</v>
      </c>
      <c r="E872" s="41">
        <v>46068</v>
      </c>
      <c r="F872" s="41">
        <v>46091</v>
      </c>
      <c r="G872" s="42">
        <v>23</v>
      </c>
      <c r="H872" s="40" t="s">
        <v>549</v>
      </c>
      <c r="I872" s="39" t="s">
        <v>320</v>
      </c>
      <c r="J872" s="43">
        <v>120000</v>
      </c>
      <c r="K872" s="43">
        <v>0</v>
      </c>
      <c r="L872" s="43">
        <v>120000</v>
      </c>
      <c r="M872" s="44">
        <v>0</v>
      </c>
      <c r="N872" s="44">
        <f t="shared" si="13"/>
        <v>120000</v>
      </c>
      <c r="O872" s="44">
        <v>120000</v>
      </c>
      <c r="P872" s="40" t="s">
        <v>5588</v>
      </c>
      <c r="Q872" s="40" t="s">
        <v>5589</v>
      </c>
      <c r="R872" s="40" t="s">
        <v>494</v>
      </c>
      <c r="S872" s="40" t="s">
        <v>502</v>
      </c>
      <c r="T872" s="40" t="s">
        <v>733</v>
      </c>
      <c r="U872" s="40" t="s">
        <v>2155</v>
      </c>
      <c r="V872" s="40"/>
      <c r="W872" s="40" t="s">
        <v>5590</v>
      </c>
    </row>
    <row r="873" spans="1:23" ht="12" x14ac:dyDescent="0.2">
      <c r="A873" s="39" t="s">
        <v>2094</v>
      </c>
      <c r="B873" s="40" t="s">
        <v>4881</v>
      </c>
      <c r="C873" s="40" t="s">
        <v>5591</v>
      </c>
      <c r="D873" s="41">
        <v>46038</v>
      </c>
      <c r="E873" s="41">
        <v>46068</v>
      </c>
      <c r="F873" s="41">
        <v>46091</v>
      </c>
      <c r="G873" s="42">
        <v>23</v>
      </c>
      <c r="H873" s="40" t="s">
        <v>549</v>
      </c>
      <c r="I873" s="39" t="s">
        <v>320</v>
      </c>
      <c r="J873" s="43">
        <v>2415.38</v>
      </c>
      <c r="K873" s="43">
        <v>0</v>
      </c>
      <c r="L873" s="43">
        <v>2415.38</v>
      </c>
      <c r="M873" s="44">
        <v>0</v>
      </c>
      <c r="N873" s="44">
        <f t="shared" si="13"/>
        <v>2415.38</v>
      </c>
      <c r="O873" s="44">
        <v>2415.38</v>
      </c>
      <c r="P873" s="40" t="s">
        <v>5592</v>
      </c>
      <c r="Q873" s="40" t="s">
        <v>5593</v>
      </c>
      <c r="R873" s="40" t="s">
        <v>494</v>
      </c>
      <c r="S873" s="40" t="s">
        <v>502</v>
      </c>
      <c r="T873" s="40" t="s">
        <v>191</v>
      </c>
      <c r="U873" s="40" t="s">
        <v>4884</v>
      </c>
      <c r="V873" s="40"/>
      <c r="W873" s="40" t="s">
        <v>5594</v>
      </c>
    </row>
    <row r="874" spans="1:23" ht="12" x14ac:dyDescent="0.2">
      <c r="A874" s="39" t="s">
        <v>1542</v>
      </c>
      <c r="B874" s="40" t="s">
        <v>1995</v>
      </c>
      <c r="C874" s="40" t="s">
        <v>5595</v>
      </c>
      <c r="D874" s="41">
        <v>46038</v>
      </c>
      <c r="E874" s="41">
        <v>46068</v>
      </c>
      <c r="F874" s="41">
        <v>46091</v>
      </c>
      <c r="G874" s="42">
        <v>23</v>
      </c>
      <c r="H874" s="40" t="s">
        <v>549</v>
      </c>
      <c r="I874" s="39" t="s">
        <v>320</v>
      </c>
      <c r="J874" s="43">
        <v>15361.22</v>
      </c>
      <c r="K874" s="43">
        <v>0</v>
      </c>
      <c r="L874" s="43">
        <v>15361.22</v>
      </c>
      <c r="M874" s="44">
        <v>0</v>
      </c>
      <c r="N874" s="44">
        <f t="shared" si="13"/>
        <v>15361.22</v>
      </c>
      <c r="O874" s="44">
        <v>15361.22</v>
      </c>
      <c r="P874" s="40" t="s">
        <v>5596</v>
      </c>
      <c r="Q874" s="40" t="s">
        <v>5597</v>
      </c>
      <c r="R874" s="40" t="s">
        <v>494</v>
      </c>
      <c r="S874" s="40" t="s">
        <v>502</v>
      </c>
      <c r="T874" s="40" t="s">
        <v>176</v>
      </c>
      <c r="U874" s="40" t="s">
        <v>1270</v>
      </c>
      <c r="V874" s="40"/>
      <c r="W874" s="40" t="s">
        <v>5598</v>
      </c>
    </row>
    <row r="875" spans="1:23" ht="12" x14ac:dyDescent="0.2">
      <c r="A875" s="39" t="s">
        <v>5599</v>
      </c>
      <c r="B875" s="40" t="s">
        <v>5600</v>
      </c>
      <c r="C875" s="40" t="s">
        <v>5601</v>
      </c>
      <c r="D875" s="41">
        <v>46038</v>
      </c>
      <c r="E875" s="41">
        <v>46068</v>
      </c>
      <c r="F875" s="41">
        <v>46091</v>
      </c>
      <c r="G875" s="42">
        <v>23</v>
      </c>
      <c r="H875" s="40" t="s">
        <v>549</v>
      </c>
      <c r="I875" s="39" t="s">
        <v>320</v>
      </c>
      <c r="J875" s="43">
        <v>2524.34</v>
      </c>
      <c r="K875" s="43">
        <v>0</v>
      </c>
      <c r="L875" s="43">
        <v>2524.34</v>
      </c>
      <c r="M875" s="44">
        <v>0</v>
      </c>
      <c r="N875" s="44">
        <f t="shared" si="13"/>
        <v>2524.34</v>
      </c>
      <c r="O875" s="44">
        <v>2524.34</v>
      </c>
      <c r="P875" s="40" t="s">
        <v>5602</v>
      </c>
      <c r="Q875" s="40" t="s">
        <v>5603</v>
      </c>
      <c r="R875" s="40" t="s">
        <v>494</v>
      </c>
      <c r="S875" s="40" t="s">
        <v>502</v>
      </c>
      <c r="T875" s="40" t="s">
        <v>191</v>
      </c>
      <c r="U875" s="40" t="s">
        <v>4884</v>
      </c>
      <c r="V875" s="40"/>
      <c r="W875" s="40" t="s">
        <v>5604</v>
      </c>
    </row>
    <row r="876" spans="1:23" ht="12" x14ac:dyDescent="0.2">
      <c r="A876" s="39" t="s">
        <v>374</v>
      </c>
      <c r="B876" s="40" t="s">
        <v>373</v>
      </c>
      <c r="C876" s="40" t="s">
        <v>5605</v>
      </c>
      <c r="D876" s="41">
        <v>46038</v>
      </c>
      <c r="E876" s="41">
        <v>46068</v>
      </c>
      <c r="F876" s="41">
        <v>46091</v>
      </c>
      <c r="G876" s="42">
        <v>23</v>
      </c>
      <c r="H876" s="40" t="s">
        <v>549</v>
      </c>
      <c r="I876" s="39" t="s">
        <v>323</v>
      </c>
      <c r="J876" s="43">
        <v>64489.19</v>
      </c>
      <c r="K876" s="43">
        <v>0</v>
      </c>
      <c r="L876" s="43">
        <v>64489.19</v>
      </c>
      <c r="M876" s="44">
        <v>0</v>
      </c>
      <c r="N876" s="44">
        <f t="shared" si="13"/>
        <v>47769.77</v>
      </c>
      <c r="O876" s="44">
        <v>47769.77</v>
      </c>
      <c r="P876" s="40" t="s">
        <v>2865</v>
      </c>
      <c r="Q876" s="40" t="s">
        <v>2896</v>
      </c>
      <c r="R876" s="40" t="s">
        <v>494</v>
      </c>
      <c r="S876" s="40" t="s">
        <v>502</v>
      </c>
      <c r="T876" s="40" t="s">
        <v>773</v>
      </c>
      <c r="U876" s="40" t="s">
        <v>969</v>
      </c>
      <c r="V876" s="40" t="s">
        <v>5506</v>
      </c>
      <c r="W876" s="40" t="s">
        <v>2897</v>
      </c>
    </row>
    <row r="877" spans="1:23" ht="12" x14ac:dyDescent="0.2">
      <c r="A877" s="39" t="s">
        <v>742</v>
      </c>
      <c r="B877" s="40" t="s">
        <v>743</v>
      </c>
      <c r="C877" s="40" t="s">
        <v>5606</v>
      </c>
      <c r="D877" s="41">
        <v>46038</v>
      </c>
      <c r="E877" s="41">
        <v>46068</v>
      </c>
      <c r="F877" s="41">
        <v>46091</v>
      </c>
      <c r="G877" s="42">
        <v>23</v>
      </c>
      <c r="H877" s="40" t="s">
        <v>549</v>
      </c>
      <c r="I877" s="39" t="s">
        <v>323</v>
      </c>
      <c r="J877" s="43">
        <v>158169.13</v>
      </c>
      <c r="K877" s="43">
        <v>0</v>
      </c>
      <c r="L877" s="43">
        <v>158169.13</v>
      </c>
      <c r="M877" s="44">
        <v>0</v>
      </c>
      <c r="N877" s="44">
        <f t="shared" si="13"/>
        <v>126535.3</v>
      </c>
      <c r="O877" s="44">
        <v>126535.3</v>
      </c>
      <c r="P877" s="40" t="s">
        <v>5607</v>
      </c>
      <c r="Q877" s="40" t="s">
        <v>5608</v>
      </c>
      <c r="R877" s="40" t="s">
        <v>494</v>
      </c>
      <c r="S877" s="40" t="s">
        <v>502</v>
      </c>
      <c r="T877" s="40" t="s">
        <v>178</v>
      </c>
      <c r="U877" s="40" t="s">
        <v>5609</v>
      </c>
      <c r="V877" s="40"/>
      <c r="W877" s="40" t="s">
        <v>500</v>
      </c>
    </row>
    <row r="878" spans="1:23" ht="12" x14ac:dyDescent="0.2">
      <c r="A878" s="39" t="s">
        <v>1718</v>
      </c>
      <c r="B878" s="40" t="s">
        <v>1394</v>
      </c>
      <c r="C878" s="40" t="s">
        <v>5610</v>
      </c>
      <c r="D878" s="41">
        <v>46038</v>
      </c>
      <c r="E878" s="41">
        <v>46068</v>
      </c>
      <c r="F878" s="41">
        <v>46091</v>
      </c>
      <c r="G878" s="42">
        <v>23</v>
      </c>
      <c r="H878" s="40" t="s">
        <v>549</v>
      </c>
      <c r="I878" s="39" t="s">
        <v>323</v>
      </c>
      <c r="J878" s="43">
        <v>18590.03</v>
      </c>
      <c r="K878" s="43">
        <v>0</v>
      </c>
      <c r="L878" s="43">
        <v>18590.03</v>
      </c>
      <c r="M878" s="44">
        <v>0</v>
      </c>
      <c r="N878" s="44">
        <f t="shared" si="13"/>
        <v>14872.02</v>
      </c>
      <c r="O878" s="44">
        <v>14872.02</v>
      </c>
      <c r="P878" s="40" t="s">
        <v>1564</v>
      </c>
      <c r="Q878" s="40" t="s">
        <v>1719</v>
      </c>
      <c r="R878" s="40" t="s">
        <v>494</v>
      </c>
      <c r="S878" s="40" t="s">
        <v>502</v>
      </c>
      <c r="T878" s="40" t="s">
        <v>178</v>
      </c>
      <c r="U878" s="40" t="s">
        <v>1196</v>
      </c>
      <c r="V878" s="40"/>
      <c r="W878" s="40" t="s">
        <v>1720</v>
      </c>
    </row>
    <row r="879" spans="1:23" ht="12" x14ac:dyDescent="0.2">
      <c r="A879" s="39" t="s">
        <v>37</v>
      </c>
      <c r="B879" s="40" t="s">
        <v>452</v>
      </c>
      <c r="C879" s="40" t="s">
        <v>5611</v>
      </c>
      <c r="D879" s="41">
        <v>46038</v>
      </c>
      <c r="E879" s="41">
        <v>46068</v>
      </c>
      <c r="F879" s="41">
        <v>46091</v>
      </c>
      <c r="G879" s="42">
        <v>23</v>
      </c>
      <c r="H879" s="40" t="s">
        <v>549</v>
      </c>
      <c r="I879" s="39" t="s">
        <v>320</v>
      </c>
      <c r="J879" s="43">
        <v>63016.83</v>
      </c>
      <c r="K879" s="43">
        <v>0</v>
      </c>
      <c r="L879" s="43">
        <v>63016.83</v>
      </c>
      <c r="M879" s="44">
        <v>0</v>
      </c>
      <c r="N879" s="44">
        <f t="shared" si="13"/>
        <v>63016.83</v>
      </c>
      <c r="O879" s="44">
        <v>63016.83</v>
      </c>
      <c r="P879" s="40" t="s">
        <v>5612</v>
      </c>
      <c r="Q879" s="40" t="s">
        <v>5613</v>
      </c>
      <c r="R879" s="40" t="s">
        <v>494</v>
      </c>
      <c r="S879" s="40" t="s">
        <v>502</v>
      </c>
      <c r="T879" s="40" t="s">
        <v>1669</v>
      </c>
      <c r="U879" s="40" t="s">
        <v>1670</v>
      </c>
      <c r="V879" s="40"/>
      <c r="W879" s="40" t="s">
        <v>5614</v>
      </c>
    </row>
    <row r="880" spans="1:23" ht="12" x14ac:dyDescent="0.2">
      <c r="A880" s="39" t="s">
        <v>778</v>
      </c>
      <c r="B880" s="40" t="s">
        <v>779</v>
      </c>
      <c r="C880" s="40" t="s">
        <v>5615</v>
      </c>
      <c r="D880" s="41">
        <v>46038</v>
      </c>
      <c r="E880" s="41">
        <v>46068</v>
      </c>
      <c r="F880" s="41">
        <v>46091</v>
      </c>
      <c r="G880" s="42">
        <v>23</v>
      </c>
      <c r="H880" s="40" t="s">
        <v>549</v>
      </c>
      <c r="I880" s="39" t="s">
        <v>320</v>
      </c>
      <c r="J880" s="43">
        <v>2496.39</v>
      </c>
      <c r="K880" s="43">
        <v>0</v>
      </c>
      <c r="L880" s="43">
        <v>2496.39</v>
      </c>
      <c r="M880" s="44">
        <v>0</v>
      </c>
      <c r="N880" s="44">
        <f t="shared" si="13"/>
        <v>2496.39</v>
      </c>
      <c r="O880" s="44">
        <v>2496.39</v>
      </c>
      <c r="P880" s="40" t="s">
        <v>3316</v>
      </c>
      <c r="Q880" s="40" t="s">
        <v>3317</v>
      </c>
      <c r="R880" s="40" t="s">
        <v>494</v>
      </c>
      <c r="S880" s="40" t="s">
        <v>502</v>
      </c>
      <c r="T880" s="40" t="s">
        <v>287</v>
      </c>
      <c r="U880" s="40" t="s">
        <v>3318</v>
      </c>
      <c r="V880" s="40"/>
      <c r="W880" s="40" t="s">
        <v>3319</v>
      </c>
    </row>
    <row r="881" spans="1:23" ht="12" x14ac:dyDescent="0.2">
      <c r="A881" s="39" t="s">
        <v>41</v>
      </c>
      <c r="B881" s="40" t="s">
        <v>459</v>
      </c>
      <c r="C881" s="40" t="s">
        <v>5616</v>
      </c>
      <c r="D881" s="41">
        <v>46038</v>
      </c>
      <c r="E881" s="41">
        <v>46068</v>
      </c>
      <c r="F881" s="41">
        <v>46091</v>
      </c>
      <c r="G881" s="42">
        <v>23</v>
      </c>
      <c r="H881" s="40" t="s">
        <v>549</v>
      </c>
      <c r="I881" s="39" t="s">
        <v>320</v>
      </c>
      <c r="J881" s="43">
        <v>21388.48</v>
      </c>
      <c r="K881" s="43">
        <v>0</v>
      </c>
      <c r="L881" s="43">
        <v>21388.48</v>
      </c>
      <c r="M881" s="44">
        <v>0</v>
      </c>
      <c r="N881" s="44">
        <f t="shared" si="13"/>
        <v>21388.48</v>
      </c>
      <c r="O881" s="44">
        <v>21388.48</v>
      </c>
      <c r="P881" s="40" t="s">
        <v>2068</v>
      </c>
      <c r="Q881" s="40" t="s">
        <v>5617</v>
      </c>
      <c r="R881" s="40" t="s">
        <v>494</v>
      </c>
      <c r="S881" s="40" t="s">
        <v>502</v>
      </c>
      <c r="T881" s="40" t="s">
        <v>514</v>
      </c>
      <c r="U881" s="40" t="s">
        <v>884</v>
      </c>
      <c r="V881" s="40"/>
      <c r="W881" s="40" t="s">
        <v>5618</v>
      </c>
    </row>
    <row r="882" spans="1:23" ht="12" x14ac:dyDescent="0.2">
      <c r="A882" s="39" t="s">
        <v>47</v>
      </c>
      <c r="B882" s="40" t="s">
        <v>1222</v>
      </c>
      <c r="C882" s="40" t="s">
        <v>5619</v>
      </c>
      <c r="D882" s="41">
        <v>46038</v>
      </c>
      <c r="E882" s="41">
        <v>46068</v>
      </c>
      <c r="F882" s="41">
        <v>46091</v>
      </c>
      <c r="G882" s="42">
        <v>23</v>
      </c>
      <c r="H882" s="40" t="s">
        <v>549</v>
      </c>
      <c r="I882" s="39" t="s">
        <v>320</v>
      </c>
      <c r="J882" s="43">
        <v>36826.06</v>
      </c>
      <c r="K882" s="43">
        <v>0</v>
      </c>
      <c r="L882" s="43">
        <v>36826.06</v>
      </c>
      <c r="M882" s="44">
        <v>0</v>
      </c>
      <c r="N882" s="44">
        <f t="shared" si="13"/>
        <v>36826.06</v>
      </c>
      <c r="O882" s="44">
        <v>36826.06</v>
      </c>
      <c r="P882" s="40" t="s">
        <v>2317</v>
      </c>
      <c r="Q882" s="40" t="s">
        <v>2318</v>
      </c>
      <c r="R882" s="40" t="s">
        <v>494</v>
      </c>
      <c r="S882" s="40" t="s">
        <v>502</v>
      </c>
      <c r="T882" s="40" t="s">
        <v>163</v>
      </c>
      <c r="U882" s="40" t="s">
        <v>2319</v>
      </c>
      <c r="V882" s="40"/>
      <c r="W882" s="40" t="s">
        <v>2320</v>
      </c>
    </row>
    <row r="883" spans="1:23" ht="12" x14ac:dyDescent="0.2">
      <c r="A883" s="39" t="s">
        <v>21</v>
      </c>
      <c r="B883" s="40" t="s">
        <v>707</v>
      </c>
      <c r="C883" s="40" t="s">
        <v>5620</v>
      </c>
      <c r="D883" s="41">
        <v>46038</v>
      </c>
      <c r="E883" s="41">
        <v>46068</v>
      </c>
      <c r="F883" s="41">
        <v>46091</v>
      </c>
      <c r="G883" s="42">
        <v>23</v>
      </c>
      <c r="H883" s="40" t="s">
        <v>549</v>
      </c>
      <c r="I883" s="39" t="s">
        <v>320</v>
      </c>
      <c r="J883" s="43">
        <v>2753.75</v>
      </c>
      <c r="K883" s="43">
        <v>0</v>
      </c>
      <c r="L883" s="43">
        <v>2753.75</v>
      </c>
      <c r="M883" s="44">
        <v>0</v>
      </c>
      <c r="N883" s="44">
        <f t="shared" si="13"/>
        <v>2753.75</v>
      </c>
      <c r="O883" s="44">
        <v>2753.75</v>
      </c>
      <c r="P883" s="40" t="s">
        <v>2075</v>
      </c>
      <c r="Q883" s="40" t="s">
        <v>5621</v>
      </c>
      <c r="R883" s="40" t="s">
        <v>494</v>
      </c>
      <c r="S883" s="40" t="s">
        <v>502</v>
      </c>
      <c r="T883" s="40" t="s">
        <v>280</v>
      </c>
      <c r="U883" s="40" t="s">
        <v>824</v>
      </c>
      <c r="V883" s="40"/>
      <c r="W883" s="40" t="s">
        <v>5622</v>
      </c>
    </row>
    <row r="884" spans="1:23" ht="12" x14ac:dyDescent="0.2">
      <c r="A884" s="39" t="s">
        <v>461</v>
      </c>
      <c r="B884" s="40" t="s">
        <v>460</v>
      </c>
      <c r="C884" s="40" t="s">
        <v>5623</v>
      </c>
      <c r="D884" s="41">
        <v>46038</v>
      </c>
      <c r="E884" s="41">
        <v>46068</v>
      </c>
      <c r="F884" s="41">
        <v>46091</v>
      </c>
      <c r="G884" s="42">
        <v>23</v>
      </c>
      <c r="H884" s="40" t="s">
        <v>549</v>
      </c>
      <c r="I884" s="39" t="s">
        <v>320</v>
      </c>
      <c r="J884" s="43">
        <v>19433.419999999998</v>
      </c>
      <c r="K884" s="43">
        <v>0</v>
      </c>
      <c r="L884" s="43">
        <v>19433.419999999998</v>
      </c>
      <c r="M884" s="44">
        <v>0</v>
      </c>
      <c r="N884" s="44">
        <f t="shared" si="13"/>
        <v>19433.419999999998</v>
      </c>
      <c r="O884" s="44">
        <v>19433.419999999998</v>
      </c>
      <c r="P884" s="40" t="s">
        <v>2076</v>
      </c>
      <c r="Q884" s="40" t="s">
        <v>2353</v>
      </c>
      <c r="R884" s="40" t="s">
        <v>494</v>
      </c>
      <c r="S884" s="40" t="s">
        <v>502</v>
      </c>
      <c r="T884" s="40" t="s">
        <v>330</v>
      </c>
      <c r="U884" s="40" t="s">
        <v>1939</v>
      </c>
      <c r="V884" s="40"/>
      <c r="W884" s="40" t="s">
        <v>2354</v>
      </c>
    </row>
    <row r="885" spans="1:23" ht="12" x14ac:dyDescent="0.2">
      <c r="A885" s="39" t="s">
        <v>34</v>
      </c>
      <c r="B885" s="40" t="s">
        <v>465</v>
      </c>
      <c r="C885" s="40" t="s">
        <v>5624</v>
      </c>
      <c r="D885" s="41">
        <v>46038</v>
      </c>
      <c r="E885" s="41">
        <v>46068</v>
      </c>
      <c r="F885" s="41">
        <v>46091</v>
      </c>
      <c r="G885" s="42">
        <v>23</v>
      </c>
      <c r="H885" s="40" t="s">
        <v>549</v>
      </c>
      <c r="I885" s="39" t="s">
        <v>320</v>
      </c>
      <c r="J885" s="43">
        <v>23840.15</v>
      </c>
      <c r="K885" s="43">
        <v>0</v>
      </c>
      <c r="L885" s="43">
        <v>23840.15</v>
      </c>
      <c r="M885" s="44">
        <v>0</v>
      </c>
      <c r="N885" s="44">
        <f t="shared" si="13"/>
        <v>23840.15</v>
      </c>
      <c r="O885" s="44">
        <v>23840.15</v>
      </c>
      <c r="P885" s="40" t="s">
        <v>2069</v>
      </c>
      <c r="Q885" s="40" t="s">
        <v>2887</v>
      </c>
      <c r="R885" s="40" t="s">
        <v>494</v>
      </c>
      <c r="S885" s="40" t="s">
        <v>502</v>
      </c>
      <c r="T885" s="40" t="s">
        <v>191</v>
      </c>
      <c r="U885" s="40" t="s">
        <v>2888</v>
      </c>
      <c r="V885" s="40" t="s">
        <v>5558</v>
      </c>
      <c r="W885" s="40" t="s">
        <v>2889</v>
      </c>
    </row>
    <row r="886" spans="1:23" ht="12" x14ac:dyDescent="0.2">
      <c r="A886" s="39" t="s">
        <v>624</v>
      </c>
      <c r="B886" s="40" t="s">
        <v>4602</v>
      </c>
      <c r="C886" s="40" t="s">
        <v>5625</v>
      </c>
      <c r="D886" s="41">
        <v>46038</v>
      </c>
      <c r="E886" s="41">
        <v>46068</v>
      </c>
      <c r="F886" s="41">
        <v>46091</v>
      </c>
      <c r="G886" s="42">
        <v>23</v>
      </c>
      <c r="H886" s="40" t="s">
        <v>549</v>
      </c>
      <c r="I886" s="39" t="s">
        <v>320</v>
      </c>
      <c r="J886" s="43">
        <v>34990.18</v>
      </c>
      <c r="K886" s="43">
        <v>0</v>
      </c>
      <c r="L886" s="43">
        <v>34990.18</v>
      </c>
      <c r="M886" s="44">
        <v>0</v>
      </c>
      <c r="N886" s="44">
        <f t="shared" si="13"/>
        <v>34990.18</v>
      </c>
      <c r="O886" s="44">
        <v>34990.18</v>
      </c>
      <c r="P886" s="40" t="s">
        <v>1854</v>
      </c>
      <c r="Q886" s="40" t="s">
        <v>5626</v>
      </c>
      <c r="R886" s="40" t="s">
        <v>494</v>
      </c>
      <c r="S886" s="40" t="s">
        <v>502</v>
      </c>
      <c r="T886" s="40" t="s">
        <v>178</v>
      </c>
      <c r="U886" s="40" t="s">
        <v>5627</v>
      </c>
      <c r="V886" s="40"/>
      <c r="W886" s="40" t="s">
        <v>5628</v>
      </c>
    </row>
    <row r="887" spans="1:23" ht="12" x14ac:dyDescent="0.2">
      <c r="A887" s="39" t="s">
        <v>37</v>
      </c>
      <c r="B887" s="40" t="s">
        <v>452</v>
      </c>
      <c r="C887" s="40" t="s">
        <v>5629</v>
      </c>
      <c r="D887" s="41">
        <v>46038</v>
      </c>
      <c r="E887" s="41">
        <v>46068</v>
      </c>
      <c r="F887" s="41">
        <v>46091</v>
      </c>
      <c r="G887" s="42">
        <v>23</v>
      </c>
      <c r="H887" s="40" t="s">
        <v>549</v>
      </c>
      <c r="I887" s="39" t="s">
        <v>320</v>
      </c>
      <c r="J887" s="43">
        <v>317915.27</v>
      </c>
      <c r="K887" s="43">
        <v>0</v>
      </c>
      <c r="L887" s="43">
        <v>317915.27</v>
      </c>
      <c r="M887" s="44">
        <v>0</v>
      </c>
      <c r="N887" s="44">
        <f t="shared" si="13"/>
        <v>317915.27</v>
      </c>
      <c r="O887" s="44">
        <v>317915.27</v>
      </c>
      <c r="P887" s="40" t="s">
        <v>1575</v>
      </c>
      <c r="Q887" s="40" t="s">
        <v>1721</v>
      </c>
      <c r="R887" s="40" t="s">
        <v>494</v>
      </c>
      <c r="S887" s="40" t="s">
        <v>502</v>
      </c>
      <c r="T887" s="40" t="s">
        <v>218</v>
      </c>
      <c r="U887" s="40" t="s">
        <v>1722</v>
      </c>
      <c r="V887" s="40"/>
      <c r="W887" s="40" t="s">
        <v>1723</v>
      </c>
    </row>
    <row r="888" spans="1:23" ht="12" x14ac:dyDescent="0.2">
      <c r="A888" s="39" t="s">
        <v>26</v>
      </c>
      <c r="B888" s="40" t="s">
        <v>457</v>
      </c>
      <c r="C888" s="40" t="s">
        <v>5630</v>
      </c>
      <c r="D888" s="41">
        <v>46038</v>
      </c>
      <c r="E888" s="41">
        <v>46068</v>
      </c>
      <c r="F888" s="41">
        <v>46091</v>
      </c>
      <c r="G888" s="42">
        <v>23</v>
      </c>
      <c r="H888" s="40" t="s">
        <v>549</v>
      </c>
      <c r="I888" s="39" t="s">
        <v>320</v>
      </c>
      <c r="J888" s="43">
        <v>12615.12</v>
      </c>
      <c r="K888" s="43">
        <v>0</v>
      </c>
      <c r="L888" s="43">
        <v>12615.12</v>
      </c>
      <c r="M888" s="44">
        <v>0</v>
      </c>
      <c r="N888" s="44">
        <f t="shared" si="13"/>
        <v>12615.12</v>
      </c>
      <c r="O888" s="44">
        <v>12615.12</v>
      </c>
      <c r="P888" s="40" t="s">
        <v>3353</v>
      </c>
      <c r="Q888" s="40" t="s">
        <v>3354</v>
      </c>
      <c r="R888" s="40" t="s">
        <v>494</v>
      </c>
      <c r="S888" s="40" t="s">
        <v>502</v>
      </c>
      <c r="T888" s="40" t="s">
        <v>287</v>
      </c>
      <c r="U888" s="40" t="s">
        <v>3355</v>
      </c>
      <c r="V888" s="40" t="s">
        <v>4030</v>
      </c>
      <c r="W888" s="40" t="s">
        <v>4031</v>
      </c>
    </row>
    <row r="889" spans="1:23" ht="12" x14ac:dyDescent="0.2">
      <c r="A889" s="39" t="s">
        <v>721</v>
      </c>
      <c r="B889" s="40" t="s">
        <v>915</v>
      </c>
      <c r="C889" s="40" t="s">
        <v>5631</v>
      </c>
      <c r="D889" s="41">
        <v>46038</v>
      </c>
      <c r="E889" s="41">
        <v>46068</v>
      </c>
      <c r="F889" s="41">
        <v>46091</v>
      </c>
      <c r="G889" s="42">
        <v>23</v>
      </c>
      <c r="H889" s="40" t="s">
        <v>549</v>
      </c>
      <c r="I889" s="39" t="s">
        <v>320</v>
      </c>
      <c r="J889" s="43">
        <v>14458.16</v>
      </c>
      <c r="K889" s="43">
        <v>0</v>
      </c>
      <c r="L889" s="43">
        <v>14458.16</v>
      </c>
      <c r="M889" s="44">
        <v>0</v>
      </c>
      <c r="N889" s="44">
        <f t="shared" si="13"/>
        <v>14458.16</v>
      </c>
      <c r="O889" s="44">
        <v>14458.16</v>
      </c>
      <c r="P889" s="40" t="s">
        <v>2073</v>
      </c>
      <c r="Q889" s="40" t="s">
        <v>5632</v>
      </c>
      <c r="R889" s="40" t="s">
        <v>494</v>
      </c>
      <c r="S889" s="40" t="s">
        <v>502</v>
      </c>
      <c r="T889" s="40" t="s">
        <v>273</v>
      </c>
      <c r="U889" s="40" t="s">
        <v>5633</v>
      </c>
      <c r="V889" s="40"/>
      <c r="W889" s="40" t="s">
        <v>5634</v>
      </c>
    </row>
    <row r="890" spans="1:23" ht="12" x14ac:dyDescent="0.2">
      <c r="A890" s="39" t="s">
        <v>656</v>
      </c>
      <c r="B890" s="40" t="s">
        <v>2904</v>
      </c>
      <c r="C890" s="40" t="s">
        <v>5635</v>
      </c>
      <c r="D890" s="41">
        <v>46038</v>
      </c>
      <c r="E890" s="41">
        <v>46068</v>
      </c>
      <c r="F890" s="41">
        <v>46091</v>
      </c>
      <c r="G890" s="42">
        <v>23</v>
      </c>
      <c r="H890" s="40" t="s">
        <v>549</v>
      </c>
      <c r="I890" s="39" t="s">
        <v>320</v>
      </c>
      <c r="J890" s="43">
        <v>15199.26</v>
      </c>
      <c r="K890" s="43">
        <v>0</v>
      </c>
      <c r="L890" s="43">
        <v>15199.26</v>
      </c>
      <c r="M890" s="44">
        <v>0</v>
      </c>
      <c r="N890" s="44">
        <f t="shared" si="13"/>
        <v>15199.26</v>
      </c>
      <c r="O890" s="44">
        <v>15199.26</v>
      </c>
      <c r="P890" s="40" t="s">
        <v>1573</v>
      </c>
      <c r="Q890" s="40" t="s">
        <v>2905</v>
      </c>
      <c r="R890" s="40" t="s">
        <v>494</v>
      </c>
      <c r="S890" s="40" t="s">
        <v>502</v>
      </c>
      <c r="T890" s="40" t="s">
        <v>216</v>
      </c>
      <c r="U890" s="40" t="s">
        <v>2906</v>
      </c>
      <c r="V890" s="40"/>
      <c r="W890" s="40" t="s">
        <v>2907</v>
      </c>
    </row>
    <row r="891" spans="1:23" ht="12" x14ac:dyDescent="0.2">
      <c r="A891" s="39" t="s">
        <v>1066</v>
      </c>
      <c r="B891" s="40" t="s">
        <v>1398</v>
      </c>
      <c r="C891" s="40" t="s">
        <v>5636</v>
      </c>
      <c r="D891" s="41">
        <v>46038</v>
      </c>
      <c r="E891" s="41">
        <v>46068</v>
      </c>
      <c r="F891" s="41">
        <v>46091</v>
      </c>
      <c r="G891" s="42">
        <v>23</v>
      </c>
      <c r="H891" s="40" t="s">
        <v>549</v>
      </c>
      <c r="I891" s="39" t="s">
        <v>320</v>
      </c>
      <c r="J891" s="43">
        <v>18417.099999999999</v>
      </c>
      <c r="K891" s="43">
        <v>0</v>
      </c>
      <c r="L891" s="43">
        <v>18417.099999999999</v>
      </c>
      <c r="M891" s="44">
        <v>0</v>
      </c>
      <c r="N891" s="44">
        <f t="shared" si="13"/>
        <v>18417.099999999999</v>
      </c>
      <c r="O891" s="44">
        <v>18417.099999999999</v>
      </c>
      <c r="P891" s="40" t="s">
        <v>2074</v>
      </c>
      <c r="Q891" s="40" t="s">
        <v>2355</v>
      </c>
      <c r="R891" s="40" t="s">
        <v>494</v>
      </c>
      <c r="S891" s="40" t="s">
        <v>502</v>
      </c>
      <c r="T891" s="40" t="s">
        <v>327</v>
      </c>
      <c r="U891" s="40" t="s">
        <v>870</v>
      </c>
      <c r="V891" s="40"/>
      <c r="W891" s="40" t="s">
        <v>321</v>
      </c>
    </row>
    <row r="892" spans="1:23" ht="12" x14ac:dyDescent="0.2">
      <c r="A892" s="39" t="s">
        <v>2178</v>
      </c>
      <c r="B892" s="40" t="s">
        <v>2179</v>
      </c>
      <c r="C892" s="40" t="s">
        <v>5637</v>
      </c>
      <c r="D892" s="41">
        <v>46038</v>
      </c>
      <c r="E892" s="41">
        <v>46068</v>
      </c>
      <c r="F892" s="41">
        <v>46091</v>
      </c>
      <c r="G892" s="42">
        <v>23</v>
      </c>
      <c r="H892" s="40" t="s">
        <v>549</v>
      </c>
      <c r="I892" s="39" t="s">
        <v>320</v>
      </c>
      <c r="J892" s="43">
        <v>-311.55</v>
      </c>
      <c r="K892" s="43">
        <v>0</v>
      </c>
      <c r="L892" s="43">
        <v>-311.55</v>
      </c>
      <c r="M892" s="44">
        <v>0</v>
      </c>
      <c r="N892" s="44">
        <f t="shared" si="13"/>
        <v>-311.55</v>
      </c>
      <c r="O892" s="44">
        <v>-311.55</v>
      </c>
      <c r="P892" s="40" t="s">
        <v>3397</v>
      </c>
      <c r="Q892" s="40" t="s">
        <v>3398</v>
      </c>
      <c r="R892" s="40" t="s">
        <v>494</v>
      </c>
      <c r="S892" s="40" t="s">
        <v>502</v>
      </c>
      <c r="T892" s="40" t="s">
        <v>773</v>
      </c>
      <c r="U892" s="40" t="s">
        <v>1940</v>
      </c>
      <c r="V892" s="40"/>
      <c r="W892" s="40" t="s">
        <v>3399</v>
      </c>
    </row>
    <row r="893" spans="1:23" ht="12" x14ac:dyDescent="0.2">
      <c r="A893" s="39" t="s">
        <v>2080</v>
      </c>
      <c r="B893" s="40" t="s">
        <v>2899</v>
      </c>
      <c r="C893" s="40" t="s">
        <v>5638</v>
      </c>
      <c r="D893" s="41">
        <v>46038</v>
      </c>
      <c r="E893" s="41">
        <v>46068</v>
      </c>
      <c r="F893" s="41">
        <v>46091</v>
      </c>
      <c r="G893" s="42">
        <v>23</v>
      </c>
      <c r="H893" s="40" t="s">
        <v>549</v>
      </c>
      <c r="I893" s="39" t="s">
        <v>323</v>
      </c>
      <c r="J893" s="43">
        <v>8745.65</v>
      </c>
      <c r="K893" s="43">
        <v>0</v>
      </c>
      <c r="L893" s="43">
        <v>8745.65</v>
      </c>
      <c r="M893" s="44">
        <v>0</v>
      </c>
      <c r="N893" s="44">
        <f t="shared" si="13"/>
        <v>6031.48</v>
      </c>
      <c r="O893" s="44">
        <v>6031.48</v>
      </c>
      <c r="P893" s="40" t="s">
        <v>2072</v>
      </c>
      <c r="Q893" s="40" t="s">
        <v>2901</v>
      </c>
      <c r="R893" s="40" t="s">
        <v>494</v>
      </c>
      <c r="S893" s="40" t="s">
        <v>502</v>
      </c>
      <c r="T893" s="40" t="s">
        <v>508</v>
      </c>
      <c r="U893" s="40" t="s">
        <v>2902</v>
      </c>
      <c r="V893" s="40"/>
      <c r="W893" s="40" t="s">
        <v>2903</v>
      </c>
    </row>
    <row r="894" spans="1:23" ht="12" x14ac:dyDescent="0.2">
      <c r="A894" s="39" t="s">
        <v>63</v>
      </c>
      <c r="B894" s="40" t="s">
        <v>886</v>
      </c>
      <c r="C894" s="40" t="s">
        <v>5639</v>
      </c>
      <c r="D894" s="41">
        <v>46038</v>
      </c>
      <c r="E894" s="41">
        <v>46068</v>
      </c>
      <c r="F894" s="41">
        <v>46091</v>
      </c>
      <c r="G894" s="42">
        <v>23</v>
      </c>
      <c r="H894" s="40" t="s">
        <v>549</v>
      </c>
      <c r="I894" s="39" t="s">
        <v>320</v>
      </c>
      <c r="J894" s="43">
        <v>24414.2</v>
      </c>
      <c r="K894" s="43">
        <v>0</v>
      </c>
      <c r="L894" s="43">
        <v>24414.2</v>
      </c>
      <c r="M894" s="44">
        <v>0</v>
      </c>
      <c r="N894" s="44">
        <f t="shared" si="13"/>
        <v>24414.2</v>
      </c>
      <c r="O894" s="44">
        <v>24414.2</v>
      </c>
      <c r="P894" s="40" t="s">
        <v>1571</v>
      </c>
      <c r="Q894" s="40" t="s">
        <v>5640</v>
      </c>
      <c r="R894" s="40" t="s">
        <v>494</v>
      </c>
      <c r="S894" s="40" t="s">
        <v>502</v>
      </c>
      <c r="T894" s="40" t="s">
        <v>190</v>
      </c>
      <c r="U894" s="40" t="s">
        <v>847</v>
      </c>
      <c r="V894" s="40"/>
      <c r="W894" s="40" t="s">
        <v>5641</v>
      </c>
    </row>
    <row r="895" spans="1:23" ht="12" x14ac:dyDescent="0.2">
      <c r="A895" s="39" t="s">
        <v>337</v>
      </c>
      <c r="B895" s="40" t="s">
        <v>336</v>
      </c>
      <c r="C895" s="40" t="s">
        <v>5642</v>
      </c>
      <c r="D895" s="41">
        <v>46038</v>
      </c>
      <c r="E895" s="41">
        <v>46068</v>
      </c>
      <c r="F895" s="41">
        <v>46091</v>
      </c>
      <c r="G895" s="42">
        <v>23</v>
      </c>
      <c r="H895" s="40" t="s">
        <v>549</v>
      </c>
      <c r="I895" s="39" t="s">
        <v>320</v>
      </c>
      <c r="J895" s="43">
        <v>53715.79</v>
      </c>
      <c r="K895" s="43">
        <v>0</v>
      </c>
      <c r="L895" s="43">
        <v>53715.79</v>
      </c>
      <c r="M895" s="44">
        <v>0</v>
      </c>
      <c r="N895" s="44">
        <f t="shared" si="13"/>
        <v>53715.79</v>
      </c>
      <c r="O895" s="44">
        <v>53715.79</v>
      </c>
      <c r="P895" s="40" t="s">
        <v>5643</v>
      </c>
      <c r="Q895" s="40" t="s">
        <v>5644</v>
      </c>
      <c r="R895" s="40" t="s">
        <v>494</v>
      </c>
      <c r="S895" s="40" t="s">
        <v>502</v>
      </c>
      <c r="T895" s="40" t="s">
        <v>362</v>
      </c>
      <c r="U895" s="40" t="s">
        <v>5645</v>
      </c>
      <c r="V895" s="40" t="s">
        <v>5646</v>
      </c>
      <c r="W895" s="40" t="s">
        <v>5647</v>
      </c>
    </row>
    <row r="896" spans="1:23" ht="12" x14ac:dyDescent="0.2">
      <c r="A896" s="39" t="s">
        <v>16</v>
      </c>
      <c r="B896" s="40" t="s">
        <v>414</v>
      </c>
      <c r="C896" s="40" t="s">
        <v>5648</v>
      </c>
      <c r="D896" s="41">
        <v>46038</v>
      </c>
      <c r="E896" s="41">
        <v>46068</v>
      </c>
      <c r="F896" s="41">
        <v>46091</v>
      </c>
      <c r="G896" s="42">
        <v>23</v>
      </c>
      <c r="H896" s="40" t="s">
        <v>549</v>
      </c>
      <c r="I896" s="39" t="s">
        <v>320</v>
      </c>
      <c r="J896" s="43">
        <v>676.46</v>
      </c>
      <c r="K896" s="43">
        <v>0</v>
      </c>
      <c r="L896" s="43">
        <v>676.46</v>
      </c>
      <c r="M896" s="44">
        <v>0</v>
      </c>
      <c r="N896" s="44">
        <f t="shared" si="13"/>
        <v>676.46</v>
      </c>
      <c r="O896" s="44">
        <v>676.46</v>
      </c>
      <c r="P896" s="40" t="s">
        <v>1368</v>
      </c>
      <c r="Q896" s="40" t="s">
        <v>3635</v>
      </c>
      <c r="R896" s="40" t="s">
        <v>494</v>
      </c>
      <c r="S896" s="40" t="s">
        <v>502</v>
      </c>
      <c r="T896" s="40" t="s">
        <v>508</v>
      </c>
      <c r="U896" s="40" t="s">
        <v>3636</v>
      </c>
      <c r="V896" s="40"/>
      <c r="W896" s="40" t="s">
        <v>322</v>
      </c>
    </row>
    <row r="897" spans="1:23" ht="12" x14ac:dyDescent="0.2">
      <c r="A897" s="39" t="s">
        <v>16</v>
      </c>
      <c r="B897" s="40" t="s">
        <v>414</v>
      </c>
      <c r="C897" s="40" t="s">
        <v>5649</v>
      </c>
      <c r="D897" s="41">
        <v>46038</v>
      </c>
      <c r="E897" s="41">
        <v>46068</v>
      </c>
      <c r="F897" s="41">
        <v>46091</v>
      </c>
      <c r="G897" s="42">
        <v>23</v>
      </c>
      <c r="H897" s="40" t="s">
        <v>549</v>
      </c>
      <c r="I897" s="39" t="s">
        <v>320</v>
      </c>
      <c r="J897" s="43">
        <v>53442.39</v>
      </c>
      <c r="K897" s="43">
        <v>0</v>
      </c>
      <c r="L897" s="43">
        <v>53442.39</v>
      </c>
      <c r="M897" s="44">
        <v>0</v>
      </c>
      <c r="N897" s="44">
        <f t="shared" si="13"/>
        <v>53442.39</v>
      </c>
      <c r="O897" s="44">
        <v>53442.39</v>
      </c>
      <c r="P897" s="40" t="s">
        <v>3160</v>
      </c>
      <c r="Q897" s="40" t="s">
        <v>3161</v>
      </c>
      <c r="R897" s="40" t="s">
        <v>494</v>
      </c>
      <c r="S897" s="40" t="s">
        <v>502</v>
      </c>
      <c r="T897" s="40" t="s">
        <v>330</v>
      </c>
      <c r="U897" s="40" t="s">
        <v>3066</v>
      </c>
      <c r="V897" s="40"/>
      <c r="W897" s="40" t="s">
        <v>3162</v>
      </c>
    </row>
    <row r="898" spans="1:23" ht="12" x14ac:dyDescent="0.2">
      <c r="A898" s="39" t="s">
        <v>337</v>
      </c>
      <c r="B898" s="40" t="s">
        <v>336</v>
      </c>
      <c r="C898" s="40" t="s">
        <v>5650</v>
      </c>
      <c r="D898" s="41">
        <v>46041</v>
      </c>
      <c r="E898" s="41">
        <v>46071</v>
      </c>
      <c r="F898" s="41">
        <v>46091</v>
      </c>
      <c r="G898" s="42">
        <v>20</v>
      </c>
      <c r="H898" s="40" t="s">
        <v>549</v>
      </c>
      <c r="I898" s="39" t="s">
        <v>320</v>
      </c>
      <c r="J898" s="43">
        <v>34201.160000000003</v>
      </c>
      <c r="K898" s="43">
        <v>0</v>
      </c>
      <c r="L898" s="43">
        <v>34201.160000000003</v>
      </c>
      <c r="M898" s="44">
        <v>0</v>
      </c>
      <c r="N898" s="44">
        <f t="shared" si="13"/>
        <v>34201.160000000003</v>
      </c>
      <c r="O898" s="44">
        <v>34201.160000000003</v>
      </c>
      <c r="P898" s="40" t="s">
        <v>5651</v>
      </c>
      <c r="Q898" s="40" t="s">
        <v>5652</v>
      </c>
      <c r="R898" s="40" t="s">
        <v>494</v>
      </c>
      <c r="S898" s="40" t="s">
        <v>502</v>
      </c>
      <c r="T898" s="40" t="s">
        <v>997</v>
      </c>
      <c r="U898" s="40" t="s">
        <v>5653</v>
      </c>
      <c r="V898" s="40" t="s">
        <v>5654</v>
      </c>
      <c r="W898" s="40" t="s">
        <v>5655</v>
      </c>
    </row>
    <row r="899" spans="1:23" ht="12" x14ac:dyDescent="0.2">
      <c r="A899" s="39" t="s">
        <v>825</v>
      </c>
      <c r="B899" s="40" t="s">
        <v>826</v>
      </c>
      <c r="C899" s="40" t="s">
        <v>5656</v>
      </c>
      <c r="D899" s="41">
        <v>46041</v>
      </c>
      <c r="E899" s="41">
        <v>46071</v>
      </c>
      <c r="F899" s="41">
        <v>46091</v>
      </c>
      <c r="G899" s="42">
        <v>20</v>
      </c>
      <c r="H899" s="40" t="s">
        <v>549</v>
      </c>
      <c r="I899" s="39" t="s">
        <v>320</v>
      </c>
      <c r="J899" s="43">
        <v>159966.07999999999</v>
      </c>
      <c r="K899" s="43">
        <v>0</v>
      </c>
      <c r="L899" s="43">
        <v>159966.07999999999</v>
      </c>
      <c r="M899" s="44">
        <v>0</v>
      </c>
      <c r="N899" s="44">
        <f t="shared" ref="N899:N962" si="14">IF(I899="GBP",L899-K899,O899-K899)</f>
        <v>159966.07999999999</v>
      </c>
      <c r="O899" s="44">
        <v>159966.07999999999</v>
      </c>
      <c r="P899" s="40" t="s">
        <v>5657</v>
      </c>
      <c r="Q899" s="40" t="s">
        <v>5658</v>
      </c>
      <c r="R899" s="40" t="s">
        <v>494</v>
      </c>
      <c r="S899" s="40" t="s">
        <v>495</v>
      </c>
      <c r="T899" s="40" t="s">
        <v>330</v>
      </c>
      <c r="U899" s="40" t="s">
        <v>3021</v>
      </c>
      <c r="V899" s="40"/>
      <c r="W899" s="40" t="s">
        <v>5659</v>
      </c>
    </row>
    <row r="900" spans="1:23" ht="12" x14ac:dyDescent="0.2">
      <c r="A900" s="39" t="s">
        <v>53</v>
      </c>
      <c r="B900" s="40" t="s">
        <v>331</v>
      </c>
      <c r="C900" s="40" t="s">
        <v>5660</v>
      </c>
      <c r="D900" s="41">
        <v>46041</v>
      </c>
      <c r="E900" s="41">
        <v>46071</v>
      </c>
      <c r="F900" s="41">
        <v>46091</v>
      </c>
      <c r="G900" s="42">
        <v>20</v>
      </c>
      <c r="H900" s="40" t="s">
        <v>549</v>
      </c>
      <c r="I900" s="39" t="s">
        <v>320</v>
      </c>
      <c r="J900" s="43">
        <v>146060.35999999999</v>
      </c>
      <c r="K900" s="43">
        <v>0</v>
      </c>
      <c r="L900" s="43">
        <v>34507.97</v>
      </c>
      <c r="M900" s="44">
        <v>0</v>
      </c>
      <c r="N900" s="44">
        <f t="shared" si="14"/>
        <v>34507.97</v>
      </c>
      <c r="O900" s="44">
        <v>34507.97</v>
      </c>
      <c r="P900" s="40" t="s">
        <v>5661</v>
      </c>
      <c r="Q900" s="40" t="s">
        <v>5662</v>
      </c>
      <c r="R900" s="40" t="s">
        <v>494</v>
      </c>
      <c r="S900" s="40" t="s">
        <v>495</v>
      </c>
      <c r="T900" s="40" t="s">
        <v>165</v>
      </c>
      <c r="U900" s="40" t="s">
        <v>5663</v>
      </c>
      <c r="V900" s="40"/>
      <c r="W900" s="40" t="s">
        <v>5664</v>
      </c>
    </row>
    <row r="901" spans="1:23" ht="12" x14ac:dyDescent="0.2">
      <c r="A901" s="39" t="s">
        <v>2178</v>
      </c>
      <c r="B901" s="40" t="s">
        <v>2179</v>
      </c>
      <c r="C901" s="40" t="s">
        <v>5665</v>
      </c>
      <c r="D901" s="41">
        <v>46041</v>
      </c>
      <c r="E901" s="41">
        <v>46071</v>
      </c>
      <c r="F901" s="41">
        <v>46091</v>
      </c>
      <c r="G901" s="42">
        <v>20</v>
      </c>
      <c r="H901" s="40" t="s">
        <v>549</v>
      </c>
      <c r="I901" s="39" t="s">
        <v>320</v>
      </c>
      <c r="J901" s="43">
        <v>42321.13</v>
      </c>
      <c r="K901" s="43">
        <v>0</v>
      </c>
      <c r="L901" s="43">
        <v>42321.13</v>
      </c>
      <c r="M901" s="44">
        <v>0</v>
      </c>
      <c r="N901" s="44">
        <f t="shared" si="14"/>
        <v>42321.13</v>
      </c>
      <c r="O901" s="44">
        <v>42321.13</v>
      </c>
      <c r="P901" s="40" t="s">
        <v>5666</v>
      </c>
      <c r="Q901" s="40" t="s">
        <v>5667</v>
      </c>
      <c r="R901" s="40" t="s">
        <v>494</v>
      </c>
      <c r="S901" s="40" t="s">
        <v>502</v>
      </c>
      <c r="T901" s="40" t="s">
        <v>287</v>
      </c>
      <c r="U901" s="40" t="s">
        <v>2937</v>
      </c>
      <c r="V901" s="40"/>
      <c r="W901" s="40" t="s">
        <v>5668</v>
      </c>
    </row>
    <row r="902" spans="1:23" ht="12" x14ac:dyDescent="0.2">
      <c r="A902" s="39" t="s">
        <v>357</v>
      </c>
      <c r="B902" s="40" t="s">
        <v>356</v>
      </c>
      <c r="C902" s="40" t="s">
        <v>5669</v>
      </c>
      <c r="D902" s="41">
        <v>46041</v>
      </c>
      <c r="E902" s="41">
        <v>46071</v>
      </c>
      <c r="F902" s="41">
        <v>46091</v>
      </c>
      <c r="G902" s="42">
        <v>20</v>
      </c>
      <c r="H902" s="40" t="s">
        <v>549</v>
      </c>
      <c r="I902" s="39" t="s">
        <v>341</v>
      </c>
      <c r="J902" s="43">
        <v>1200889.1399999999</v>
      </c>
      <c r="K902" s="43">
        <v>0</v>
      </c>
      <c r="L902" s="43">
        <v>650687.05000000005</v>
      </c>
      <c r="M902" s="44">
        <v>0</v>
      </c>
      <c r="N902" s="44">
        <f t="shared" si="14"/>
        <v>553767.21</v>
      </c>
      <c r="O902" s="44">
        <v>553767.21</v>
      </c>
      <c r="P902" s="40" t="s">
        <v>1326</v>
      </c>
      <c r="Q902" s="40" t="s">
        <v>1327</v>
      </c>
      <c r="R902" s="40" t="s">
        <v>494</v>
      </c>
      <c r="S902" s="40" t="s">
        <v>502</v>
      </c>
      <c r="T902" s="40" t="s">
        <v>278</v>
      </c>
      <c r="U902" s="40" t="s">
        <v>564</v>
      </c>
      <c r="V902" s="40"/>
      <c r="W902" s="40" t="s">
        <v>1328</v>
      </c>
    </row>
    <row r="903" spans="1:23" ht="12" x14ac:dyDescent="0.2">
      <c r="A903" s="39" t="s">
        <v>412</v>
      </c>
      <c r="B903" s="40" t="s">
        <v>411</v>
      </c>
      <c r="C903" s="40" t="s">
        <v>5670</v>
      </c>
      <c r="D903" s="41">
        <v>46041</v>
      </c>
      <c r="E903" s="41">
        <v>46071</v>
      </c>
      <c r="F903" s="41">
        <v>46091</v>
      </c>
      <c r="G903" s="42">
        <v>20</v>
      </c>
      <c r="H903" s="40" t="s">
        <v>549</v>
      </c>
      <c r="I903" s="39" t="s">
        <v>320</v>
      </c>
      <c r="J903" s="43">
        <v>241965.45</v>
      </c>
      <c r="K903" s="43">
        <v>0</v>
      </c>
      <c r="L903" s="43">
        <v>241965.45</v>
      </c>
      <c r="M903" s="44">
        <v>0</v>
      </c>
      <c r="N903" s="44">
        <f t="shared" si="14"/>
        <v>241965.45</v>
      </c>
      <c r="O903" s="44">
        <v>241965.45</v>
      </c>
      <c r="P903" s="40" t="s">
        <v>5671</v>
      </c>
      <c r="Q903" s="40" t="s">
        <v>5672</v>
      </c>
      <c r="R903" s="40" t="s">
        <v>494</v>
      </c>
      <c r="S903" s="40" t="s">
        <v>495</v>
      </c>
      <c r="T903" s="40" t="s">
        <v>330</v>
      </c>
      <c r="U903" s="40" t="s">
        <v>647</v>
      </c>
      <c r="V903" s="40"/>
      <c r="W903" s="40" t="s">
        <v>5673</v>
      </c>
    </row>
    <row r="904" spans="1:23" ht="12" x14ac:dyDescent="0.2">
      <c r="A904" s="39" t="s">
        <v>299</v>
      </c>
      <c r="B904" s="40" t="s">
        <v>3876</v>
      </c>
      <c r="C904" s="40" t="s">
        <v>5674</v>
      </c>
      <c r="D904" s="41">
        <v>46041</v>
      </c>
      <c r="E904" s="41">
        <v>46071</v>
      </c>
      <c r="F904" s="41">
        <v>46091</v>
      </c>
      <c r="G904" s="42">
        <v>20</v>
      </c>
      <c r="H904" s="40" t="s">
        <v>549</v>
      </c>
      <c r="I904" s="39" t="s">
        <v>320</v>
      </c>
      <c r="J904" s="43">
        <v>116601.15</v>
      </c>
      <c r="K904" s="43">
        <v>0</v>
      </c>
      <c r="L904" s="43">
        <v>116601.15</v>
      </c>
      <c r="M904" s="44">
        <v>0</v>
      </c>
      <c r="N904" s="44">
        <f t="shared" si="14"/>
        <v>116601.15</v>
      </c>
      <c r="O904" s="44">
        <v>116601.15</v>
      </c>
      <c r="P904" s="40" t="s">
        <v>5675</v>
      </c>
      <c r="Q904" s="40" t="s">
        <v>5676</v>
      </c>
      <c r="R904" s="40" t="s">
        <v>494</v>
      </c>
      <c r="S904" s="40" t="s">
        <v>502</v>
      </c>
      <c r="T904" s="40" t="s">
        <v>219</v>
      </c>
      <c r="U904" s="40" t="s">
        <v>1305</v>
      </c>
      <c r="V904" s="40" t="s">
        <v>5677</v>
      </c>
      <c r="W904" s="40"/>
    </row>
    <row r="905" spans="1:23" ht="12" x14ac:dyDescent="0.2">
      <c r="A905" s="39" t="s">
        <v>2178</v>
      </c>
      <c r="B905" s="40" t="s">
        <v>2179</v>
      </c>
      <c r="C905" s="40" t="s">
        <v>5678</v>
      </c>
      <c r="D905" s="41">
        <v>46041</v>
      </c>
      <c r="E905" s="41">
        <v>46071</v>
      </c>
      <c r="F905" s="41">
        <v>46091</v>
      </c>
      <c r="G905" s="42">
        <v>20</v>
      </c>
      <c r="H905" s="40" t="s">
        <v>549</v>
      </c>
      <c r="I905" s="39" t="s">
        <v>320</v>
      </c>
      <c r="J905" s="43">
        <v>-1738.39</v>
      </c>
      <c r="K905" s="43">
        <v>0</v>
      </c>
      <c r="L905" s="43">
        <v>-1738.39</v>
      </c>
      <c r="M905" s="44">
        <v>0</v>
      </c>
      <c r="N905" s="44">
        <f t="shared" si="14"/>
        <v>-1738.39</v>
      </c>
      <c r="O905" s="44">
        <v>-1738.39</v>
      </c>
      <c r="P905" s="40" t="s">
        <v>5679</v>
      </c>
      <c r="Q905" s="40" t="s">
        <v>5680</v>
      </c>
      <c r="R905" s="40" t="s">
        <v>494</v>
      </c>
      <c r="S905" s="40" t="s">
        <v>502</v>
      </c>
      <c r="T905" s="40" t="s">
        <v>163</v>
      </c>
      <c r="U905" s="40" t="s">
        <v>5494</v>
      </c>
      <c r="V905" s="40"/>
      <c r="W905" s="40" t="s">
        <v>5681</v>
      </c>
    </row>
    <row r="906" spans="1:23" ht="12" x14ac:dyDescent="0.2">
      <c r="A906" s="39" t="s">
        <v>742</v>
      </c>
      <c r="B906" s="40" t="s">
        <v>743</v>
      </c>
      <c r="C906" s="40" t="s">
        <v>5682</v>
      </c>
      <c r="D906" s="41">
        <v>46041</v>
      </c>
      <c r="E906" s="41">
        <v>46071</v>
      </c>
      <c r="F906" s="41">
        <v>46091</v>
      </c>
      <c r="G906" s="42">
        <v>20</v>
      </c>
      <c r="H906" s="40" t="s">
        <v>549</v>
      </c>
      <c r="I906" s="39" t="s">
        <v>323</v>
      </c>
      <c r="J906" s="43">
        <v>893980.19</v>
      </c>
      <c r="K906" s="43">
        <v>0</v>
      </c>
      <c r="L906" s="43">
        <v>893980.19</v>
      </c>
      <c r="M906" s="44">
        <v>0</v>
      </c>
      <c r="N906" s="44">
        <f t="shared" si="14"/>
        <v>662207.55000000005</v>
      </c>
      <c r="O906" s="44">
        <v>662207.55000000005</v>
      </c>
      <c r="P906" s="40" t="s">
        <v>5683</v>
      </c>
      <c r="Q906" s="40" t="s">
        <v>5684</v>
      </c>
      <c r="R906" s="40" t="s">
        <v>494</v>
      </c>
      <c r="S906" s="40" t="s">
        <v>502</v>
      </c>
      <c r="T906" s="40" t="s">
        <v>178</v>
      </c>
      <c r="U906" s="40" t="s">
        <v>4624</v>
      </c>
      <c r="V906" s="40"/>
      <c r="W906" s="40" t="s">
        <v>321</v>
      </c>
    </row>
    <row r="907" spans="1:23" ht="12" x14ac:dyDescent="0.2">
      <c r="A907" s="39" t="s">
        <v>67</v>
      </c>
      <c r="B907" s="40" t="s">
        <v>372</v>
      </c>
      <c r="C907" s="40" t="s">
        <v>5685</v>
      </c>
      <c r="D907" s="41">
        <v>46042</v>
      </c>
      <c r="E907" s="41">
        <v>46072</v>
      </c>
      <c r="F907" s="41">
        <v>46091</v>
      </c>
      <c r="G907" s="42">
        <v>19</v>
      </c>
      <c r="H907" s="40" t="s">
        <v>549</v>
      </c>
      <c r="I907" s="39" t="s">
        <v>320</v>
      </c>
      <c r="J907" s="43">
        <v>11441</v>
      </c>
      <c r="K907" s="43">
        <v>0</v>
      </c>
      <c r="L907" s="43">
        <v>5720.5</v>
      </c>
      <c r="M907" s="44">
        <v>0</v>
      </c>
      <c r="N907" s="44">
        <f t="shared" si="14"/>
        <v>5720.5</v>
      </c>
      <c r="O907" s="44">
        <v>5720.5</v>
      </c>
      <c r="P907" s="40" t="s">
        <v>5686</v>
      </c>
      <c r="Q907" s="40" t="s">
        <v>5687</v>
      </c>
      <c r="R907" s="40" t="s">
        <v>494</v>
      </c>
      <c r="S907" s="40" t="s">
        <v>502</v>
      </c>
      <c r="T907" s="40" t="s">
        <v>3634</v>
      </c>
      <c r="U907" s="40" t="s">
        <v>5688</v>
      </c>
      <c r="V907" s="40"/>
      <c r="W907" s="40" t="s">
        <v>5689</v>
      </c>
    </row>
    <row r="908" spans="1:23" ht="12" x14ac:dyDescent="0.2">
      <c r="A908" s="39" t="s">
        <v>815</v>
      </c>
      <c r="B908" s="40" t="s">
        <v>1119</v>
      </c>
      <c r="C908" s="40" t="s">
        <v>5690</v>
      </c>
      <c r="D908" s="41">
        <v>46042</v>
      </c>
      <c r="E908" s="41">
        <v>46072</v>
      </c>
      <c r="F908" s="41">
        <v>46091</v>
      </c>
      <c r="G908" s="42">
        <v>19</v>
      </c>
      <c r="H908" s="40" t="s">
        <v>549</v>
      </c>
      <c r="I908" s="39" t="s">
        <v>320</v>
      </c>
      <c r="J908" s="43">
        <v>51303.27</v>
      </c>
      <c r="K908" s="43">
        <v>0</v>
      </c>
      <c r="L908" s="43">
        <v>51303.27</v>
      </c>
      <c r="M908" s="44">
        <v>0</v>
      </c>
      <c r="N908" s="44">
        <f t="shared" si="14"/>
        <v>51303.27</v>
      </c>
      <c r="O908" s="44">
        <v>51303.27</v>
      </c>
      <c r="P908" s="40" t="s">
        <v>1120</v>
      </c>
      <c r="Q908" s="40" t="s">
        <v>1121</v>
      </c>
      <c r="R908" s="40" t="s">
        <v>494</v>
      </c>
      <c r="S908" s="40" t="s">
        <v>502</v>
      </c>
      <c r="T908" s="40" t="s">
        <v>178</v>
      </c>
      <c r="U908" s="40" t="s">
        <v>625</v>
      </c>
      <c r="V908" s="40" t="s">
        <v>5511</v>
      </c>
      <c r="W908" s="40" t="s">
        <v>1729</v>
      </c>
    </row>
    <row r="909" spans="1:23" ht="12" x14ac:dyDescent="0.2">
      <c r="A909" s="39" t="s">
        <v>5691</v>
      </c>
      <c r="B909" s="40" t="s">
        <v>5692</v>
      </c>
      <c r="C909" s="40" t="s">
        <v>5693</v>
      </c>
      <c r="D909" s="41">
        <v>46042</v>
      </c>
      <c r="E909" s="41">
        <v>46072</v>
      </c>
      <c r="F909" s="41">
        <v>46091</v>
      </c>
      <c r="G909" s="42">
        <v>19</v>
      </c>
      <c r="H909" s="40" t="s">
        <v>549</v>
      </c>
      <c r="I909" s="39" t="s">
        <v>320</v>
      </c>
      <c r="J909" s="43">
        <v>4679.92</v>
      </c>
      <c r="K909" s="43">
        <v>0</v>
      </c>
      <c r="L909" s="43">
        <v>4679.92</v>
      </c>
      <c r="M909" s="44">
        <v>0</v>
      </c>
      <c r="N909" s="44">
        <f t="shared" si="14"/>
        <v>4679.92</v>
      </c>
      <c r="O909" s="44">
        <v>4679.92</v>
      </c>
      <c r="P909" s="40" t="s">
        <v>5694</v>
      </c>
      <c r="Q909" s="40" t="s">
        <v>5695</v>
      </c>
      <c r="R909" s="40" t="s">
        <v>494</v>
      </c>
      <c r="S909" s="40" t="s">
        <v>502</v>
      </c>
      <c r="T909" s="40" t="s">
        <v>191</v>
      </c>
      <c r="U909" s="40" t="s">
        <v>5696</v>
      </c>
      <c r="V909" s="40"/>
      <c r="W909" s="40" t="s">
        <v>5697</v>
      </c>
    </row>
    <row r="910" spans="1:23" ht="12" x14ac:dyDescent="0.2">
      <c r="A910" s="39" t="s">
        <v>4457</v>
      </c>
      <c r="B910" s="40" t="s">
        <v>4458</v>
      </c>
      <c r="C910" s="40" t="s">
        <v>5698</v>
      </c>
      <c r="D910" s="41">
        <v>46042</v>
      </c>
      <c r="E910" s="41">
        <v>46072</v>
      </c>
      <c r="F910" s="41">
        <v>46091</v>
      </c>
      <c r="G910" s="42">
        <v>19</v>
      </c>
      <c r="H910" s="40" t="s">
        <v>549</v>
      </c>
      <c r="I910" s="39" t="s">
        <v>320</v>
      </c>
      <c r="J910" s="43">
        <v>2999.86</v>
      </c>
      <c r="K910" s="43">
        <v>0</v>
      </c>
      <c r="L910" s="43">
        <v>2999.86</v>
      </c>
      <c r="M910" s="44">
        <v>0</v>
      </c>
      <c r="N910" s="44">
        <f t="shared" si="14"/>
        <v>2999.86</v>
      </c>
      <c r="O910" s="44">
        <v>2999.86</v>
      </c>
      <c r="P910" s="40" t="s">
        <v>4460</v>
      </c>
      <c r="Q910" s="40" t="s">
        <v>4461</v>
      </c>
      <c r="R910" s="40" t="s">
        <v>494</v>
      </c>
      <c r="S910" s="40" t="s">
        <v>502</v>
      </c>
      <c r="T910" s="40" t="s">
        <v>287</v>
      </c>
      <c r="U910" s="40" t="s">
        <v>2329</v>
      </c>
      <c r="V910" s="40" t="s">
        <v>4462</v>
      </c>
      <c r="W910" s="40" t="s">
        <v>4463</v>
      </c>
    </row>
    <row r="911" spans="1:23" ht="12" x14ac:dyDescent="0.2">
      <c r="A911" s="39" t="s">
        <v>52</v>
      </c>
      <c r="B911" s="40" t="s">
        <v>472</v>
      </c>
      <c r="C911" s="40" t="s">
        <v>5699</v>
      </c>
      <c r="D911" s="41">
        <v>46042</v>
      </c>
      <c r="E911" s="41">
        <v>46072</v>
      </c>
      <c r="F911" s="41">
        <v>46091</v>
      </c>
      <c r="G911" s="42">
        <v>19</v>
      </c>
      <c r="H911" s="40" t="s">
        <v>549</v>
      </c>
      <c r="I911" s="39" t="s">
        <v>320</v>
      </c>
      <c r="J911" s="43">
        <v>25992.42</v>
      </c>
      <c r="K911" s="43">
        <v>0</v>
      </c>
      <c r="L911" s="43">
        <v>25992.42</v>
      </c>
      <c r="M911" s="44">
        <v>0</v>
      </c>
      <c r="N911" s="44">
        <f t="shared" si="14"/>
        <v>25992.42</v>
      </c>
      <c r="O911" s="44">
        <v>25992.42</v>
      </c>
      <c r="P911" s="40" t="s">
        <v>5700</v>
      </c>
      <c r="Q911" s="40" t="s">
        <v>5701</v>
      </c>
      <c r="R911" s="40" t="s">
        <v>494</v>
      </c>
      <c r="S911" s="40" t="s">
        <v>502</v>
      </c>
      <c r="T911" s="40" t="s">
        <v>209</v>
      </c>
      <c r="U911" s="40" t="s">
        <v>5702</v>
      </c>
      <c r="V911" s="40" t="s">
        <v>5506</v>
      </c>
      <c r="W911" s="40" t="s">
        <v>5703</v>
      </c>
    </row>
    <row r="912" spans="1:23" ht="12" x14ac:dyDescent="0.2">
      <c r="A912" s="39" t="s">
        <v>5704</v>
      </c>
      <c r="B912" s="40" t="s">
        <v>5705</v>
      </c>
      <c r="C912" s="40" t="s">
        <v>5706</v>
      </c>
      <c r="D912" s="41">
        <v>46042</v>
      </c>
      <c r="E912" s="41">
        <v>46072</v>
      </c>
      <c r="F912" s="41">
        <v>46091</v>
      </c>
      <c r="G912" s="42">
        <v>19</v>
      </c>
      <c r="H912" s="40" t="s">
        <v>549</v>
      </c>
      <c r="I912" s="39" t="s">
        <v>320</v>
      </c>
      <c r="J912" s="43">
        <v>6121.59</v>
      </c>
      <c r="K912" s="43">
        <v>0</v>
      </c>
      <c r="L912" s="43">
        <v>6121.59</v>
      </c>
      <c r="M912" s="44">
        <v>0</v>
      </c>
      <c r="N912" s="44">
        <f t="shared" si="14"/>
        <v>6121.59</v>
      </c>
      <c r="O912" s="44">
        <v>6121.59</v>
      </c>
      <c r="P912" s="40" t="s">
        <v>5707</v>
      </c>
      <c r="Q912" s="40" t="s">
        <v>5708</v>
      </c>
      <c r="R912" s="40" t="s">
        <v>494</v>
      </c>
      <c r="S912" s="40" t="s">
        <v>502</v>
      </c>
      <c r="T912" s="40" t="s">
        <v>209</v>
      </c>
      <c r="U912" s="40" t="s">
        <v>5709</v>
      </c>
      <c r="V912" s="40"/>
      <c r="W912" s="40" t="s">
        <v>5710</v>
      </c>
    </row>
    <row r="913" spans="1:23" ht="12" x14ac:dyDescent="0.2">
      <c r="A913" s="39" t="s">
        <v>54</v>
      </c>
      <c r="B913" s="40" t="s">
        <v>455</v>
      </c>
      <c r="C913" s="40" t="s">
        <v>5711</v>
      </c>
      <c r="D913" s="41">
        <v>46042</v>
      </c>
      <c r="E913" s="41">
        <v>46072</v>
      </c>
      <c r="F913" s="41">
        <v>46091</v>
      </c>
      <c r="G913" s="42">
        <v>19</v>
      </c>
      <c r="H913" s="40" t="s">
        <v>549</v>
      </c>
      <c r="I913" s="39" t="s">
        <v>320</v>
      </c>
      <c r="J913" s="43">
        <v>2287.98</v>
      </c>
      <c r="K913" s="43">
        <v>0</v>
      </c>
      <c r="L913" s="43">
        <v>2287.98</v>
      </c>
      <c r="M913" s="44">
        <v>0</v>
      </c>
      <c r="N913" s="44">
        <f t="shared" si="14"/>
        <v>2287.98</v>
      </c>
      <c r="O913" s="44">
        <v>2287.98</v>
      </c>
      <c r="P913" s="40" t="s">
        <v>4399</v>
      </c>
      <c r="Q913" s="40" t="s">
        <v>4400</v>
      </c>
      <c r="R913" s="40" t="s">
        <v>494</v>
      </c>
      <c r="S913" s="40" t="s">
        <v>502</v>
      </c>
      <c r="T913" s="40" t="s">
        <v>180</v>
      </c>
      <c r="U913" s="40" t="s">
        <v>4401</v>
      </c>
      <c r="V913" s="40" t="s">
        <v>5712</v>
      </c>
      <c r="W913" s="40" t="s">
        <v>4403</v>
      </c>
    </row>
    <row r="914" spans="1:23" ht="12" x14ac:dyDescent="0.2">
      <c r="A914" s="39" t="s">
        <v>461</v>
      </c>
      <c r="B914" s="40" t="s">
        <v>460</v>
      </c>
      <c r="C914" s="40" t="s">
        <v>5713</v>
      </c>
      <c r="D914" s="41">
        <v>46042</v>
      </c>
      <c r="E914" s="41">
        <v>46072</v>
      </c>
      <c r="F914" s="41">
        <v>46091</v>
      </c>
      <c r="G914" s="42">
        <v>19</v>
      </c>
      <c r="H914" s="40" t="s">
        <v>549</v>
      </c>
      <c r="I914" s="39" t="s">
        <v>320</v>
      </c>
      <c r="J914" s="43">
        <v>4736.2</v>
      </c>
      <c r="K914" s="43">
        <v>0</v>
      </c>
      <c r="L914" s="43">
        <v>4736.2</v>
      </c>
      <c r="M914" s="44">
        <v>0</v>
      </c>
      <c r="N914" s="44">
        <f t="shared" si="14"/>
        <v>4736.2</v>
      </c>
      <c r="O914" s="44">
        <v>4736.2</v>
      </c>
      <c r="P914" s="40" t="s">
        <v>5714</v>
      </c>
      <c r="Q914" s="40" t="s">
        <v>5715</v>
      </c>
      <c r="R914" s="40" t="s">
        <v>494</v>
      </c>
      <c r="S914" s="40" t="s">
        <v>502</v>
      </c>
      <c r="T914" s="40" t="s">
        <v>883</v>
      </c>
      <c r="U914" s="40" t="s">
        <v>5716</v>
      </c>
      <c r="V914" s="40" t="s">
        <v>5717</v>
      </c>
      <c r="W914" s="40" t="s">
        <v>5718</v>
      </c>
    </row>
    <row r="915" spans="1:23" ht="12" x14ac:dyDescent="0.2">
      <c r="A915" s="39" t="s">
        <v>32</v>
      </c>
      <c r="B915" s="40" t="s">
        <v>324</v>
      </c>
      <c r="C915" s="40" t="s">
        <v>5719</v>
      </c>
      <c r="D915" s="41">
        <v>46042</v>
      </c>
      <c r="E915" s="41">
        <v>46072</v>
      </c>
      <c r="F915" s="41">
        <v>46091</v>
      </c>
      <c r="G915" s="42">
        <v>19</v>
      </c>
      <c r="H915" s="40" t="s">
        <v>549</v>
      </c>
      <c r="I915" s="39" t="s">
        <v>320</v>
      </c>
      <c r="J915" s="43">
        <v>33543.68</v>
      </c>
      <c r="K915" s="43">
        <v>0</v>
      </c>
      <c r="L915" s="43">
        <v>33543.68</v>
      </c>
      <c r="M915" s="44">
        <v>0</v>
      </c>
      <c r="N915" s="44">
        <f t="shared" si="14"/>
        <v>33543.68</v>
      </c>
      <c r="O915" s="44">
        <v>33543.68</v>
      </c>
      <c r="P915" s="40" t="s">
        <v>1101</v>
      </c>
      <c r="Q915" s="40" t="s">
        <v>1102</v>
      </c>
      <c r="R915" s="40" t="s">
        <v>494</v>
      </c>
      <c r="S915" s="40" t="s">
        <v>502</v>
      </c>
      <c r="T915" s="40" t="s">
        <v>185</v>
      </c>
      <c r="U915" s="40" t="s">
        <v>1103</v>
      </c>
      <c r="V915" s="40" t="s">
        <v>5720</v>
      </c>
      <c r="W915" s="40" t="s">
        <v>2114</v>
      </c>
    </row>
    <row r="916" spans="1:23" ht="12" x14ac:dyDescent="0.2">
      <c r="A916" s="39" t="s">
        <v>5721</v>
      </c>
      <c r="B916" s="40" t="s">
        <v>5722</v>
      </c>
      <c r="C916" s="40" t="s">
        <v>5723</v>
      </c>
      <c r="D916" s="41">
        <v>46042</v>
      </c>
      <c r="E916" s="41">
        <v>46072</v>
      </c>
      <c r="F916" s="41">
        <v>46091</v>
      </c>
      <c r="G916" s="42">
        <v>19</v>
      </c>
      <c r="H916" s="40" t="s">
        <v>549</v>
      </c>
      <c r="I916" s="39" t="s">
        <v>320</v>
      </c>
      <c r="J916" s="43">
        <v>31580</v>
      </c>
      <c r="K916" s="43">
        <v>0</v>
      </c>
      <c r="L916" s="43">
        <v>31580</v>
      </c>
      <c r="M916" s="44">
        <v>0</v>
      </c>
      <c r="N916" s="44">
        <f t="shared" si="14"/>
        <v>31580</v>
      </c>
      <c r="O916" s="44">
        <v>31580</v>
      </c>
      <c r="P916" s="40" t="s">
        <v>5724</v>
      </c>
      <c r="Q916" s="40" t="s">
        <v>5725</v>
      </c>
      <c r="R916" s="40" t="s">
        <v>494</v>
      </c>
      <c r="S916" s="40" t="s">
        <v>502</v>
      </c>
      <c r="T916" s="40" t="s">
        <v>209</v>
      </c>
      <c r="U916" s="40" t="s">
        <v>5726</v>
      </c>
      <c r="V916" s="40"/>
      <c r="W916" s="40" t="s">
        <v>321</v>
      </c>
    </row>
    <row r="917" spans="1:23" ht="12" x14ac:dyDescent="0.2">
      <c r="A917" s="39" t="s">
        <v>412</v>
      </c>
      <c r="B917" s="40" t="s">
        <v>411</v>
      </c>
      <c r="C917" s="40" t="s">
        <v>5727</v>
      </c>
      <c r="D917" s="41">
        <v>46042</v>
      </c>
      <c r="E917" s="41">
        <v>46072</v>
      </c>
      <c r="F917" s="41">
        <v>46091</v>
      </c>
      <c r="G917" s="42">
        <v>19</v>
      </c>
      <c r="H917" s="40" t="s">
        <v>549</v>
      </c>
      <c r="I917" s="39" t="s">
        <v>320</v>
      </c>
      <c r="J917" s="43">
        <v>92631.3</v>
      </c>
      <c r="K917" s="43">
        <v>0</v>
      </c>
      <c r="L917" s="43">
        <v>92631.3</v>
      </c>
      <c r="M917" s="44">
        <v>0</v>
      </c>
      <c r="N917" s="44">
        <f t="shared" si="14"/>
        <v>92631.3</v>
      </c>
      <c r="O917" s="44">
        <v>92631.3</v>
      </c>
      <c r="P917" s="40" t="s">
        <v>5728</v>
      </c>
      <c r="Q917" s="40" t="s">
        <v>5729</v>
      </c>
      <c r="R917" s="40" t="s">
        <v>494</v>
      </c>
      <c r="S917" s="40" t="s">
        <v>502</v>
      </c>
      <c r="T917" s="40" t="s">
        <v>330</v>
      </c>
      <c r="U917" s="40" t="s">
        <v>647</v>
      </c>
      <c r="V917" s="40"/>
      <c r="W917" s="40" t="s">
        <v>5730</v>
      </c>
    </row>
    <row r="918" spans="1:23" ht="12" x14ac:dyDescent="0.2">
      <c r="A918" s="39" t="s">
        <v>55</v>
      </c>
      <c r="B918" s="40" t="s">
        <v>371</v>
      </c>
      <c r="C918" s="40" t="s">
        <v>5731</v>
      </c>
      <c r="D918" s="41">
        <v>46042</v>
      </c>
      <c r="E918" s="41">
        <v>46072</v>
      </c>
      <c r="F918" s="41">
        <v>46091</v>
      </c>
      <c r="G918" s="42">
        <v>19</v>
      </c>
      <c r="H918" s="40" t="s">
        <v>549</v>
      </c>
      <c r="I918" s="39" t="s">
        <v>320</v>
      </c>
      <c r="J918" s="43">
        <v>56316.6</v>
      </c>
      <c r="K918" s="43">
        <v>0</v>
      </c>
      <c r="L918" s="43">
        <v>56316.6</v>
      </c>
      <c r="M918" s="44">
        <v>0</v>
      </c>
      <c r="N918" s="44">
        <f t="shared" si="14"/>
        <v>56316.6</v>
      </c>
      <c r="O918" s="44">
        <v>56316.6</v>
      </c>
      <c r="P918" s="40" t="s">
        <v>4119</v>
      </c>
      <c r="Q918" s="40" t="s">
        <v>4120</v>
      </c>
      <c r="R918" s="40" t="s">
        <v>494</v>
      </c>
      <c r="S918" s="40" t="s">
        <v>502</v>
      </c>
      <c r="T918" s="40" t="s">
        <v>218</v>
      </c>
      <c r="U918" s="40" t="s">
        <v>4121</v>
      </c>
      <c r="V918" s="40" t="s">
        <v>4122</v>
      </c>
      <c r="W918" s="40" t="s">
        <v>4123</v>
      </c>
    </row>
    <row r="919" spans="1:23" ht="12" x14ac:dyDescent="0.2">
      <c r="A919" s="39" t="s">
        <v>1818</v>
      </c>
      <c r="B919" s="40" t="s">
        <v>1819</v>
      </c>
      <c r="C919" s="40" t="s">
        <v>5732</v>
      </c>
      <c r="D919" s="41">
        <v>46042</v>
      </c>
      <c r="E919" s="41">
        <v>46072</v>
      </c>
      <c r="F919" s="41">
        <v>46091</v>
      </c>
      <c r="G919" s="42">
        <v>19</v>
      </c>
      <c r="H919" s="40" t="s">
        <v>549</v>
      </c>
      <c r="I919" s="39" t="s">
        <v>320</v>
      </c>
      <c r="J919" s="43">
        <v>86898.22</v>
      </c>
      <c r="K919" s="43">
        <v>0</v>
      </c>
      <c r="L919" s="43">
        <v>86898.22</v>
      </c>
      <c r="M919" s="44">
        <v>0</v>
      </c>
      <c r="N919" s="44">
        <f t="shared" si="14"/>
        <v>86898.22</v>
      </c>
      <c r="O919" s="44">
        <v>86898.22</v>
      </c>
      <c r="P919" s="40" t="s">
        <v>5733</v>
      </c>
      <c r="Q919" s="40" t="s">
        <v>5734</v>
      </c>
      <c r="R919" s="40" t="s">
        <v>494</v>
      </c>
      <c r="S919" s="40" t="s">
        <v>495</v>
      </c>
      <c r="T919" s="40" t="s">
        <v>229</v>
      </c>
      <c r="U919" s="40" t="s">
        <v>5735</v>
      </c>
      <c r="V919" s="40"/>
      <c r="W919" s="40" t="s">
        <v>5736</v>
      </c>
    </row>
    <row r="920" spans="1:23" ht="12" x14ac:dyDescent="0.2">
      <c r="A920" s="39" t="s">
        <v>36</v>
      </c>
      <c r="B920" s="40" t="s">
        <v>352</v>
      </c>
      <c r="C920" s="40" t="s">
        <v>5737</v>
      </c>
      <c r="D920" s="41">
        <v>46042</v>
      </c>
      <c r="E920" s="41">
        <v>46072</v>
      </c>
      <c r="F920" s="41">
        <v>46091</v>
      </c>
      <c r="G920" s="42">
        <v>19</v>
      </c>
      <c r="H920" s="40" t="s">
        <v>549</v>
      </c>
      <c r="I920" s="39" t="s">
        <v>320</v>
      </c>
      <c r="J920" s="43">
        <v>16428.14</v>
      </c>
      <c r="K920" s="43">
        <v>0</v>
      </c>
      <c r="L920" s="43">
        <v>16428.14</v>
      </c>
      <c r="M920" s="44">
        <v>0</v>
      </c>
      <c r="N920" s="44">
        <f t="shared" si="14"/>
        <v>16428.14</v>
      </c>
      <c r="O920" s="44">
        <v>16428.14</v>
      </c>
      <c r="P920" s="40" t="s">
        <v>5738</v>
      </c>
      <c r="Q920" s="40" t="s">
        <v>5739</v>
      </c>
      <c r="R920" s="40" t="s">
        <v>494</v>
      </c>
      <c r="S920" s="40" t="s">
        <v>502</v>
      </c>
      <c r="T920" s="40" t="s">
        <v>547</v>
      </c>
      <c r="U920" s="40" t="s">
        <v>5740</v>
      </c>
      <c r="V920" s="40"/>
      <c r="W920" s="40" t="s">
        <v>5741</v>
      </c>
    </row>
    <row r="921" spans="1:23" ht="12" x14ac:dyDescent="0.2">
      <c r="A921" s="39" t="s">
        <v>925</v>
      </c>
      <c r="B921" s="40" t="s">
        <v>926</v>
      </c>
      <c r="C921" s="40" t="s">
        <v>5742</v>
      </c>
      <c r="D921" s="41">
        <v>46042</v>
      </c>
      <c r="E921" s="41">
        <v>46072</v>
      </c>
      <c r="F921" s="41">
        <v>46091</v>
      </c>
      <c r="G921" s="42">
        <v>19</v>
      </c>
      <c r="H921" s="40" t="s">
        <v>549</v>
      </c>
      <c r="I921" s="39" t="s">
        <v>320</v>
      </c>
      <c r="J921" s="43">
        <v>23054.53</v>
      </c>
      <c r="K921" s="43">
        <v>0</v>
      </c>
      <c r="L921" s="43">
        <v>23054.53</v>
      </c>
      <c r="M921" s="44">
        <v>0</v>
      </c>
      <c r="N921" s="44">
        <f t="shared" si="14"/>
        <v>23054.53</v>
      </c>
      <c r="O921" s="44">
        <v>23054.53</v>
      </c>
      <c r="P921" s="40" t="s">
        <v>1912</v>
      </c>
      <c r="Q921" s="40" t="s">
        <v>1913</v>
      </c>
      <c r="R921" s="40" t="s">
        <v>494</v>
      </c>
      <c r="S921" s="40" t="s">
        <v>502</v>
      </c>
      <c r="T921" s="40" t="s">
        <v>507</v>
      </c>
      <c r="U921" s="40" t="s">
        <v>577</v>
      </c>
      <c r="V921" s="40"/>
      <c r="W921" s="40" t="s">
        <v>1914</v>
      </c>
    </row>
    <row r="922" spans="1:23" ht="12" x14ac:dyDescent="0.2">
      <c r="A922" s="39" t="s">
        <v>2866</v>
      </c>
      <c r="B922" s="40" t="s">
        <v>2880</v>
      </c>
      <c r="C922" s="40" t="s">
        <v>5743</v>
      </c>
      <c r="D922" s="41">
        <v>46042</v>
      </c>
      <c r="E922" s="41">
        <v>46072</v>
      </c>
      <c r="F922" s="41">
        <v>46091</v>
      </c>
      <c r="G922" s="42">
        <v>19</v>
      </c>
      <c r="H922" s="40" t="s">
        <v>549</v>
      </c>
      <c r="I922" s="39" t="s">
        <v>320</v>
      </c>
      <c r="J922" s="43">
        <v>17691.689999999999</v>
      </c>
      <c r="K922" s="43">
        <v>0</v>
      </c>
      <c r="L922" s="43">
        <v>17691.689999999999</v>
      </c>
      <c r="M922" s="44">
        <v>0</v>
      </c>
      <c r="N922" s="44">
        <f t="shared" si="14"/>
        <v>17691.689999999999</v>
      </c>
      <c r="O922" s="44">
        <v>17691.689999999999</v>
      </c>
      <c r="P922" s="40" t="s">
        <v>5744</v>
      </c>
      <c r="Q922" s="40" t="s">
        <v>5745</v>
      </c>
      <c r="R922" s="40" t="s">
        <v>494</v>
      </c>
      <c r="S922" s="40" t="s">
        <v>502</v>
      </c>
      <c r="T922" s="40" t="s">
        <v>243</v>
      </c>
      <c r="U922" s="40" t="s">
        <v>2334</v>
      </c>
      <c r="V922" s="40"/>
      <c r="W922" s="40" t="s">
        <v>5746</v>
      </c>
    </row>
    <row r="923" spans="1:23" ht="12" x14ac:dyDescent="0.2">
      <c r="A923" s="39" t="s">
        <v>5747</v>
      </c>
      <c r="B923" s="40" t="s">
        <v>5748</v>
      </c>
      <c r="C923" s="40" t="s">
        <v>5749</v>
      </c>
      <c r="D923" s="41">
        <v>46042</v>
      </c>
      <c r="E923" s="41">
        <v>46072</v>
      </c>
      <c r="F923" s="41">
        <v>46091</v>
      </c>
      <c r="G923" s="42">
        <v>19</v>
      </c>
      <c r="H923" s="40" t="s">
        <v>549</v>
      </c>
      <c r="I923" s="39" t="s">
        <v>320</v>
      </c>
      <c r="J923" s="43">
        <v>26280</v>
      </c>
      <c r="K923" s="43">
        <v>0</v>
      </c>
      <c r="L923" s="43">
        <v>26280</v>
      </c>
      <c r="M923" s="44">
        <v>0</v>
      </c>
      <c r="N923" s="44">
        <f t="shared" si="14"/>
        <v>26280</v>
      </c>
      <c r="O923" s="44">
        <v>26280</v>
      </c>
      <c r="P923" s="40" t="s">
        <v>5750</v>
      </c>
      <c r="Q923" s="40" t="s">
        <v>5751</v>
      </c>
      <c r="R923" s="40" t="s">
        <v>494</v>
      </c>
      <c r="S923" s="40" t="s">
        <v>495</v>
      </c>
      <c r="T923" s="40" t="s">
        <v>198</v>
      </c>
      <c r="U923" s="40" t="s">
        <v>5752</v>
      </c>
      <c r="V923" s="40"/>
      <c r="W923" s="40" t="s">
        <v>5753</v>
      </c>
    </row>
    <row r="924" spans="1:23" ht="12" x14ac:dyDescent="0.2">
      <c r="A924" s="39" t="s">
        <v>1251</v>
      </c>
      <c r="B924" s="40" t="s">
        <v>1252</v>
      </c>
      <c r="C924" s="40" t="s">
        <v>5754</v>
      </c>
      <c r="D924" s="41">
        <v>46042</v>
      </c>
      <c r="E924" s="41">
        <v>46072</v>
      </c>
      <c r="F924" s="41">
        <v>46091</v>
      </c>
      <c r="G924" s="42">
        <v>19</v>
      </c>
      <c r="H924" s="40" t="s">
        <v>549</v>
      </c>
      <c r="I924" s="39" t="s">
        <v>320</v>
      </c>
      <c r="J924" s="43">
        <v>116187.8</v>
      </c>
      <c r="K924" s="43">
        <v>0</v>
      </c>
      <c r="L924" s="43">
        <v>116187.8</v>
      </c>
      <c r="M924" s="44">
        <v>0</v>
      </c>
      <c r="N924" s="44">
        <f t="shared" si="14"/>
        <v>116187.8</v>
      </c>
      <c r="O924" s="44">
        <v>116187.8</v>
      </c>
      <c r="P924" s="40" t="s">
        <v>1253</v>
      </c>
      <c r="Q924" s="40" t="s">
        <v>1254</v>
      </c>
      <c r="R924" s="40" t="s">
        <v>494</v>
      </c>
      <c r="S924" s="40" t="s">
        <v>502</v>
      </c>
      <c r="T924" s="40" t="s">
        <v>535</v>
      </c>
      <c r="U924" s="40" t="s">
        <v>905</v>
      </c>
      <c r="V924" s="40"/>
      <c r="W924" s="40" t="s">
        <v>1255</v>
      </c>
    </row>
    <row r="925" spans="1:23" ht="12" x14ac:dyDescent="0.2">
      <c r="A925" s="39" t="s">
        <v>71</v>
      </c>
      <c r="B925" s="40" t="s">
        <v>458</v>
      </c>
      <c r="C925" s="40" t="s">
        <v>5755</v>
      </c>
      <c r="D925" s="41">
        <v>46042</v>
      </c>
      <c r="E925" s="41">
        <v>46072</v>
      </c>
      <c r="F925" s="41">
        <v>46091</v>
      </c>
      <c r="G925" s="42">
        <v>19</v>
      </c>
      <c r="H925" s="40" t="s">
        <v>549</v>
      </c>
      <c r="I925" s="39" t="s">
        <v>320</v>
      </c>
      <c r="J925" s="43">
        <v>14994.47</v>
      </c>
      <c r="K925" s="43">
        <v>0</v>
      </c>
      <c r="L925" s="43">
        <v>14994.47</v>
      </c>
      <c r="M925" s="44">
        <v>0</v>
      </c>
      <c r="N925" s="44">
        <f t="shared" si="14"/>
        <v>14994.47</v>
      </c>
      <c r="O925" s="44">
        <v>14994.47</v>
      </c>
      <c r="P925" s="40" t="s">
        <v>5756</v>
      </c>
      <c r="Q925" s="40" t="s">
        <v>5757</v>
      </c>
      <c r="R925" s="40" t="s">
        <v>494</v>
      </c>
      <c r="S925" s="40" t="s">
        <v>502</v>
      </c>
      <c r="T925" s="40" t="s">
        <v>330</v>
      </c>
      <c r="U925" s="40" t="s">
        <v>537</v>
      </c>
      <c r="V925" s="40"/>
      <c r="W925" s="40" t="s">
        <v>5758</v>
      </c>
    </row>
    <row r="926" spans="1:23" ht="12" x14ac:dyDescent="0.2">
      <c r="A926" s="39" t="s">
        <v>16</v>
      </c>
      <c r="B926" s="40" t="s">
        <v>414</v>
      </c>
      <c r="C926" s="40" t="s">
        <v>5759</v>
      </c>
      <c r="D926" s="41">
        <v>46043</v>
      </c>
      <c r="E926" s="41">
        <v>46073</v>
      </c>
      <c r="F926" s="41">
        <v>46091</v>
      </c>
      <c r="G926" s="42">
        <v>18</v>
      </c>
      <c r="H926" s="40" t="s">
        <v>549</v>
      </c>
      <c r="I926" s="39" t="s">
        <v>320</v>
      </c>
      <c r="J926" s="43">
        <v>151232.53</v>
      </c>
      <c r="K926" s="43">
        <v>0</v>
      </c>
      <c r="L926" s="43">
        <v>151232.53</v>
      </c>
      <c r="M926" s="44">
        <v>0</v>
      </c>
      <c r="N926" s="44">
        <f t="shared" si="14"/>
        <v>151232.53</v>
      </c>
      <c r="O926" s="44">
        <v>151232.53</v>
      </c>
      <c r="P926" s="40" t="s">
        <v>3049</v>
      </c>
      <c r="Q926" s="40" t="s">
        <v>3050</v>
      </c>
      <c r="R926" s="40" t="s">
        <v>494</v>
      </c>
      <c r="S926" s="40" t="s">
        <v>502</v>
      </c>
      <c r="T926" s="40" t="s">
        <v>512</v>
      </c>
      <c r="U926" s="40" t="s">
        <v>3051</v>
      </c>
      <c r="V926" s="40"/>
      <c r="W926" s="40" t="s">
        <v>3052</v>
      </c>
    </row>
    <row r="927" spans="1:23" ht="12" x14ac:dyDescent="0.2">
      <c r="A927" s="39" t="s">
        <v>5760</v>
      </c>
      <c r="B927" s="40" t="s">
        <v>5761</v>
      </c>
      <c r="C927" s="40" t="s">
        <v>5762</v>
      </c>
      <c r="D927" s="41">
        <v>46043</v>
      </c>
      <c r="E927" s="41">
        <v>46073</v>
      </c>
      <c r="F927" s="41">
        <v>46091</v>
      </c>
      <c r="G927" s="42">
        <v>18</v>
      </c>
      <c r="H927" s="40" t="s">
        <v>549</v>
      </c>
      <c r="I927" s="39" t="s">
        <v>320</v>
      </c>
      <c r="J927" s="43">
        <v>61683.21</v>
      </c>
      <c r="K927" s="43">
        <v>0</v>
      </c>
      <c r="L927" s="43">
        <v>61683.21</v>
      </c>
      <c r="M927" s="44">
        <v>0</v>
      </c>
      <c r="N927" s="44">
        <f t="shared" si="14"/>
        <v>61683.21</v>
      </c>
      <c r="O927" s="44">
        <v>61683.21</v>
      </c>
      <c r="P927" s="40" t="s">
        <v>5763</v>
      </c>
      <c r="Q927" s="40" t="s">
        <v>5764</v>
      </c>
      <c r="R927" s="40" t="s">
        <v>494</v>
      </c>
      <c r="S927" s="40" t="s">
        <v>502</v>
      </c>
      <c r="T927" s="40" t="s">
        <v>330</v>
      </c>
      <c r="U927" s="40" t="s">
        <v>642</v>
      </c>
      <c r="V927" s="40"/>
      <c r="W927" s="40" t="s">
        <v>5765</v>
      </c>
    </row>
    <row r="928" spans="1:23" ht="12" x14ac:dyDescent="0.2">
      <c r="A928" s="39" t="s">
        <v>595</v>
      </c>
      <c r="B928" s="40" t="s">
        <v>5766</v>
      </c>
      <c r="C928" s="40" t="s">
        <v>5767</v>
      </c>
      <c r="D928" s="41">
        <v>46043</v>
      </c>
      <c r="E928" s="41">
        <v>46073</v>
      </c>
      <c r="F928" s="41">
        <v>46091</v>
      </c>
      <c r="G928" s="42">
        <v>18</v>
      </c>
      <c r="H928" s="40" t="s">
        <v>549</v>
      </c>
      <c r="I928" s="39" t="s">
        <v>320</v>
      </c>
      <c r="J928" s="43">
        <v>42350</v>
      </c>
      <c r="K928" s="43">
        <v>0</v>
      </c>
      <c r="L928" s="43">
        <v>42350</v>
      </c>
      <c r="M928" s="44">
        <v>0</v>
      </c>
      <c r="N928" s="44">
        <f t="shared" si="14"/>
        <v>42350</v>
      </c>
      <c r="O928" s="44">
        <v>42350</v>
      </c>
      <c r="P928" s="40" t="s">
        <v>5768</v>
      </c>
      <c r="Q928" s="40" t="s">
        <v>5769</v>
      </c>
      <c r="R928" s="40" t="s">
        <v>494</v>
      </c>
      <c r="S928" s="40" t="s">
        <v>502</v>
      </c>
      <c r="T928" s="40" t="s">
        <v>514</v>
      </c>
      <c r="U928" s="40" t="s">
        <v>827</v>
      </c>
      <c r="V928" s="40"/>
      <c r="W928" s="40" t="s">
        <v>2898</v>
      </c>
    </row>
    <row r="929" spans="1:23" ht="12" x14ac:dyDescent="0.2">
      <c r="A929" s="39" t="s">
        <v>16</v>
      </c>
      <c r="B929" s="40" t="s">
        <v>414</v>
      </c>
      <c r="C929" s="40" t="s">
        <v>5770</v>
      </c>
      <c r="D929" s="41">
        <v>46043</v>
      </c>
      <c r="E929" s="41">
        <v>46073</v>
      </c>
      <c r="F929" s="41">
        <v>46091</v>
      </c>
      <c r="G929" s="42">
        <v>18</v>
      </c>
      <c r="H929" s="40" t="s">
        <v>549</v>
      </c>
      <c r="I929" s="39" t="s">
        <v>320</v>
      </c>
      <c r="J929" s="43">
        <v>131773.06</v>
      </c>
      <c r="K929" s="43">
        <v>0</v>
      </c>
      <c r="L929" s="43">
        <v>131773.06</v>
      </c>
      <c r="M929" s="44">
        <v>0</v>
      </c>
      <c r="N929" s="44">
        <f t="shared" si="14"/>
        <v>131773.06</v>
      </c>
      <c r="O929" s="44">
        <v>131773.06</v>
      </c>
      <c r="P929" s="40" t="s">
        <v>5771</v>
      </c>
      <c r="Q929" s="40" t="s">
        <v>5772</v>
      </c>
      <c r="R929" s="40" t="s">
        <v>494</v>
      </c>
      <c r="S929" s="40" t="s">
        <v>502</v>
      </c>
      <c r="T929" s="40" t="s">
        <v>287</v>
      </c>
      <c r="U929" s="40" t="s">
        <v>5773</v>
      </c>
      <c r="V929" s="40"/>
      <c r="W929" s="40" t="s">
        <v>5774</v>
      </c>
    </row>
    <row r="930" spans="1:23" ht="12" x14ac:dyDescent="0.2">
      <c r="A930" s="39" t="s">
        <v>3081</v>
      </c>
      <c r="B930" s="40" t="s">
        <v>3082</v>
      </c>
      <c r="C930" s="40" t="s">
        <v>5775</v>
      </c>
      <c r="D930" s="41">
        <v>46043</v>
      </c>
      <c r="E930" s="41">
        <v>46073</v>
      </c>
      <c r="F930" s="41">
        <v>46091</v>
      </c>
      <c r="G930" s="42">
        <v>18</v>
      </c>
      <c r="H930" s="40" t="s">
        <v>549</v>
      </c>
      <c r="I930" s="39" t="s">
        <v>323</v>
      </c>
      <c r="J930" s="43">
        <v>12487.49</v>
      </c>
      <c r="K930" s="43">
        <v>0</v>
      </c>
      <c r="L930" s="43">
        <v>12487.49</v>
      </c>
      <c r="M930" s="44">
        <v>0</v>
      </c>
      <c r="N930" s="44">
        <f t="shared" si="14"/>
        <v>9249.99</v>
      </c>
      <c r="O930" s="44">
        <v>9249.99</v>
      </c>
      <c r="P930" s="40" t="s">
        <v>3083</v>
      </c>
      <c r="Q930" s="40" t="s">
        <v>3084</v>
      </c>
      <c r="R930" s="40" t="s">
        <v>494</v>
      </c>
      <c r="S930" s="40" t="s">
        <v>502</v>
      </c>
      <c r="T930" s="40" t="s">
        <v>286</v>
      </c>
      <c r="U930" s="40" t="s">
        <v>2940</v>
      </c>
      <c r="V930" s="40"/>
      <c r="W930" s="40" t="s">
        <v>3085</v>
      </c>
    </row>
    <row r="931" spans="1:23" ht="12" x14ac:dyDescent="0.2">
      <c r="A931" s="39" t="s">
        <v>1167</v>
      </c>
      <c r="B931" s="40" t="s">
        <v>1221</v>
      </c>
      <c r="C931" s="40" t="s">
        <v>5776</v>
      </c>
      <c r="D931" s="41">
        <v>46043</v>
      </c>
      <c r="E931" s="41">
        <v>46073</v>
      </c>
      <c r="F931" s="41">
        <v>46091</v>
      </c>
      <c r="G931" s="42">
        <v>18</v>
      </c>
      <c r="H931" s="40" t="s">
        <v>549</v>
      </c>
      <c r="I931" s="39" t="s">
        <v>323</v>
      </c>
      <c r="J931" s="43">
        <v>62416.49</v>
      </c>
      <c r="K931" s="43">
        <v>0</v>
      </c>
      <c r="L931" s="43">
        <v>62416.49</v>
      </c>
      <c r="M931" s="44">
        <v>0</v>
      </c>
      <c r="N931" s="44">
        <f t="shared" si="14"/>
        <v>46234.44</v>
      </c>
      <c r="O931" s="44">
        <v>46234.44</v>
      </c>
      <c r="P931" s="40" t="s">
        <v>2722</v>
      </c>
      <c r="Q931" s="40" t="s">
        <v>2723</v>
      </c>
      <c r="R931" s="40" t="s">
        <v>494</v>
      </c>
      <c r="S931" s="40" t="s">
        <v>502</v>
      </c>
      <c r="T931" s="40" t="s">
        <v>888</v>
      </c>
      <c r="U931" s="40" t="s">
        <v>1160</v>
      </c>
      <c r="V931" s="40" t="s">
        <v>3958</v>
      </c>
      <c r="W931" s="40" t="s">
        <v>2724</v>
      </c>
    </row>
    <row r="932" spans="1:23" ht="12" x14ac:dyDescent="0.2">
      <c r="A932" s="39" t="s">
        <v>2178</v>
      </c>
      <c r="B932" s="40" t="s">
        <v>2179</v>
      </c>
      <c r="C932" s="40" t="s">
        <v>5777</v>
      </c>
      <c r="D932" s="41">
        <v>46043</v>
      </c>
      <c r="E932" s="41">
        <v>46073</v>
      </c>
      <c r="F932" s="41">
        <v>46091</v>
      </c>
      <c r="G932" s="42">
        <v>18</v>
      </c>
      <c r="H932" s="40" t="s">
        <v>549</v>
      </c>
      <c r="I932" s="39" t="s">
        <v>320</v>
      </c>
      <c r="J932" s="43">
        <v>-79113.740000000005</v>
      </c>
      <c r="K932" s="43">
        <v>0</v>
      </c>
      <c r="L932" s="43">
        <v>-79113.740000000005</v>
      </c>
      <c r="M932" s="44">
        <v>0</v>
      </c>
      <c r="N932" s="44">
        <f t="shared" si="14"/>
        <v>-79113.740000000005</v>
      </c>
      <c r="O932" s="44">
        <v>-79113.740000000005</v>
      </c>
      <c r="P932" s="40" t="s">
        <v>5778</v>
      </c>
      <c r="Q932" s="40" t="s">
        <v>5779</v>
      </c>
      <c r="R932" s="40" t="s">
        <v>494</v>
      </c>
      <c r="S932" s="40" t="s">
        <v>502</v>
      </c>
      <c r="T932" s="40" t="s">
        <v>363</v>
      </c>
      <c r="U932" s="40" t="s">
        <v>5780</v>
      </c>
      <c r="V932" s="40"/>
      <c r="W932" s="40" t="s">
        <v>5781</v>
      </c>
    </row>
    <row r="933" spans="1:23" ht="12" x14ac:dyDescent="0.2">
      <c r="A933" s="39" t="s">
        <v>742</v>
      </c>
      <c r="B933" s="40" t="s">
        <v>743</v>
      </c>
      <c r="C933" s="40" t="s">
        <v>5782</v>
      </c>
      <c r="D933" s="41">
        <v>46043</v>
      </c>
      <c r="E933" s="41">
        <v>46073</v>
      </c>
      <c r="F933" s="41">
        <v>46091</v>
      </c>
      <c r="G933" s="42">
        <v>18</v>
      </c>
      <c r="H933" s="40" t="s">
        <v>549</v>
      </c>
      <c r="I933" s="39" t="s">
        <v>323</v>
      </c>
      <c r="J933" s="43">
        <v>81942.37</v>
      </c>
      <c r="K933" s="43">
        <v>0</v>
      </c>
      <c r="L933" s="43">
        <v>81942.37</v>
      </c>
      <c r="M933" s="44">
        <v>0</v>
      </c>
      <c r="N933" s="44">
        <f t="shared" si="14"/>
        <v>61655.31</v>
      </c>
      <c r="O933" s="44">
        <v>61655.31</v>
      </c>
      <c r="P933" s="40" t="s">
        <v>3092</v>
      </c>
      <c r="Q933" s="40" t="s">
        <v>3093</v>
      </c>
      <c r="R933" s="40" t="s">
        <v>494</v>
      </c>
      <c r="S933" s="40" t="s">
        <v>502</v>
      </c>
      <c r="T933" s="40" t="s">
        <v>284</v>
      </c>
      <c r="U933" s="40" t="s">
        <v>803</v>
      </c>
      <c r="V933" s="40"/>
      <c r="W933" s="40" t="s">
        <v>321</v>
      </c>
    </row>
    <row r="934" spans="1:23" ht="12" x14ac:dyDescent="0.2">
      <c r="A934" s="39" t="s">
        <v>10</v>
      </c>
      <c r="B934" s="40" t="s">
        <v>393</v>
      </c>
      <c r="C934" s="40" t="s">
        <v>5783</v>
      </c>
      <c r="D934" s="41">
        <v>46043</v>
      </c>
      <c r="E934" s="41">
        <v>46073</v>
      </c>
      <c r="F934" s="41">
        <v>46091</v>
      </c>
      <c r="G934" s="42">
        <v>18</v>
      </c>
      <c r="H934" s="40" t="s">
        <v>549</v>
      </c>
      <c r="I934" s="39" t="s">
        <v>320</v>
      </c>
      <c r="J934" s="43">
        <v>23148.79</v>
      </c>
      <c r="K934" s="43">
        <v>0</v>
      </c>
      <c r="L934" s="43">
        <v>23148.79</v>
      </c>
      <c r="M934" s="44">
        <v>0</v>
      </c>
      <c r="N934" s="44">
        <f t="shared" si="14"/>
        <v>23148.79</v>
      </c>
      <c r="O934" s="44">
        <v>23148.79</v>
      </c>
      <c r="P934" s="40" t="s">
        <v>2566</v>
      </c>
      <c r="Q934" s="40" t="s">
        <v>2567</v>
      </c>
      <c r="R934" s="40" t="s">
        <v>494</v>
      </c>
      <c r="S934" s="40" t="s">
        <v>495</v>
      </c>
      <c r="T934" s="40" t="s">
        <v>280</v>
      </c>
      <c r="U934" s="40" t="s">
        <v>559</v>
      </c>
      <c r="V934" s="40"/>
      <c r="W934" s="40" t="s">
        <v>2568</v>
      </c>
    </row>
    <row r="935" spans="1:23" ht="12" x14ac:dyDescent="0.2">
      <c r="A935" s="39" t="s">
        <v>2178</v>
      </c>
      <c r="B935" s="40" t="s">
        <v>2179</v>
      </c>
      <c r="C935" s="40" t="s">
        <v>5784</v>
      </c>
      <c r="D935" s="41">
        <v>46043</v>
      </c>
      <c r="E935" s="41">
        <v>46073</v>
      </c>
      <c r="F935" s="41">
        <v>46091</v>
      </c>
      <c r="G935" s="42">
        <v>18</v>
      </c>
      <c r="H935" s="40" t="s">
        <v>549</v>
      </c>
      <c r="I935" s="39" t="s">
        <v>320</v>
      </c>
      <c r="J935" s="43">
        <v>-9370</v>
      </c>
      <c r="K935" s="43">
        <v>0</v>
      </c>
      <c r="L935" s="43">
        <v>-9370</v>
      </c>
      <c r="M935" s="44">
        <v>0</v>
      </c>
      <c r="N935" s="44">
        <f t="shared" si="14"/>
        <v>-9370</v>
      </c>
      <c r="O935" s="44">
        <v>-9370</v>
      </c>
      <c r="P935" s="40" t="s">
        <v>2305</v>
      </c>
      <c r="Q935" s="40" t="s">
        <v>2306</v>
      </c>
      <c r="R935" s="40" t="s">
        <v>494</v>
      </c>
      <c r="S935" s="40" t="s">
        <v>502</v>
      </c>
      <c r="T935" s="40" t="s">
        <v>538</v>
      </c>
      <c r="U935" s="40" t="s">
        <v>863</v>
      </c>
      <c r="V935" s="40"/>
      <c r="W935" s="40" t="s">
        <v>2307</v>
      </c>
    </row>
    <row r="936" spans="1:23" ht="12" x14ac:dyDescent="0.2">
      <c r="A936" s="39" t="s">
        <v>1795</v>
      </c>
      <c r="B936" s="40" t="s">
        <v>1796</v>
      </c>
      <c r="C936" s="40" t="s">
        <v>5785</v>
      </c>
      <c r="D936" s="41">
        <v>46043</v>
      </c>
      <c r="E936" s="41">
        <v>46073</v>
      </c>
      <c r="F936" s="41">
        <v>46091</v>
      </c>
      <c r="G936" s="42">
        <v>18</v>
      </c>
      <c r="H936" s="40" t="s">
        <v>549</v>
      </c>
      <c r="I936" s="39" t="s">
        <v>320</v>
      </c>
      <c r="J936" s="43">
        <v>12894.3</v>
      </c>
      <c r="K936" s="43">
        <v>0</v>
      </c>
      <c r="L936" s="43">
        <v>12894.3</v>
      </c>
      <c r="M936" s="44">
        <v>0</v>
      </c>
      <c r="N936" s="44">
        <f t="shared" si="14"/>
        <v>12894.3</v>
      </c>
      <c r="O936" s="44">
        <v>12894.3</v>
      </c>
      <c r="P936" s="40" t="s">
        <v>5786</v>
      </c>
      <c r="Q936" s="40" t="s">
        <v>5787</v>
      </c>
      <c r="R936" s="40" t="s">
        <v>494</v>
      </c>
      <c r="S936" s="40" t="s">
        <v>502</v>
      </c>
      <c r="T936" s="40" t="s">
        <v>282</v>
      </c>
      <c r="U936" s="40" t="s">
        <v>1797</v>
      </c>
      <c r="V936" s="40"/>
      <c r="W936" s="40" t="s">
        <v>5788</v>
      </c>
    </row>
    <row r="937" spans="1:23" ht="12" x14ac:dyDescent="0.2">
      <c r="A937" s="39" t="s">
        <v>628</v>
      </c>
      <c r="B937" s="40" t="s">
        <v>629</v>
      </c>
      <c r="C937" s="40" t="s">
        <v>5789</v>
      </c>
      <c r="D937" s="41">
        <v>46043</v>
      </c>
      <c r="E937" s="41">
        <v>46073</v>
      </c>
      <c r="F937" s="41">
        <v>46091</v>
      </c>
      <c r="G937" s="42">
        <v>18</v>
      </c>
      <c r="H937" s="40" t="s">
        <v>549</v>
      </c>
      <c r="I937" s="39" t="s">
        <v>323</v>
      </c>
      <c r="J937" s="43">
        <v>21271.71</v>
      </c>
      <c r="K937" s="43">
        <v>0</v>
      </c>
      <c r="L937" s="43">
        <v>21271.71</v>
      </c>
      <c r="M937" s="44">
        <v>0</v>
      </c>
      <c r="N937" s="44">
        <f t="shared" si="14"/>
        <v>17017.37</v>
      </c>
      <c r="O937" s="44">
        <v>17017.37</v>
      </c>
      <c r="P937" s="40" t="s">
        <v>1155</v>
      </c>
      <c r="Q937" s="40" t="s">
        <v>1156</v>
      </c>
      <c r="R937" s="40" t="s">
        <v>494</v>
      </c>
      <c r="S937" s="40" t="s">
        <v>502</v>
      </c>
      <c r="T937" s="40" t="s">
        <v>218</v>
      </c>
      <c r="U937" s="40" t="s">
        <v>1157</v>
      </c>
      <c r="V937" s="40" t="s">
        <v>5790</v>
      </c>
      <c r="W937" s="40" t="s">
        <v>1158</v>
      </c>
    </row>
    <row r="938" spans="1:23" ht="12" x14ac:dyDescent="0.2">
      <c r="A938" s="39" t="s">
        <v>16</v>
      </c>
      <c r="B938" s="40" t="s">
        <v>414</v>
      </c>
      <c r="C938" s="40" t="s">
        <v>5791</v>
      </c>
      <c r="D938" s="41">
        <v>46043</v>
      </c>
      <c r="E938" s="41">
        <v>46073</v>
      </c>
      <c r="F938" s="41">
        <v>46091</v>
      </c>
      <c r="G938" s="42">
        <v>18</v>
      </c>
      <c r="H938" s="40" t="s">
        <v>549</v>
      </c>
      <c r="I938" s="39" t="s">
        <v>320</v>
      </c>
      <c r="J938" s="43">
        <v>27243.33</v>
      </c>
      <c r="K938" s="43">
        <v>0</v>
      </c>
      <c r="L938" s="43">
        <v>27243.33</v>
      </c>
      <c r="M938" s="44">
        <v>0</v>
      </c>
      <c r="N938" s="44">
        <f t="shared" si="14"/>
        <v>27243.33</v>
      </c>
      <c r="O938" s="44">
        <v>27243.33</v>
      </c>
      <c r="P938" s="40" t="s">
        <v>953</v>
      </c>
      <c r="Q938" s="40" t="s">
        <v>1396</v>
      </c>
      <c r="R938" s="40" t="s">
        <v>494</v>
      </c>
      <c r="S938" s="40" t="s">
        <v>502</v>
      </c>
      <c r="T938" s="40" t="s">
        <v>330</v>
      </c>
      <c r="U938" s="40" t="s">
        <v>633</v>
      </c>
      <c r="V938" s="40"/>
      <c r="W938" s="40" t="s">
        <v>1397</v>
      </c>
    </row>
    <row r="939" spans="1:23" ht="12" x14ac:dyDescent="0.2">
      <c r="A939" s="39" t="s">
        <v>5792</v>
      </c>
      <c r="B939" s="40" t="s">
        <v>5793</v>
      </c>
      <c r="C939" s="40" t="s">
        <v>5794</v>
      </c>
      <c r="D939" s="41">
        <v>46043</v>
      </c>
      <c r="E939" s="41">
        <v>46073</v>
      </c>
      <c r="F939" s="41">
        <v>46091</v>
      </c>
      <c r="G939" s="42">
        <v>18</v>
      </c>
      <c r="H939" s="40" t="s">
        <v>549</v>
      </c>
      <c r="I939" s="39" t="s">
        <v>323</v>
      </c>
      <c r="J939" s="43">
        <v>-2585.58</v>
      </c>
      <c r="K939" s="43">
        <v>0</v>
      </c>
      <c r="L939" s="43">
        <v>-2585.58</v>
      </c>
      <c r="M939" s="44">
        <v>0</v>
      </c>
      <c r="N939" s="44">
        <f t="shared" si="14"/>
        <v>-2092.0300000000002</v>
      </c>
      <c r="O939" s="44">
        <v>-2092.0300000000002</v>
      </c>
      <c r="P939" s="40" t="s">
        <v>5795</v>
      </c>
      <c r="Q939" s="40" t="s">
        <v>5796</v>
      </c>
      <c r="R939" s="40" t="s">
        <v>494</v>
      </c>
      <c r="S939" s="40" t="s">
        <v>495</v>
      </c>
      <c r="T939" s="40" t="s">
        <v>160</v>
      </c>
      <c r="U939" s="40" t="s">
        <v>5797</v>
      </c>
      <c r="V939" s="40" t="s">
        <v>5798</v>
      </c>
      <c r="W939" s="40" t="s">
        <v>5799</v>
      </c>
    </row>
    <row r="940" spans="1:23" ht="12" x14ac:dyDescent="0.2">
      <c r="A940" s="39" t="s">
        <v>14</v>
      </c>
      <c r="B940" s="40" t="s">
        <v>2525</v>
      </c>
      <c r="C940" s="40" t="s">
        <v>5800</v>
      </c>
      <c r="D940" s="41">
        <v>46043</v>
      </c>
      <c r="E940" s="41">
        <v>46073</v>
      </c>
      <c r="F940" s="41">
        <v>46091</v>
      </c>
      <c r="G940" s="42">
        <v>18</v>
      </c>
      <c r="H940" s="40" t="s">
        <v>549</v>
      </c>
      <c r="I940" s="39" t="s">
        <v>320</v>
      </c>
      <c r="J940" s="43">
        <v>28550.400000000001</v>
      </c>
      <c r="K940" s="43">
        <v>4758.3999999999996</v>
      </c>
      <c r="L940" s="43">
        <v>28550.400000000001</v>
      </c>
      <c r="M940" s="44">
        <v>4758.3999999999996</v>
      </c>
      <c r="N940" s="44">
        <f t="shared" si="14"/>
        <v>23792</v>
      </c>
      <c r="O940" s="44">
        <v>28550.400000000001</v>
      </c>
      <c r="P940" s="40" t="s">
        <v>2526</v>
      </c>
      <c r="Q940" s="40" t="s">
        <v>2527</v>
      </c>
      <c r="R940" s="40" t="s">
        <v>494</v>
      </c>
      <c r="S940" s="40" t="s">
        <v>502</v>
      </c>
      <c r="T940" s="40" t="s">
        <v>997</v>
      </c>
      <c r="U940" s="40" t="s">
        <v>1455</v>
      </c>
      <c r="V940" s="40" t="s">
        <v>5801</v>
      </c>
      <c r="W940" s="40" t="s">
        <v>2528</v>
      </c>
    </row>
    <row r="941" spans="1:23" ht="12" x14ac:dyDescent="0.2">
      <c r="A941" s="39" t="s">
        <v>1807</v>
      </c>
      <c r="B941" s="40" t="s">
        <v>1808</v>
      </c>
      <c r="C941" s="40" t="s">
        <v>5802</v>
      </c>
      <c r="D941" s="41">
        <v>46043</v>
      </c>
      <c r="E941" s="41">
        <v>46073</v>
      </c>
      <c r="F941" s="41">
        <v>46091</v>
      </c>
      <c r="G941" s="42">
        <v>18</v>
      </c>
      <c r="H941" s="40" t="s">
        <v>549</v>
      </c>
      <c r="I941" s="39" t="s">
        <v>320</v>
      </c>
      <c r="J941" s="43">
        <v>10670.31</v>
      </c>
      <c r="K941" s="43">
        <v>0</v>
      </c>
      <c r="L941" s="43">
        <v>10670.31</v>
      </c>
      <c r="M941" s="44">
        <v>0</v>
      </c>
      <c r="N941" s="44">
        <f t="shared" si="14"/>
        <v>10670.31</v>
      </c>
      <c r="O941" s="44">
        <v>10670.31</v>
      </c>
      <c r="P941" s="40" t="s">
        <v>1809</v>
      </c>
      <c r="Q941" s="40" t="s">
        <v>1810</v>
      </c>
      <c r="R941" s="40" t="s">
        <v>494</v>
      </c>
      <c r="S941" s="40" t="s">
        <v>495</v>
      </c>
      <c r="T941" s="40" t="s">
        <v>514</v>
      </c>
      <c r="U941" s="40" t="s">
        <v>1811</v>
      </c>
      <c r="V941" s="40" t="s">
        <v>5803</v>
      </c>
      <c r="W941" s="40" t="s">
        <v>1812</v>
      </c>
    </row>
    <row r="942" spans="1:23" ht="12" x14ac:dyDescent="0.2">
      <c r="A942" s="39" t="s">
        <v>357</v>
      </c>
      <c r="B942" s="40" t="s">
        <v>356</v>
      </c>
      <c r="C942" s="40" t="s">
        <v>5804</v>
      </c>
      <c r="D942" s="41">
        <v>46043</v>
      </c>
      <c r="E942" s="41">
        <v>46073</v>
      </c>
      <c r="F942" s="41">
        <v>46091</v>
      </c>
      <c r="G942" s="42">
        <v>18</v>
      </c>
      <c r="H942" s="40" t="s">
        <v>549</v>
      </c>
      <c r="I942" s="39" t="s">
        <v>341</v>
      </c>
      <c r="J942" s="43">
        <v>520623.21</v>
      </c>
      <c r="K942" s="43">
        <v>0</v>
      </c>
      <c r="L942" s="43">
        <v>28872.83</v>
      </c>
      <c r="M942" s="44">
        <v>0</v>
      </c>
      <c r="N942" s="44">
        <f t="shared" si="14"/>
        <v>24573.95</v>
      </c>
      <c r="O942" s="44">
        <v>24573.95</v>
      </c>
      <c r="P942" s="40" t="s">
        <v>5805</v>
      </c>
      <c r="Q942" s="40" t="s">
        <v>5806</v>
      </c>
      <c r="R942" s="40" t="s">
        <v>494</v>
      </c>
      <c r="S942" s="40" t="s">
        <v>502</v>
      </c>
      <c r="T942" s="40" t="s">
        <v>219</v>
      </c>
      <c r="U942" s="40" t="s">
        <v>5807</v>
      </c>
      <c r="V942" s="40"/>
      <c r="W942" s="40" t="s">
        <v>5808</v>
      </c>
    </row>
    <row r="943" spans="1:23" ht="12" x14ac:dyDescent="0.2">
      <c r="A943" s="39" t="s">
        <v>357</v>
      </c>
      <c r="B943" s="40" t="s">
        <v>356</v>
      </c>
      <c r="C943" s="40" t="s">
        <v>5809</v>
      </c>
      <c r="D943" s="41">
        <v>46043</v>
      </c>
      <c r="E943" s="41">
        <v>46073</v>
      </c>
      <c r="F943" s="41">
        <v>46091</v>
      </c>
      <c r="G943" s="42">
        <v>18</v>
      </c>
      <c r="H943" s="40" t="s">
        <v>549</v>
      </c>
      <c r="I943" s="39" t="s">
        <v>341</v>
      </c>
      <c r="J943" s="43">
        <v>153721.57</v>
      </c>
      <c r="K943" s="43">
        <v>0</v>
      </c>
      <c r="L943" s="43">
        <v>153601.71</v>
      </c>
      <c r="M943" s="44">
        <v>0</v>
      </c>
      <c r="N943" s="44">
        <f t="shared" si="14"/>
        <v>131354.04</v>
      </c>
      <c r="O943" s="44">
        <v>131354.04</v>
      </c>
      <c r="P943" s="40" t="s">
        <v>5810</v>
      </c>
      <c r="Q943" s="40" t="s">
        <v>5811</v>
      </c>
      <c r="R943" s="40" t="s">
        <v>494</v>
      </c>
      <c r="S943" s="40" t="s">
        <v>502</v>
      </c>
      <c r="T943" s="40" t="s">
        <v>184</v>
      </c>
      <c r="U943" s="40" t="s">
        <v>5812</v>
      </c>
      <c r="V943" s="40"/>
      <c r="W943" s="40" t="s">
        <v>5813</v>
      </c>
    </row>
    <row r="944" spans="1:23" ht="12" x14ac:dyDescent="0.2">
      <c r="A944" s="39" t="s">
        <v>10</v>
      </c>
      <c r="B944" s="40" t="s">
        <v>393</v>
      </c>
      <c r="C944" s="40" t="s">
        <v>5814</v>
      </c>
      <c r="D944" s="41">
        <v>46043</v>
      </c>
      <c r="E944" s="41">
        <v>46073</v>
      </c>
      <c r="F944" s="41">
        <v>46091</v>
      </c>
      <c r="G944" s="42">
        <v>18</v>
      </c>
      <c r="H944" s="40" t="s">
        <v>549</v>
      </c>
      <c r="I944" s="39" t="s">
        <v>320</v>
      </c>
      <c r="J944" s="43">
        <v>98375.82</v>
      </c>
      <c r="K944" s="43">
        <v>0</v>
      </c>
      <c r="L944" s="43">
        <v>98375.82</v>
      </c>
      <c r="M944" s="44">
        <v>0</v>
      </c>
      <c r="N944" s="44">
        <f t="shared" si="14"/>
        <v>98375.82</v>
      </c>
      <c r="O944" s="44">
        <v>98375.82</v>
      </c>
      <c r="P944" s="40" t="s">
        <v>5815</v>
      </c>
      <c r="Q944" s="40" t="s">
        <v>5816</v>
      </c>
      <c r="R944" s="40" t="s">
        <v>494</v>
      </c>
      <c r="S944" s="40" t="s">
        <v>495</v>
      </c>
      <c r="T944" s="40" t="s">
        <v>273</v>
      </c>
      <c r="U944" s="40" t="s">
        <v>5817</v>
      </c>
      <c r="V944" s="40"/>
      <c r="W944" s="40" t="s">
        <v>5818</v>
      </c>
    </row>
    <row r="945" spans="1:23" ht="12" x14ac:dyDescent="0.2">
      <c r="A945" s="39" t="s">
        <v>2079</v>
      </c>
      <c r="B945" s="40" t="s">
        <v>329</v>
      </c>
      <c r="C945" s="40" t="s">
        <v>5819</v>
      </c>
      <c r="D945" s="41">
        <v>46043</v>
      </c>
      <c r="E945" s="41">
        <v>46073</v>
      </c>
      <c r="F945" s="41">
        <v>46091</v>
      </c>
      <c r="G945" s="42">
        <v>18</v>
      </c>
      <c r="H945" s="40" t="s">
        <v>549</v>
      </c>
      <c r="I945" s="39" t="s">
        <v>323</v>
      </c>
      <c r="J945" s="43">
        <v>158995.81</v>
      </c>
      <c r="K945" s="43">
        <v>0</v>
      </c>
      <c r="L945" s="43">
        <v>158995.81</v>
      </c>
      <c r="M945" s="44">
        <v>0</v>
      </c>
      <c r="N945" s="44">
        <f t="shared" si="14"/>
        <v>109652.28</v>
      </c>
      <c r="O945" s="44">
        <v>109652.28</v>
      </c>
      <c r="P945" s="40" t="s">
        <v>5820</v>
      </c>
      <c r="Q945" s="40" t="s">
        <v>5821</v>
      </c>
      <c r="R945" s="40" t="s">
        <v>494</v>
      </c>
      <c r="S945" s="40" t="s">
        <v>502</v>
      </c>
      <c r="T945" s="40" t="s">
        <v>325</v>
      </c>
      <c r="U945" s="40" t="s">
        <v>5822</v>
      </c>
      <c r="V945" s="40"/>
      <c r="W945" s="40" t="s">
        <v>5823</v>
      </c>
    </row>
    <row r="946" spans="1:23" ht="12" x14ac:dyDescent="0.2">
      <c r="A946" s="39" t="s">
        <v>437</v>
      </c>
      <c r="B946" s="40" t="s">
        <v>916</v>
      </c>
      <c r="C946" s="40" t="s">
        <v>5824</v>
      </c>
      <c r="D946" s="41">
        <v>46043</v>
      </c>
      <c r="E946" s="41">
        <v>46073</v>
      </c>
      <c r="F946" s="41">
        <v>46091</v>
      </c>
      <c r="G946" s="42">
        <v>18</v>
      </c>
      <c r="H946" s="40" t="s">
        <v>549</v>
      </c>
      <c r="I946" s="39" t="s">
        <v>320</v>
      </c>
      <c r="J946" s="43">
        <v>17006.87</v>
      </c>
      <c r="K946" s="43">
        <v>0</v>
      </c>
      <c r="L946" s="43">
        <v>17006.87</v>
      </c>
      <c r="M946" s="44">
        <v>0</v>
      </c>
      <c r="N946" s="44">
        <f t="shared" si="14"/>
        <v>17006.87</v>
      </c>
      <c r="O946" s="44">
        <v>17006.87</v>
      </c>
      <c r="P946" s="40" t="s">
        <v>1450</v>
      </c>
      <c r="Q946" s="40" t="s">
        <v>5825</v>
      </c>
      <c r="R946" s="40" t="s">
        <v>494</v>
      </c>
      <c r="S946" s="40" t="s">
        <v>502</v>
      </c>
      <c r="T946" s="40" t="s">
        <v>282</v>
      </c>
      <c r="U946" s="40" t="s">
        <v>5826</v>
      </c>
      <c r="V946" s="40"/>
      <c r="W946" s="40" t="s">
        <v>5827</v>
      </c>
    </row>
    <row r="947" spans="1:23" ht="12" x14ac:dyDescent="0.2">
      <c r="A947" s="39" t="s">
        <v>4229</v>
      </c>
      <c r="B947" s="40" t="s">
        <v>4230</v>
      </c>
      <c r="C947" s="40" t="s">
        <v>5828</v>
      </c>
      <c r="D947" s="41">
        <v>46043</v>
      </c>
      <c r="E947" s="41">
        <v>46073</v>
      </c>
      <c r="F947" s="41">
        <v>46091</v>
      </c>
      <c r="G947" s="42">
        <v>18</v>
      </c>
      <c r="H947" s="40" t="s">
        <v>549</v>
      </c>
      <c r="I947" s="39" t="s">
        <v>320</v>
      </c>
      <c r="J947" s="43">
        <v>78000</v>
      </c>
      <c r="K947" s="43">
        <v>13000</v>
      </c>
      <c r="L947" s="43">
        <v>78000</v>
      </c>
      <c r="M947" s="44">
        <v>13000</v>
      </c>
      <c r="N947" s="44">
        <f t="shared" si="14"/>
        <v>65000</v>
      </c>
      <c r="O947" s="44">
        <v>78000</v>
      </c>
      <c r="P947" s="40" t="s">
        <v>4232</v>
      </c>
      <c r="Q947" s="40" t="s">
        <v>4233</v>
      </c>
      <c r="R947" s="40" t="s">
        <v>494</v>
      </c>
      <c r="S947" s="40" t="s">
        <v>502</v>
      </c>
      <c r="T947" s="40" t="s">
        <v>218</v>
      </c>
      <c r="U947" s="40" t="s">
        <v>4234</v>
      </c>
      <c r="V947" s="40" t="s">
        <v>5506</v>
      </c>
      <c r="W947" s="40" t="s">
        <v>4236</v>
      </c>
    </row>
    <row r="948" spans="1:23" ht="12" x14ac:dyDescent="0.2">
      <c r="A948" s="39" t="s">
        <v>710</v>
      </c>
      <c r="B948" s="40" t="s">
        <v>5829</v>
      </c>
      <c r="C948" s="40" t="s">
        <v>5830</v>
      </c>
      <c r="D948" s="41">
        <v>46044</v>
      </c>
      <c r="E948" s="41">
        <v>46074</v>
      </c>
      <c r="F948" s="41">
        <v>46091</v>
      </c>
      <c r="G948" s="42">
        <v>17</v>
      </c>
      <c r="H948" s="40" t="s">
        <v>549</v>
      </c>
      <c r="I948" s="39" t="s">
        <v>320</v>
      </c>
      <c r="J948" s="43">
        <v>4154.59</v>
      </c>
      <c r="K948" s="43">
        <v>0</v>
      </c>
      <c r="L948" s="43">
        <v>4154.59</v>
      </c>
      <c r="M948" s="44">
        <v>0</v>
      </c>
      <c r="N948" s="44">
        <f t="shared" si="14"/>
        <v>4154.59</v>
      </c>
      <c r="O948" s="44">
        <v>4154.59</v>
      </c>
      <c r="P948" s="40" t="s">
        <v>5831</v>
      </c>
      <c r="Q948" s="40" t="s">
        <v>5832</v>
      </c>
      <c r="R948" s="40" t="s">
        <v>494</v>
      </c>
      <c r="S948" s="40" t="s">
        <v>502</v>
      </c>
      <c r="T948" s="40" t="s">
        <v>204</v>
      </c>
      <c r="U948" s="40" t="s">
        <v>5833</v>
      </c>
      <c r="V948" s="40"/>
      <c r="W948" s="40" t="s">
        <v>5834</v>
      </c>
    </row>
    <row r="949" spans="1:23" ht="12" x14ac:dyDescent="0.2">
      <c r="A949" s="39" t="s">
        <v>2308</v>
      </c>
      <c r="B949" s="40" t="s">
        <v>2309</v>
      </c>
      <c r="C949" s="40" t="s">
        <v>5835</v>
      </c>
      <c r="D949" s="41">
        <v>46044</v>
      </c>
      <c r="E949" s="41">
        <v>46074</v>
      </c>
      <c r="F949" s="41">
        <v>46091</v>
      </c>
      <c r="G949" s="42">
        <v>17</v>
      </c>
      <c r="H949" s="40" t="s">
        <v>549</v>
      </c>
      <c r="I949" s="39" t="s">
        <v>320</v>
      </c>
      <c r="J949" s="43">
        <v>30542.5</v>
      </c>
      <c r="K949" s="43">
        <v>0</v>
      </c>
      <c r="L949" s="43">
        <v>30542.5</v>
      </c>
      <c r="M949" s="44">
        <v>0</v>
      </c>
      <c r="N949" s="44">
        <f t="shared" si="14"/>
        <v>30542.5</v>
      </c>
      <c r="O949" s="44">
        <v>30542.5</v>
      </c>
      <c r="P949" s="40" t="s">
        <v>5836</v>
      </c>
      <c r="Q949" s="40" t="s">
        <v>5837</v>
      </c>
      <c r="R949" s="40" t="s">
        <v>494</v>
      </c>
      <c r="S949" s="40" t="s">
        <v>502</v>
      </c>
      <c r="T949" s="40" t="s">
        <v>191</v>
      </c>
      <c r="U949" s="40" t="s">
        <v>567</v>
      </c>
      <c r="V949" s="40" t="s">
        <v>5838</v>
      </c>
      <c r="W949" s="40" t="s">
        <v>5839</v>
      </c>
    </row>
    <row r="950" spans="1:23" ht="12" x14ac:dyDescent="0.2">
      <c r="A950" s="39" t="s">
        <v>54</v>
      </c>
      <c r="B950" s="40" t="s">
        <v>455</v>
      </c>
      <c r="C950" s="40" t="s">
        <v>5840</v>
      </c>
      <c r="D950" s="41">
        <v>46044</v>
      </c>
      <c r="E950" s="41">
        <v>46074</v>
      </c>
      <c r="F950" s="41">
        <v>46091</v>
      </c>
      <c r="G950" s="42">
        <v>17</v>
      </c>
      <c r="H950" s="40" t="s">
        <v>549</v>
      </c>
      <c r="I950" s="39" t="s">
        <v>320</v>
      </c>
      <c r="J950" s="43">
        <v>178749.63</v>
      </c>
      <c r="K950" s="43">
        <v>0</v>
      </c>
      <c r="L950" s="43">
        <v>178749.63</v>
      </c>
      <c r="M950" s="44">
        <v>0</v>
      </c>
      <c r="N950" s="44">
        <f t="shared" si="14"/>
        <v>178749.63</v>
      </c>
      <c r="O950" s="44">
        <v>178749.63</v>
      </c>
      <c r="P950" s="40" t="s">
        <v>1313</v>
      </c>
      <c r="Q950" s="40" t="s">
        <v>3023</v>
      </c>
      <c r="R950" s="40" t="s">
        <v>494</v>
      </c>
      <c r="S950" s="40" t="s">
        <v>495</v>
      </c>
      <c r="T950" s="40" t="s">
        <v>327</v>
      </c>
      <c r="U950" s="40" t="s">
        <v>2913</v>
      </c>
      <c r="V950" s="40" t="s">
        <v>3991</v>
      </c>
      <c r="W950" s="40" t="s">
        <v>3024</v>
      </c>
    </row>
    <row r="951" spans="1:23" ht="12" x14ac:dyDescent="0.2">
      <c r="A951" s="39" t="s">
        <v>52</v>
      </c>
      <c r="B951" s="40" t="s">
        <v>472</v>
      </c>
      <c r="C951" s="40" t="s">
        <v>5841</v>
      </c>
      <c r="D951" s="41">
        <v>46044</v>
      </c>
      <c r="E951" s="41">
        <v>46074</v>
      </c>
      <c r="F951" s="41">
        <v>46091</v>
      </c>
      <c r="G951" s="42">
        <v>17</v>
      </c>
      <c r="H951" s="40" t="s">
        <v>549</v>
      </c>
      <c r="I951" s="39" t="s">
        <v>320</v>
      </c>
      <c r="J951" s="43">
        <v>11416.62</v>
      </c>
      <c r="K951" s="43">
        <v>0</v>
      </c>
      <c r="L951" s="43">
        <v>11416.62</v>
      </c>
      <c r="M951" s="44">
        <v>0</v>
      </c>
      <c r="N951" s="44">
        <f t="shared" si="14"/>
        <v>11416.62</v>
      </c>
      <c r="O951" s="44">
        <v>11416.62</v>
      </c>
      <c r="P951" s="40" t="s">
        <v>5842</v>
      </c>
      <c r="Q951" s="40" t="s">
        <v>5843</v>
      </c>
      <c r="R951" s="40" t="s">
        <v>494</v>
      </c>
      <c r="S951" s="40" t="s">
        <v>502</v>
      </c>
      <c r="T951" s="40" t="s">
        <v>184</v>
      </c>
      <c r="U951" s="40" t="s">
        <v>5844</v>
      </c>
      <c r="V951" s="40" t="s">
        <v>5845</v>
      </c>
      <c r="W951" s="40" t="s">
        <v>5846</v>
      </c>
    </row>
    <row r="952" spans="1:23" ht="12" x14ac:dyDescent="0.2">
      <c r="A952" s="39" t="s">
        <v>3314</v>
      </c>
      <c r="B952" s="40" t="s">
        <v>3315</v>
      </c>
      <c r="C952" s="40" t="s">
        <v>5847</v>
      </c>
      <c r="D952" s="41">
        <v>46044</v>
      </c>
      <c r="E952" s="41">
        <v>46074</v>
      </c>
      <c r="F952" s="41">
        <v>46091</v>
      </c>
      <c r="G952" s="42">
        <v>17</v>
      </c>
      <c r="H952" s="40" t="s">
        <v>549</v>
      </c>
      <c r="I952" s="39" t="s">
        <v>320</v>
      </c>
      <c r="J952" s="43">
        <v>392052.99</v>
      </c>
      <c r="K952" s="43">
        <v>0</v>
      </c>
      <c r="L952" s="43">
        <v>392052.99</v>
      </c>
      <c r="M952" s="44">
        <v>0</v>
      </c>
      <c r="N952" s="44">
        <f t="shared" si="14"/>
        <v>392052.99</v>
      </c>
      <c r="O952" s="44">
        <v>392052.99</v>
      </c>
      <c r="P952" s="40" t="s">
        <v>5848</v>
      </c>
      <c r="Q952" s="40" t="s">
        <v>5849</v>
      </c>
      <c r="R952" s="40" t="s">
        <v>494</v>
      </c>
      <c r="S952" s="40" t="s">
        <v>502</v>
      </c>
      <c r="T952" s="40" t="s">
        <v>280</v>
      </c>
      <c r="U952" s="40" t="s">
        <v>2376</v>
      </c>
      <c r="V952" s="40"/>
      <c r="W952" s="40" t="s">
        <v>5850</v>
      </c>
    </row>
    <row r="953" spans="1:23" ht="12" x14ac:dyDescent="0.2">
      <c r="A953" s="39" t="s">
        <v>5851</v>
      </c>
      <c r="B953" s="40" t="s">
        <v>5852</v>
      </c>
      <c r="C953" s="40" t="s">
        <v>5853</v>
      </c>
      <c r="D953" s="41">
        <v>46044</v>
      </c>
      <c r="E953" s="41">
        <v>46074</v>
      </c>
      <c r="F953" s="41">
        <v>46091</v>
      </c>
      <c r="G953" s="42">
        <v>17</v>
      </c>
      <c r="H953" s="40" t="s">
        <v>549</v>
      </c>
      <c r="I953" s="39" t="s">
        <v>320</v>
      </c>
      <c r="J953" s="43">
        <v>169531.96</v>
      </c>
      <c r="K953" s="43">
        <v>0</v>
      </c>
      <c r="L953" s="43">
        <v>169531.96</v>
      </c>
      <c r="M953" s="44">
        <v>0</v>
      </c>
      <c r="N953" s="44">
        <f t="shared" si="14"/>
        <v>169531.96</v>
      </c>
      <c r="O953" s="44">
        <v>169531.96</v>
      </c>
      <c r="P953" s="40" t="s">
        <v>5854</v>
      </c>
      <c r="Q953" s="40" t="s">
        <v>5855</v>
      </c>
      <c r="R953" s="40" t="s">
        <v>494</v>
      </c>
      <c r="S953" s="40" t="s">
        <v>502</v>
      </c>
      <c r="T953" s="40" t="s">
        <v>363</v>
      </c>
      <c r="U953" s="40" t="s">
        <v>562</v>
      </c>
      <c r="V953" s="40" t="s">
        <v>5856</v>
      </c>
      <c r="W953" s="40" t="s">
        <v>322</v>
      </c>
    </row>
    <row r="954" spans="1:23" ht="12" x14ac:dyDescent="0.2">
      <c r="A954" s="39" t="s">
        <v>5851</v>
      </c>
      <c r="B954" s="40" t="s">
        <v>5852</v>
      </c>
      <c r="C954" s="40" t="s">
        <v>5857</v>
      </c>
      <c r="D954" s="41">
        <v>46044</v>
      </c>
      <c r="E954" s="41">
        <v>46074</v>
      </c>
      <c r="F954" s="41">
        <v>46091</v>
      </c>
      <c r="G954" s="42">
        <v>17</v>
      </c>
      <c r="H954" s="40" t="s">
        <v>549</v>
      </c>
      <c r="I954" s="39" t="s">
        <v>320</v>
      </c>
      <c r="J954" s="43">
        <v>368114.55</v>
      </c>
      <c r="K954" s="43">
        <v>0</v>
      </c>
      <c r="L954" s="43">
        <v>368114.55</v>
      </c>
      <c r="M954" s="44">
        <v>0</v>
      </c>
      <c r="N954" s="44">
        <f t="shared" si="14"/>
        <v>368114.55</v>
      </c>
      <c r="O954" s="44">
        <v>368114.55</v>
      </c>
      <c r="P954" s="40" t="s">
        <v>5854</v>
      </c>
      <c r="Q954" s="40" t="s">
        <v>5855</v>
      </c>
      <c r="R954" s="40" t="s">
        <v>494</v>
      </c>
      <c r="S954" s="40" t="s">
        <v>502</v>
      </c>
      <c r="T954" s="40" t="s">
        <v>363</v>
      </c>
      <c r="U954" s="40" t="s">
        <v>562</v>
      </c>
      <c r="V954" s="40" t="s">
        <v>5856</v>
      </c>
      <c r="W954" s="40" t="s">
        <v>322</v>
      </c>
    </row>
    <row r="955" spans="1:23" ht="12" x14ac:dyDescent="0.2">
      <c r="A955" s="39" t="s">
        <v>1471</v>
      </c>
      <c r="B955" s="40" t="s">
        <v>1472</v>
      </c>
      <c r="C955" s="40" t="s">
        <v>5858</v>
      </c>
      <c r="D955" s="41">
        <v>46044</v>
      </c>
      <c r="E955" s="41">
        <v>46074</v>
      </c>
      <c r="F955" s="41">
        <v>46091</v>
      </c>
      <c r="G955" s="42">
        <v>17</v>
      </c>
      <c r="H955" s="40" t="s">
        <v>549</v>
      </c>
      <c r="I955" s="39" t="s">
        <v>320</v>
      </c>
      <c r="J955" s="43">
        <v>9964.7900000000009</v>
      </c>
      <c r="K955" s="43">
        <v>0</v>
      </c>
      <c r="L955" s="43">
        <v>9964.7900000000009</v>
      </c>
      <c r="M955" s="44">
        <v>0</v>
      </c>
      <c r="N955" s="44">
        <f t="shared" si="14"/>
        <v>9964.7900000000009</v>
      </c>
      <c r="O955" s="44">
        <v>9964.7900000000009</v>
      </c>
      <c r="P955" s="40" t="s">
        <v>2829</v>
      </c>
      <c r="Q955" s="40" t="s">
        <v>2830</v>
      </c>
      <c r="R955" s="40" t="s">
        <v>494</v>
      </c>
      <c r="S955" s="40" t="s">
        <v>502</v>
      </c>
      <c r="T955" s="40" t="s">
        <v>1372</v>
      </c>
      <c r="U955" s="40" t="s">
        <v>1473</v>
      </c>
      <c r="V955" s="40" t="s">
        <v>4908</v>
      </c>
      <c r="W955" s="40" t="s">
        <v>321</v>
      </c>
    </row>
    <row r="956" spans="1:23" ht="12" x14ac:dyDescent="0.2">
      <c r="A956" s="39" t="s">
        <v>1471</v>
      </c>
      <c r="B956" s="40" t="s">
        <v>1472</v>
      </c>
      <c r="C956" s="40" t="s">
        <v>5859</v>
      </c>
      <c r="D956" s="41">
        <v>46044</v>
      </c>
      <c r="E956" s="41">
        <v>46074</v>
      </c>
      <c r="F956" s="41">
        <v>46091</v>
      </c>
      <c r="G956" s="42">
        <v>17</v>
      </c>
      <c r="H956" s="40" t="s">
        <v>549</v>
      </c>
      <c r="I956" s="39" t="s">
        <v>320</v>
      </c>
      <c r="J956" s="43">
        <v>5005.09</v>
      </c>
      <c r="K956" s="43">
        <v>0</v>
      </c>
      <c r="L956" s="43">
        <v>5005.09</v>
      </c>
      <c r="M956" s="44">
        <v>0</v>
      </c>
      <c r="N956" s="44">
        <f t="shared" si="14"/>
        <v>5005.09</v>
      </c>
      <c r="O956" s="44">
        <v>5005.09</v>
      </c>
      <c r="P956" s="40" t="s">
        <v>2829</v>
      </c>
      <c r="Q956" s="40" t="s">
        <v>2830</v>
      </c>
      <c r="R956" s="40" t="s">
        <v>494</v>
      </c>
      <c r="S956" s="40" t="s">
        <v>502</v>
      </c>
      <c r="T956" s="40" t="s">
        <v>1372</v>
      </c>
      <c r="U956" s="40" t="s">
        <v>1473</v>
      </c>
      <c r="V956" s="40" t="s">
        <v>4908</v>
      </c>
      <c r="W956" s="40" t="s">
        <v>321</v>
      </c>
    </row>
    <row r="957" spans="1:23" ht="12" x14ac:dyDescent="0.2">
      <c r="A957" s="39" t="s">
        <v>1471</v>
      </c>
      <c r="B957" s="40" t="s">
        <v>1472</v>
      </c>
      <c r="C957" s="40" t="s">
        <v>5860</v>
      </c>
      <c r="D957" s="41">
        <v>46044</v>
      </c>
      <c r="E957" s="41">
        <v>46074</v>
      </c>
      <c r="F957" s="41">
        <v>46091</v>
      </c>
      <c r="G957" s="42">
        <v>17</v>
      </c>
      <c r="H957" s="40" t="s">
        <v>549</v>
      </c>
      <c r="I957" s="39" t="s">
        <v>320</v>
      </c>
      <c r="J957" s="43">
        <v>5005.09</v>
      </c>
      <c r="K957" s="43">
        <v>0</v>
      </c>
      <c r="L957" s="43">
        <v>5005.09</v>
      </c>
      <c r="M957" s="44">
        <v>0</v>
      </c>
      <c r="N957" s="44">
        <f t="shared" si="14"/>
        <v>5005.09</v>
      </c>
      <c r="O957" s="44">
        <v>5005.09</v>
      </c>
      <c r="P957" s="40" t="s">
        <v>2829</v>
      </c>
      <c r="Q957" s="40" t="s">
        <v>2830</v>
      </c>
      <c r="R957" s="40" t="s">
        <v>494</v>
      </c>
      <c r="S957" s="40" t="s">
        <v>502</v>
      </c>
      <c r="T957" s="40" t="s">
        <v>1372</v>
      </c>
      <c r="U957" s="40" t="s">
        <v>1473</v>
      </c>
      <c r="V957" s="40" t="s">
        <v>4908</v>
      </c>
      <c r="W957" s="40" t="s">
        <v>321</v>
      </c>
    </row>
    <row r="958" spans="1:23" ht="12" x14ac:dyDescent="0.2">
      <c r="A958" s="39" t="s">
        <v>1471</v>
      </c>
      <c r="B958" s="40" t="s">
        <v>1472</v>
      </c>
      <c r="C958" s="40" t="s">
        <v>5861</v>
      </c>
      <c r="D958" s="41">
        <v>46044</v>
      </c>
      <c r="E958" s="41">
        <v>46074</v>
      </c>
      <c r="F958" s="41">
        <v>46091</v>
      </c>
      <c r="G958" s="42">
        <v>17</v>
      </c>
      <c r="H958" s="40" t="s">
        <v>549</v>
      </c>
      <c r="I958" s="39" t="s">
        <v>320</v>
      </c>
      <c r="J958" s="43">
        <v>5591.77</v>
      </c>
      <c r="K958" s="43">
        <v>0</v>
      </c>
      <c r="L958" s="43">
        <v>5591.77</v>
      </c>
      <c r="M958" s="44">
        <v>0</v>
      </c>
      <c r="N958" s="44">
        <f t="shared" si="14"/>
        <v>5591.77</v>
      </c>
      <c r="O958" s="44">
        <v>5591.77</v>
      </c>
      <c r="P958" s="40" t="s">
        <v>2829</v>
      </c>
      <c r="Q958" s="40" t="s">
        <v>2830</v>
      </c>
      <c r="R958" s="40" t="s">
        <v>494</v>
      </c>
      <c r="S958" s="40" t="s">
        <v>502</v>
      </c>
      <c r="T958" s="40" t="s">
        <v>1372</v>
      </c>
      <c r="U958" s="40" t="s">
        <v>1473</v>
      </c>
      <c r="V958" s="40" t="s">
        <v>4908</v>
      </c>
      <c r="W958" s="40" t="s">
        <v>321</v>
      </c>
    </row>
    <row r="959" spans="1:23" ht="12" x14ac:dyDescent="0.2">
      <c r="A959" s="39" t="s">
        <v>1471</v>
      </c>
      <c r="B959" s="40" t="s">
        <v>1472</v>
      </c>
      <c r="C959" s="40" t="s">
        <v>5862</v>
      </c>
      <c r="D959" s="41">
        <v>46044</v>
      </c>
      <c r="E959" s="41">
        <v>46074</v>
      </c>
      <c r="F959" s="41">
        <v>46091</v>
      </c>
      <c r="G959" s="42">
        <v>17</v>
      </c>
      <c r="H959" s="40" t="s">
        <v>549</v>
      </c>
      <c r="I959" s="39" t="s">
        <v>320</v>
      </c>
      <c r="J959" s="43">
        <v>5601.26</v>
      </c>
      <c r="K959" s="43">
        <v>0</v>
      </c>
      <c r="L959" s="43">
        <v>5601.26</v>
      </c>
      <c r="M959" s="44">
        <v>0</v>
      </c>
      <c r="N959" s="44">
        <f t="shared" si="14"/>
        <v>5601.26</v>
      </c>
      <c r="O959" s="44">
        <v>5601.26</v>
      </c>
      <c r="P959" s="40" t="s">
        <v>2829</v>
      </c>
      <c r="Q959" s="40" t="s">
        <v>2830</v>
      </c>
      <c r="R959" s="40" t="s">
        <v>494</v>
      </c>
      <c r="S959" s="40" t="s">
        <v>502</v>
      </c>
      <c r="T959" s="40" t="s">
        <v>1372</v>
      </c>
      <c r="U959" s="40" t="s">
        <v>1473</v>
      </c>
      <c r="V959" s="40" t="s">
        <v>4908</v>
      </c>
      <c r="W959" s="40" t="s">
        <v>321</v>
      </c>
    </row>
    <row r="960" spans="1:23" ht="12" x14ac:dyDescent="0.2">
      <c r="A960" s="39" t="s">
        <v>1471</v>
      </c>
      <c r="B960" s="40" t="s">
        <v>1472</v>
      </c>
      <c r="C960" s="40" t="s">
        <v>5863</v>
      </c>
      <c r="D960" s="41">
        <v>46044</v>
      </c>
      <c r="E960" s="41">
        <v>46074</v>
      </c>
      <c r="F960" s="41">
        <v>46091</v>
      </c>
      <c r="G960" s="42">
        <v>17</v>
      </c>
      <c r="H960" s="40" t="s">
        <v>549</v>
      </c>
      <c r="I960" s="39" t="s">
        <v>320</v>
      </c>
      <c r="J960" s="43">
        <v>5601.26</v>
      </c>
      <c r="K960" s="43">
        <v>0</v>
      </c>
      <c r="L960" s="43">
        <v>5601.26</v>
      </c>
      <c r="M960" s="44">
        <v>0</v>
      </c>
      <c r="N960" s="44">
        <f t="shared" si="14"/>
        <v>5601.26</v>
      </c>
      <c r="O960" s="44">
        <v>5601.26</v>
      </c>
      <c r="P960" s="40" t="s">
        <v>2829</v>
      </c>
      <c r="Q960" s="40" t="s">
        <v>2830</v>
      </c>
      <c r="R960" s="40" t="s">
        <v>494</v>
      </c>
      <c r="S960" s="40" t="s">
        <v>502</v>
      </c>
      <c r="T960" s="40" t="s">
        <v>1372</v>
      </c>
      <c r="U960" s="40" t="s">
        <v>1473</v>
      </c>
      <c r="V960" s="40" t="s">
        <v>4908</v>
      </c>
      <c r="W960" s="40" t="s">
        <v>321</v>
      </c>
    </row>
    <row r="961" spans="1:23" ht="12" x14ac:dyDescent="0.2">
      <c r="A961" s="39" t="s">
        <v>1471</v>
      </c>
      <c r="B961" s="40" t="s">
        <v>1472</v>
      </c>
      <c r="C961" s="40" t="s">
        <v>5864</v>
      </c>
      <c r="D961" s="41">
        <v>46044</v>
      </c>
      <c r="E961" s="41">
        <v>46074</v>
      </c>
      <c r="F961" s="41">
        <v>46091</v>
      </c>
      <c r="G961" s="42">
        <v>17</v>
      </c>
      <c r="H961" s="40" t="s">
        <v>549</v>
      </c>
      <c r="I961" s="39" t="s">
        <v>320</v>
      </c>
      <c r="J961" s="43">
        <v>5601.26</v>
      </c>
      <c r="K961" s="43">
        <v>0</v>
      </c>
      <c r="L961" s="43">
        <v>5601.26</v>
      </c>
      <c r="M961" s="44">
        <v>0</v>
      </c>
      <c r="N961" s="44">
        <f t="shared" si="14"/>
        <v>5601.26</v>
      </c>
      <c r="O961" s="44">
        <v>5601.26</v>
      </c>
      <c r="P961" s="40" t="s">
        <v>2829</v>
      </c>
      <c r="Q961" s="40" t="s">
        <v>2830</v>
      </c>
      <c r="R961" s="40" t="s">
        <v>494</v>
      </c>
      <c r="S961" s="40" t="s">
        <v>502</v>
      </c>
      <c r="T961" s="40" t="s">
        <v>1372</v>
      </c>
      <c r="U961" s="40" t="s">
        <v>1473</v>
      </c>
      <c r="V961" s="40" t="s">
        <v>4908</v>
      </c>
      <c r="W961" s="40" t="s">
        <v>321</v>
      </c>
    </row>
    <row r="962" spans="1:23" ht="12" x14ac:dyDescent="0.2">
      <c r="A962" s="39" t="s">
        <v>1471</v>
      </c>
      <c r="B962" s="40" t="s">
        <v>1472</v>
      </c>
      <c r="C962" s="40" t="s">
        <v>5865</v>
      </c>
      <c r="D962" s="41">
        <v>46044</v>
      </c>
      <c r="E962" s="41">
        <v>46074</v>
      </c>
      <c r="F962" s="41">
        <v>46091</v>
      </c>
      <c r="G962" s="42">
        <v>17</v>
      </c>
      <c r="H962" s="40" t="s">
        <v>549</v>
      </c>
      <c r="I962" s="39" t="s">
        <v>320</v>
      </c>
      <c r="J962" s="43">
        <v>4959.7</v>
      </c>
      <c r="K962" s="43">
        <v>0</v>
      </c>
      <c r="L962" s="43">
        <v>4959.7</v>
      </c>
      <c r="M962" s="44">
        <v>0</v>
      </c>
      <c r="N962" s="44">
        <f t="shared" si="14"/>
        <v>4959.7</v>
      </c>
      <c r="O962" s="44">
        <v>4959.7</v>
      </c>
      <c r="P962" s="40" t="s">
        <v>2829</v>
      </c>
      <c r="Q962" s="40" t="s">
        <v>2830</v>
      </c>
      <c r="R962" s="40" t="s">
        <v>494</v>
      </c>
      <c r="S962" s="40" t="s">
        <v>502</v>
      </c>
      <c r="T962" s="40" t="s">
        <v>1372</v>
      </c>
      <c r="U962" s="40" t="s">
        <v>1473</v>
      </c>
      <c r="V962" s="40" t="s">
        <v>4908</v>
      </c>
      <c r="W962" s="40" t="s">
        <v>321</v>
      </c>
    </row>
    <row r="963" spans="1:23" ht="12" x14ac:dyDescent="0.2">
      <c r="A963" s="39" t="s">
        <v>1471</v>
      </c>
      <c r="B963" s="40" t="s">
        <v>1472</v>
      </c>
      <c r="C963" s="40" t="s">
        <v>5866</v>
      </c>
      <c r="D963" s="41">
        <v>46044</v>
      </c>
      <c r="E963" s="41">
        <v>46074</v>
      </c>
      <c r="F963" s="41">
        <v>46091</v>
      </c>
      <c r="G963" s="42">
        <v>17</v>
      </c>
      <c r="H963" s="40" t="s">
        <v>549</v>
      </c>
      <c r="I963" s="39" t="s">
        <v>320</v>
      </c>
      <c r="J963" s="43">
        <v>5005.09</v>
      </c>
      <c r="K963" s="43">
        <v>0</v>
      </c>
      <c r="L963" s="43">
        <v>5005.09</v>
      </c>
      <c r="M963" s="44">
        <v>0</v>
      </c>
      <c r="N963" s="44">
        <f t="shared" ref="N963:N1026" si="15">IF(I963="GBP",L963-K963,O963-K963)</f>
        <v>5005.09</v>
      </c>
      <c r="O963" s="44">
        <v>5005.09</v>
      </c>
      <c r="P963" s="40" t="s">
        <v>2829</v>
      </c>
      <c r="Q963" s="40" t="s">
        <v>2830</v>
      </c>
      <c r="R963" s="40" t="s">
        <v>494</v>
      </c>
      <c r="S963" s="40" t="s">
        <v>502</v>
      </c>
      <c r="T963" s="40" t="s">
        <v>1372</v>
      </c>
      <c r="U963" s="40" t="s">
        <v>1473</v>
      </c>
      <c r="V963" s="40" t="s">
        <v>4908</v>
      </c>
      <c r="W963" s="40" t="s">
        <v>321</v>
      </c>
    </row>
    <row r="964" spans="1:23" ht="12" x14ac:dyDescent="0.2">
      <c r="A964" s="39" t="s">
        <v>1471</v>
      </c>
      <c r="B964" s="40" t="s">
        <v>1472</v>
      </c>
      <c r="C964" s="40" t="s">
        <v>5867</v>
      </c>
      <c r="D964" s="41">
        <v>46044</v>
      </c>
      <c r="E964" s="41">
        <v>46074</v>
      </c>
      <c r="F964" s="41">
        <v>46091</v>
      </c>
      <c r="G964" s="42">
        <v>17</v>
      </c>
      <c r="H964" s="40" t="s">
        <v>549</v>
      </c>
      <c r="I964" s="39" t="s">
        <v>320</v>
      </c>
      <c r="J964" s="43">
        <v>5005.09</v>
      </c>
      <c r="K964" s="43">
        <v>0</v>
      </c>
      <c r="L964" s="43">
        <v>5005.09</v>
      </c>
      <c r="M964" s="44">
        <v>0</v>
      </c>
      <c r="N964" s="44">
        <f t="shared" si="15"/>
        <v>5005.09</v>
      </c>
      <c r="O964" s="44">
        <v>5005.09</v>
      </c>
      <c r="P964" s="40" t="s">
        <v>2829</v>
      </c>
      <c r="Q964" s="40" t="s">
        <v>2830</v>
      </c>
      <c r="R964" s="40" t="s">
        <v>494</v>
      </c>
      <c r="S964" s="40" t="s">
        <v>502</v>
      </c>
      <c r="T964" s="40" t="s">
        <v>1372</v>
      </c>
      <c r="U964" s="40" t="s">
        <v>1473</v>
      </c>
      <c r="V964" s="40" t="s">
        <v>4908</v>
      </c>
      <c r="W964" s="40" t="s">
        <v>321</v>
      </c>
    </row>
    <row r="965" spans="1:23" ht="12" x14ac:dyDescent="0.2">
      <c r="A965" s="39" t="s">
        <v>1471</v>
      </c>
      <c r="B965" s="40" t="s">
        <v>1472</v>
      </c>
      <c r="C965" s="40" t="s">
        <v>5868</v>
      </c>
      <c r="D965" s="41">
        <v>46044</v>
      </c>
      <c r="E965" s="41">
        <v>46074</v>
      </c>
      <c r="F965" s="41">
        <v>46091</v>
      </c>
      <c r="G965" s="42">
        <v>17</v>
      </c>
      <c r="H965" s="40" t="s">
        <v>549</v>
      </c>
      <c r="I965" s="39" t="s">
        <v>320</v>
      </c>
      <c r="J965" s="43">
        <v>5005.09</v>
      </c>
      <c r="K965" s="43">
        <v>0</v>
      </c>
      <c r="L965" s="43">
        <v>5005.09</v>
      </c>
      <c r="M965" s="44">
        <v>0</v>
      </c>
      <c r="N965" s="44">
        <f t="shared" si="15"/>
        <v>5005.09</v>
      </c>
      <c r="O965" s="44">
        <v>5005.09</v>
      </c>
      <c r="P965" s="40" t="s">
        <v>2829</v>
      </c>
      <c r="Q965" s="40" t="s">
        <v>2830</v>
      </c>
      <c r="R965" s="40" t="s">
        <v>494</v>
      </c>
      <c r="S965" s="40" t="s">
        <v>502</v>
      </c>
      <c r="T965" s="40" t="s">
        <v>1372</v>
      </c>
      <c r="U965" s="40" t="s">
        <v>1473</v>
      </c>
      <c r="V965" s="40" t="s">
        <v>4908</v>
      </c>
      <c r="W965" s="40" t="s">
        <v>321</v>
      </c>
    </row>
    <row r="966" spans="1:23" ht="12" x14ac:dyDescent="0.2">
      <c r="A966" s="39" t="s">
        <v>337</v>
      </c>
      <c r="B966" s="40" t="s">
        <v>336</v>
      </c>
      <c r="C966" s="40" t="s">
        <v>5869</v>
      </c>
      <c r="D966" s="41">
        <v>46044</v>
      </c>
      <c r="E966" s="41">
        <v>46074</v>
      </c>
      <c r="F966" s="41">
        <v>46091</v>
      </c>
      <c r="G966" s="42">
        <v>17</v>
      </c>
      <c r="H966" s="40" t="s">
        <v>549</v>
      </c>
      <c r="I966" s="39" t="s">
        <v>320</v>
      </c>
      <c r="J966" s="43">
        <v>167591.14000000001</v>
      </c>
      <c r="K966" s="43">
        <v>0</v>
      </c>
      <c r="L966" s="43">
        <v>167591.14000000001</v>
      </c>
      <c r="M966" s="44">
        <v>0</v>
      </c>
      <c r="N966" s="44">
        <f t="shared" si="15"/>
        <v>167591.14000000001</v>
      </c>
      <c r="O966" s="44">
        <v>167591.14000000001</v>
      </c>
      <c r="P966" s="40" t="s">
        <v>1467</v>
      </c>
      <c r="Q966" s="40" t="s">
        <v>1468</v>
      </c>
      <c r="R966" s="40" t="s">
        <v>494</v>
      </c>
      <c r="S966" s="40" t="s">
        <v>502</v>
      </c>
      <c r="T966" s="40" t="s">
        <v>289</v>
      </c>
      <c r="U966" s="40" t="s">
        <v>554</v>
      </c>
      <c r="V966" s="40"/>
      <c r="W966" s="40" t="s">
        <v>1469</v>
      </c>
    </row>
    <row r="967" spans="1:23" ht="12" x14ac:dyDescent="0.2">
      <c r="A967" s="39" t="s">
        <v>5870</v>
      </c>
      <c r="B967" s="40" t="s">
        <v>5871</v>
      </c>
      <c r="C967" s="40" t="s">
        <v>5872</v>
      </c>
      <c r="D967" s="41">
        <v>46044</v>
      </c>
      <c r="E967" s="41">
        <v>46074</v>
      </c>
      <c r="F967" s="41">
        <v>46091</v>
      </c>
      <c r="G967" s="42">
        <v>17</v>
      </c>
      <c r="H967" s="40" t="s">
        <v>549</v>
      </c>
      <c r="I967" s="39" t="s">
        <v>320</v>
      </c>
      <c r="J967" s="43">
        <v>292007.17</v>
      </c>
      <c r="K967" s="43">
        <v>0</v>
      </c>
      <c r="L967" s="43">
        <v>292007.17</v>
      </c>
      <c r="M967" s="44">
        <v>0</v>
      </c>
      <c r="N967" s="44">
        <f t="shared" si="15"/>
        <v>292007.17</v>
      </c>
      <c r="O967" s="44">
        <v>292007.17</v>
      </c>
      <c r="P967" s="40" t="s">
        <v>5873</v>
      </c>
      <c r="Q967" s="40" t="s">
        <v>5874</v>
      </c>
      <c r="R967" s="40" t="s">
        <v>494</v>
      </c>
      <c r="S967" s="40" t="s">
        <v>502</v>
      </c>
      <c r="T967" s="40" t="s">
        <v>888</v>
      </c>
      <c r="U967" s="40" t="s">
        <v>5875</v>
      </c>
      <c r="V967" s="40"/>
      <c r="W967" s="40" t="s">
        <v>321</v>
      </c>
    </row>
    <row r="968" spans="1:23" ht="12" x14ac:dyDescent="0.2">
      <c r="A968" s="39" t="s">
        <v>2308</v>
      </c>
      <c r="B968" s="40" t="s">
        <v>2309</v>
      </c>
      <c r="C968" s="40" t="s">
        <v>5876</v>
      </c>
      <c r="D968" s="41">
        <v>46044</v>
      </c>
      <c r="E968" s="41">
        <v>46074</v>
      </c>
      <c r="F968" s="41">
        <v>46091</v>
      </c>
      <c r="G968" s="42">
        <v>17</v>
      </c>
      <c r="H968" s="40" t="s">
        <v>549</v>
      </c>
      <c r="I968" s="39" t="s">
        <v>320</v>
      </c>
      <c r="J968" s="43">
        <v>28891.74</v>
      </c>
      <c r="K968" s="43">
        <v>0</v>
      </c>
      <c r="L968" s="43">
        <v>28891.74</v>
      </c>
      <c r="M968" s="44">
        <v>0</v>
      </c>
      <c r="N968" s="44">
        <f t="shared" si="15"/>
        <v>28891.74</v>
      </c>
      <c r="O968" s="44">
        <v>28891.74</v>
      </c>
      <c r="P968" s="40" t="s">
        <v>2310</v>
      </c>
      <c r="Q968" s="40" t="s">
        <v>2311</v>
      </c>
      <c r="R968" s="40" t="s">
        <v>494</v>
      </c>
      <c r="S968" s="40" t="s">
        <v>502</v>
      </c>
      <c r="T968" s="40" t="s">
        <v>191</v>
      </c>
      <c r="U968" s="40" t="s">
        <v>1395</v>
      </c>
      <c r="V968" s="40" t="s">
        <v>5838</v>
      </c>
      <c r="W968" s="40" t="s">
        <v>2312</v>
      </c>
    </row>
    <row r="969" spans="1:23" ht="12" x14ac:dyDescent="0.2">
      <c r="A969" s="39" t="s">
        <v>299</v>
      </c>
      <c r="B969" s="40" t="s">
        <v>3876</v>
      </c>
      <c r="C969" s="40" t="s">
        <v>5877</v>
      </c>
      <c r="D969" s="41">
        <v>46044</v>
      </c>
      <c r="E969" s="41">
        <v>46074</v>
      </c>
      <c r="F969" s="41">
        <v>46091</v>
      </c>
      <c r="G969" s="42">
        <v>17</v>
      </c>
      <c r="H969" s="40" t="s">
        <v>549</v>
      </c>
      <c r="I969" s="39" t="s">
        <v>320</v>
      </c>
      <c r="J969" s="43">
        <v>79787.12</v>
      </c>
      <c r="K969" s="43">
        <v>0</v>
      </c>
      <c r="L969" s="43">
        <v>79787.12</v>
      </c>
      <c r="M969" s="44">
        <v>0</v>
      </c>
      <c r="N969" s="44">
        <f t="shared" si="15"/>
        <v>79787.12</v>
      </c>
      <c r="O969" s="44">
        <v>79787.12</v>
      </c>
      <c r="P969" s="40" t="s">
        <v>5878</v>
      </c>
      <c r="Q969" s="40" t="s">
        <v>5879</v>
      </c>
      <c r="R969" s="40" t="s">
        <v>494</v>
      </c>
      <c r="S969" s="40" t="s">
        <v>502</v>
      </c>
      <c r="T969" s="40" t="s">
        <v>301</v>
      </c>
      <c r="U969" s="40" t="s">
        <v>5880</v>
      </c>
      <c r="V969" s="40" t="s">
        <v>5881</v>
      </c>
      <c r="W969" s="40"/>
    </row>
    <row r="970" spans="1:23" ht="12" x14ac:dyDescent="0.2">
      <c r="A970" s="39" t="s">
        <v>357</v>
      </c>
      <c r="B970" s="40" t="s">
        <v>356</v>
      </c>
      <c r="C970" s="40" t="s">
        <v>5882</v>
      </c>
      <c r="D970" s="41">
        <v>46044</v>
      </c>
      <c r="E970" s="41">
        <v>46074</v>
      </c>
      <c r="F970" s="41">
        <v>46091</v>
      </c>
      <c r="G970" s="42">
        <v>17</v>
      </c>
      <c r="H970" s="40" t="s">
        <v>549</v>
      </c>
      <c r="I970" s="39" t="s">
        <v>341</v>
      </c>
      <c r="J970" s="43">
        <v>421402.4</v>
      </c>
      <c r="K970" s="43">
        <v>0</v>
      </c>
      <c r="L970" s="43">
        <v>421402.4</v>
      </c>
      <c r="M970" s="44">
        <v>0</v>
      </c>
      <c r="N970" s="44">
        <f t="shared" si="15"/>
        <v>356767.7</v>
      </c>
      <c r="O970" s="44">
        <v>356767.7</v>
      </c>
      <c r="P970" s="40" t="s">
        <v>1205</v>
      </c>
      <c r="Q970" s="40" t="s">
        <v>1206</v>
      </c>
      <c r="R970" s="40" t="s">
        <v>494</v>
      </c>
      <c r="S970" s="40" t="s">
        <v>502</v>
      </c>
      <c r="T970" s="40" t="s">
        <v>330</v>
      </c>
      <c r="U970" s="40" t="s">
        <v>677</v>
      </c>
      <c r="V970" s="40"/>
      <c r="W970" s="40" t="s">
        <v>1207</v>
      </c>
    </row>
    <row r="971" spans="1:23" ht="12" x14ac:dyDescent="0.2">
      <c r="A971" s="39" t="s">
        <v>5883</v>
      </c>
      <c r="B971" s="40" t="s">
        <v>5884</v>
      </c>
      <c r="C971" s="40" t="s">
        <v>5885</v>
      </c>
      <c r="D971" s="41">
        <v>46044</v>
      </c>
      <c r="E971" s="41">
        <v>46074</v>
      </c>
      <c r="F971" s="41">
        <v>46091</v>
      </c>
      <c r="G971" s="42">
        <v>17</v>
      </c>
      <c r="H971" s="40" t="s">
        <v>549</v>
      </c>
      <c r="I971" s="39" t="s">
        <v>320</v>
      </c>
      <c r="J971" s="43">
        <v>4733.07</v>
      </c>
      <c r="K971" s="43">
        <v>0</v>
      </c>
      <c r="L971" s="43">
        <v>4733.07</v>
      </c>
      <c r="M971" s="44">
        <v>0</v>
      </c>
      <c r="N971" s="44">
        <f t="shared" si="15"/>
        <v>4733.07</v>
      </c>
      <c r="O971" s="44">
        <v>4733.07</v>
      </c>
      <c r="P971" s="40" t="s">
        <v>5886</v>
      </c>
      <c r="Q971" s="40" t="s">
        <v>5887</v>
      </c>
      <c r="R971" s="40" t="s">
        <v>494</v>
      </c>
      <c r="S971" s="40" t="s">
        <v>502</v>
      </c>
      <c r="T971" s="40" t="s">
        <v>280</v>
      </c>
      <c r="U971" s="40" t="s">
        <v>5888</v>
      </c>
      <c r="V971" s="40"/>
      <c r="W971" s="40"/>
    </row>
    <row r="972" spans="1:23" ht="12" x14ac:dyDescent="0.2">
      <c r="A972" s="39" t="s">
        <v>16</v>
      </c>
      <c r="B972" s="40" t="s">
        <v>414</v>
      </c>
      <c r="C972" s="40" t="s">
        <v>5889</v>
      </c>
      <c r="D972" s="41">
        <v>46045</v>
      </c>
      <c r="E972" s="41">
        <v>46075</v>
      </c>
      <c r="F972" s="41">
        <v>46091</v>
      </c>
      <c r="G972" s="42">
        <v>16</v>
      </c>
      <c r="H972" s="40" t="s">
        <v>549</v>
      </c>
      <c r="I972" s="39" t="s">
        <v>320</v>
      </c>
      <c r="J972" s="43">
        <v>3776.56</v>
      </c>
      <c r="K972" s="43">
        <v>629.44000000000005</v>
      </c>
      <c r="L972" s="43">
        <v>3776.56</v>
      </c>
      <c r="M972" s="44">
        <v>629.44000000000005</v>
      </c>
      <c r="N972" s="44">
        <f t="shared" si="15"/>
        <v>3147.12</v>
      </c>
      <c r="O972" s="44">
        <v>3776.56</v>
      </c>
      <c r="P972" s="40" t="s">
        <v>3145</v>
      </c>
      <c r="Q972" s="40" t="s">
        <v>3146</v>
      </c>
      <c r="R972" s="40" t="s">
        <v>494</v>
      </c>
      <c r="S972" s="40" t="s">
        <v>502</v>
      </c>
      <c r="T972" s="40" t="s">
        <v>512</v>
      </c>
      <c r="U972" s="40" t="s">
        <v>3051</v>
      </c>
      <c r="V972" s="40"/>
      <c r="W972" s="40" t="s">
        <v>3147</v>
      </c>
    </row>
    <row r="973" spans="1:23" ht="12" x14ac:dyDescent="0.2">
      <c r="A973" s="39" t="s">
        <v>40</v>
      </c>
      <c r="B973" s="40" t="s">
        <v>456</v>
      </c>
      <c r="C973" s="40" t="s">
        <v>5890</v>
      </c>
      <c r="D973" s="41">
        <v>46045</v>
      </c>
      <c r="E973" s="41">
        <v>46075</v>
      </c>
      <c r="F973" s="41">
        <v>46091</v>
      </c>
      <c r="G973" s="42">
        <v>16</v>
      </c>
      <c r="H973" s="40" t="s">
        <v>549</v>
      </c>
      <c r="I973" s="39" t="s">
        <v>320</v>
      </c>
      <c r="J973" s="43">
        <v>9979.27</v>
      </c>
      <c r="K973" s="43">
        <v>0</v>
      </c>
      <c r="L973" s="43">
        <v>9979.27</v>
      </c>
      <c r="M973" s="44">
        <v>0</v>
      </c>
      <c r="N973" s="44">
        <f t="shared" si="15"/>
        <v>9979.27</v>
      </c>
      <c r="O973" s="44">
        <v>9979.27</v>
      </c>
      <c r="P973" s="40" t="s">
        <v>5891</v>
      </c>
      <c r="Q973" s="40" t="s">
        <v>5892</v>
      </c>
      <c r="R973" s="40" t="s">
        <v>494</v>
      </c>
      <c r="S973" s="40" t="s">
        <v>502</v>
      </c>
      <c r="T973" s="40" t="s">
        <v>219</v>
      </c>
      <c r="U973" s="40" t="s">
        <v>5893</v>
      </c>
      <c r="V973" s="40"/>
      <c r="W973" s="40" t="s">
        <v>5894</v>
      </c>
    </row>
    <row r="974" spans="1:23" ht="12" x14ac:dyDescent="0.2">
      <c r="A974" s="39" t="s">
        <v>337</v>
      </c>
      <c r="B974" s="40" t="s">
        <v>336</v>
      </c>
      <c r="C974" s="40" t="s">
        <v>5895</v>
      </c>
      <c r="D974" s="41">
        <v>46045</v>
      </c>
      <c r="E974" s="41">
        <v>46075</v>
      </c>
      <c r="F974" s="41">
        <v>46091</v>
      </c>
      <c r="G974" s="42">
        <v>16</v>
      </c>
      <c r="H974" s="40" t="s">
        <v>549</v>
      </c>
      <c r="I974" s="39" t="s">
        <v>320</v>
      </c>
      <c r="J974" s="43">
        <v>-45.5</v>
      </c>
      <c r="K974" s="43">
        <v>0</v>
      </c>
      <c r="L974" s="43">
        <v>-45.5</v>
      </c>
      <c r="M974" s="44">
        <v>0</v>
      </c>
      <c r="N974" s="44">
        <f t="shared" si="15"/>
        <v>-45.5</v>
      </c>
      <c r="O974" s="44">
        <v>-45.5</v>
      </c>
      <c r="P974" s="40" t="s">
        <v>1746</v>
      </c>
      <c r="Q974" s="40" t="s">
        <v>1747</v>
      </c>
      <c r="R974" s="40" t="s">
        <v>494</v>
      </c>
      <c r="S974" s="40" t="s">
        <v>502</v>
      </c>
      <c r="T974" s="40" t="s">
        <v>289</v>
      </c>
      <c r="U974" s="40" t="s">
        <v>5529</v>
      </c>
      <c r="V974" s="40" t="s">
        <v>3880</v>
      </c>
      <c r="W974" s="40" t="s">
        <v>1749</v>
      </c>
    </row>
    <row r="975" spans="1:23" ht="12" x14ac:dyDescent="0.2">
      <c r="A975" s="39" t="s">
        <v>2178</v>
      </c>
      <c r="B975" s="40" t="s">
        <v>2179</v>
      </c>
      <c r="C975" s="40" t="s">
        <v>5896</v>
      </c>
      <c r="D975" s="41">
        <v>46045</v>
      </c>
      <c r="E975" s="41">
        <v>46075</v>
      </c>
      <c r="F975" s="41">
        <v>46091</v>
      </c>
      <c r="G975" s="42">
        <v>16</v>
      </c>
      <c r="H975" s="40" t="s">
        <v>549</v>
      </c>
      <c r="I975" s="39" t="s">
        <v>320</v>
      </c>
      <c r="J975" s="43">
        <v>-556.25</v>
      </c>
      <c r="K975" s="43">
        <v>0</v>
      </c>
      <c r="L975" s="43">
        <v>-556.25</v>
      </c>
      <c r="M975" s="44">
        <v>0</v>
      </c>
      <c r="N975" s="44">
        <f t="shared" si="15"/>
        <v>-556.25</v>
      </c>
      <c r="O975" s="44">
        <v>-556.25</v>
      </c>
      <c r="P975" s="40" t="s">
        <v>5404</v>
      </c>
      <c r="Q975" s="40" t="s">
        <v>5405</v>
      </c>
      <c r="R975" s="40" t="s">
        <v>494</v>
      </c>
      <c r="S975" s="40" t="s">
        <v>502</v>
      </c>
      <c r="T975" s="40" t="s">
        <v>218</v>
      </c>
      <c r="U975" s="40" t="s">
        <v>2919</v>
      </c>
      <c r="V975" s="40"/>
      <c r="W975" s="40" t="s">
        <v>5406</v>
      </c>
    </row>
    <row r="976" spans="1:23" ht="12" x14ac:dyDescent="0.2">
      <c r="A976" s="39" t="s">
        <v>2178</v>
      </c>
      <c r="B976" s="40" t="s">
        <v>2179</v>
      </c>
      <c r="C976" s="40" t="s">
        <v>5897</v>
      </c>
      <c r="D976" s="41">
        <v>46045</v>
      </c>
      <c r="E976" s="41">
        <v>46075</v>
      </c>
      <c r="F976" s="41">
        <v>46091</v>
      </c>
      <c r="G976" s="42">
        <v>16</v>
      </c>
      <c r="H976" s="40" t="s">
        <v>549</v>
      </c>
      <c r="I976" s="39" t="s">
        <v>320</v>
      </c>
      <c r="J976" s="43">
        <v>1006.69</v>
      </c>
      <c r="K976" s="43">
        <v>0</v>
      </c>
      <c r="L976" s="43">
        <v>1006.69</v>
      </c>
      <c r="M976" s="44">
        <v>0</v>
      </c>
      <c r="N976" s="44">
        <f t="shared" si="15"/>
        <v>1006.69</v>
      </c>
      <c r="O976" s="44">
        <v>1006.69</v>
      </c>
      <c r="P976" s="40" t="s">
        <v>5482</v>
      </c>
      <c r="Q976" s="40" t="s">
        <v>5483</v>
      </c>
      <c r="R976" s="40" t="s">
        <v>494</v>
      </c>
      <c r="S976" s="40" t="s">
        <v>502</v>
      </c>
      <c r="T976" s="40" t="s">
        <v>222</v>
      </c>
      <c r="U976" s="40" t="s">
        <v>5484</v>
      </c>
      <c r="V976" s="40"/>
      <c r="W976" s="40" t="s">
        <v>5485</v>
      </c>
    </row>
    <row r="977" spans="1:23" ht="12" x14ac:dyDescent="0.2">
      <c r="A977" s="39" t="s">
        <v>3513</v>
      </c>
      <c r="B977" s="40" t="s">
        <v>3514</v>
      </c>
      <c r="C977" s="40" t="s">
        <v>5898</v>
      </c>
      <c r="D977" s="41">
        <v>46045</v>
      </c>
      <c r="E977" s="41">
        <v>46075</v>
      </c>
      <c r="F977" s="41">
        <v>46091</v>
      </c>
      <c r="G977" s="42">
        <v>16</v>
      </c>
      <c r="H977" s="40" t="s">
        <v>549</v>
      </c>
      <c r="I977" s="39" t="s">
        <v>323</v>
      </c>
      <c r="J977" s="43">
        <v>10936.18</v>
      </c>
      <c r="K977" s="43">
        <v>0</v>
      </c>
      <c r="L977" s="43">
        <v>10936.18</v>
      </c>
      <c r="M977" s="44">
        <v>0</v>
      </c>
      <c r="N977" s="44">
        <f t="shared" si="15"/>
        <v>7542.19</v>
      </c>
      <c r="O977" s="44">
        <v>7542.19</v>
      </c>
      <c r="P977" s="40" t="s">
        <v>3515</v>
      </c>
      <c r="Q977" s="40" t="s">
        <v>3516</v>
      </c>
      <c r="R977" s="40" t="s">
        <v>494</v>
      </c>
      <c r="S977" s="40" t="s">
        <v>495</v>
      </c>
      <c r="T977" s="40" t="s">
        <v>287</v>
      </c>
      <c r="U977" s="40" t="s">
        <v>2937</v>
      </c>
      <c r="V977" s="40"/>
      <c r="W977" s="40" t="s">
        <v>3517</v>
      </c>
    </row>
    <row r="978" spans="1:23" ht="12" x14ac:dyDescent="0.2">
      <c r="A978" s="39" t="s">
        <v>299</v>
      </c>
      <c r="B978" s="40" t="s">
        <v>3876</v>
      </c>
      <c r="C978" s="40" t="s">
        <v>5899</v>
      </c>
      <c r="D978" s="41">
        <v>46045</v>
      </c>
      <c r="E978" s="41">
        <v>46075</v>
      </c>
      <c r="F978" s="41">
        <v>46091</v>
      </c>
      <c r="G978" s="42">
        <v>16</v>
      </c>
      <c r="H978" s="40" t="s">
        <v>549</v>
      </c>
      <c r="I978" s="39" t="s">
        <v>320</v>
      </c>
      <c r="J978" s="43">
        <v>571.39</v>
      </c>
      <c r="K978" s="43">
        <v>0</v>
      </c>
      <c r="L978" s="43">
        <v>571.39</v>
      </c>
      <c r="M978" s="44">
        <v>0</v>
      </c>
      <c r="N978" s="44">
        <f t="shared" si="15"/>
        <v>571.39</v>
      </c>
      <c r="O978" s="44">
        <v>571.39</v>
      </c>
      <c r="P978" s="40" t="s">
        <v>5900</v>
      </c>
      <c r="Q978" s="40" t="s">
        <v>5901</v>
      </c>
      <c r="R978" s="40" t="s">
        <v>494</v>
      </c>
      <c r="S978" s="40" t="s">
        <v>502</v>
      </c>
      <c r="T978" s="40" t="s">
        <v>169</v>
      </c>
      <c r="U978" s="40" t="s">
        <v>5902</v>
      </c>
      <c r="V978" s="40"/>
      <c r="W978" s="40" t="s">
        <v>5903</v>
      </c>
    </row>
    <row r="979" spans="1:23" ht="12" x14ac:dyDescent="0.2">
      <c r="A979" s="39" t="s">
        <v>5904</v>
      </c>
      <c r="B979" s="40" t="s">
        <v>5905</v>
      </c>
      <c r="C979" s="40" t="s">
        <v>5906</v>
      </c>
      <c r="D979" s="41">
        <v>46045</v>
      </c>
      <c r="E979" s="41">
        <v>46075</v>
      </c>
      <c r="F979" s="41">
        <v>46091</v>
      </c>
      <c r="G979" s="42">
        <v>16</v>
      </c>
      <c r="H979" s="40" t="s">
        <v>549</v>
      </c>
      <c r="I979" s="39" t="s">
        <v>323</v>
      </c>
      <c r="J979" s="43">
        <v>437925.61</v>
      </c>
      <c r="K979" s="43">
        <v>0</v>
      </c>
      <c r="L979" s="43">
        <v>437925.61</v>
      </c>
      <c r="M979" s="44">
        <v>0</v>
      </c>
      <c r="N979" s="44">
        <f t="shared" si="15"/>
        <v>324389.34000000003</v>
      </c>
      <c r="O979" s="44">
        <v>324389.34000000003</v>
      </c>
      <c r="P979" s="40" t="s">
        <v>5907</v>
      </c>
      <c r="Q979" s="40" t="s">
        <v>5908</v>
      </c>
      <c r="R979" s="40" t="s">
        <v>494</v>
      </c>
      <c r="S979" s="40" t="s">
        <v>502</v>
      </c>
      <c r="T979" s="40" t="s">
        <v>284</v>
      </c>
      <c r="U979" s="40" t="s">
        <v>2608</v>
      </c>
      <c r="V979" s="40"/>
      <c r="W979" s="40" t="s">
        <v>5909</v>
      </c>
    </row>
    <row r="980" spans="1:23" ht="12" x14ac:dyDescent="0.2">
      <c r="A980" s="39" t="s">
        <v>5704</v>
      </c>
      <c r="B980" s="40" t="s">
        <v>5705</v>
      </c>
      <c r="C980" s="40" t="s">
        <v>5910</v>
      </c>
      <c r="D980" s="41">
        <v>46045</v>
      </c>
      <c r="E980" s="41">
        <v>46075</v>
      </c>
      <c r="F980" s="41">
        <v>46091</v>
      </c>
      <c r="G980" s="42">
        <v>16</v>
      </c>
      <c r="H980" s="40" t="s">
        <v>549</v>
      </c>
      <c r="I980" s="39" t="s">
        <v>320</v>
      </c>
      <c r="J980" s="43">
        <v>43195.18</v>
      </c>
      <c r="K980" s="43">
        <v>0</v>
      </c>
      <c r="L980" s="43">
        <v>43195.18</v>
      </c>
      <c r="M980" s="44">
        <v>0</v>
      </c>
      <c r="N980" s="44">
        <f t="shared" si="15"/>
        <v>43195.18</v>
      </c>
      <c r="O980" s="44">
        <v>43195.18</v>
      </c>
      <c r="P980" s="40" t="s">
        <v>5911</v>
      </c>
      <c r="Q980" s="40" t="s">
        <v>5912</v>
      </c>
      <c r="R980" s="40" t="s">
        <v>494</v>
      </c>
      <c r="S980" s="40" t="s">
        <v>502</v>
      </c>
      <c r="T980" s="40" t="s">
        <v>218</v>
      </c>
      <c r="U980" s="40" t="s">
        <v>1157</v>
      </c>
      <c r="V980" s="40"/>
      <c r="W980" s="40" t="s">
        <v>5913</v>
      </c>
    </row>
    <row r="981" spans="1:23" ht="12" x14ac:dyDescent="0.2">
      <c r="A981" s="39" t="s">
        <v>2178</v>
      </c>
      <c r="B981" s="40" t="s">
        <v>2179</v>
      </c>
      <c r="C981" s="40" t="s">
        <v>5914</v>
      </c>
      <c r="D981" s="41">
        <v>46045</v>
      </c>
      <c r="E981" s="41">
        <v>46075</v>
      </c>
      <c r="F981" s="41">
        <v>46091</v>
      </c>
      <c r="G981" s="42">
        <v>16</v>
      </c>
      <c r="H981" s="40" t="s">
        <v>549</v>
      </c>
      <c r="I981" s="39" t="s">
        <v>320</v>
      </c>
      <c r="J981" s="43">
        <v>15428.48</v>
      </c>
      <c r="K981" s="43">
        <v>0</v>
      </c>
      <c r="L981" s="43">
        <v>11071.2</v>
      </c>
      <c r="M981" s="44">
        <v>0</v>
      </c>
      <c r="N981" s="44">
        <f t="shared" si="15"/>
        <v>11071.2</v>
      </c>
      <c r="O981" s="44">
        <v>11071.2</v>
      </c>
      <c r="P981" s="40" t="s">
        <v>5915</v>
      </c>
      <c r="Q981" s="40" t="s">
        <v>5916</v>
      </c>
      <c r="R981" s="40" t="s">
        <v>494</v>
      </c>
      <c r="S981" s="40" t="s">
        <v>502</v>
      </c>
      <c r="T981" s="40" t="s">
        <v>218</v>
      </c>
      <c r="U981" s="40" t="s">
        <v>557</v>
      </c>
      <c r="V981" s="40"/>
      <c r="W981" s="40" t="s">
        <v>5917</v>
      </c>
    </row>
    <row r="982" spans="1:23" ht="12" x14ac:dyDescent="0.2">
      <c r="A982" s="39" t="s">
        <v>31</v>
      </c>
      <c r="B982" s="40" t="s">
        <v>353</v>
      </c>
      <c r="C982" s="40" t="s">
        <v>5918</v>
      </c>
      <c r="D982" s="41">
        <v>46045</v>
      </c>
      <c r="E982" s="41">
        <v>46075</v>
      </c>
      <c r="F982" s="41">
        <v>46091</v>
      </c>
      <c r="G982" s="42">
        <v>16</v>
      </c>
      <c r="H982" s="40" t="s">
        <v>549</v>
      </c>
      <c r="I982" s="39" t="s">
        <v>320</v>
      </c>
      <c r="J982" s="43">
        <v>104792.36</v>
      </c>
      <c r="K982" s="43">
        <v>0</v>
      </c>
      <c r="L982" s="43">
        <v>104792.36</v>
      </c>
      <c r="M982" s="44">
        <v>0</v>
      </c>
      <c r="N982" s="44">
        <f t="shared" si="15"/>
        <v>104792.36</v>
      </c>
      <c r="O982" s="44">
        <v>104792.36</v>
      </c>
      <c r="P982" s="40" t="s">
        <v>5919</v>
      </c>
      <c r="Q982" s="40" t="s">
        <v>5920</v>
      </c>
      <c r="R982" s="40" t="s">
        <v>494</v>
      </c>
      <c r="S982" s="40" t="s">
        <v>495</v>
      </c>
      <c r="T982" s="40" t="s">
        <v>218</v>
      </c>
      <c r="U982" s="40" t="s">
        <v>2919</v>
      </c>
      <c r="V982" s="40"/>
      <c r="W982" s="40" t="s">
        <v>5921</v>
      </c>
    </row>
    <row r="983" spans="1:23" ht="12" x14ac:dyDescent="0.2">
      <c r="A983" s="39" t="s">
        <v>53</v>
      </c>
      <c r="B983" s="40" t="s">
        <v>331</v>
      </c>
      <c r="C983" s="40" t="s">
        <v>5922</v>
      </c>
      <c r="D983" s="41">
        <v>46045</v>
      </c>
      <c r="E983" s="41">
        <v>46075</v>
      </c>
      <c r="F983" s="41">
        <v>46091</v>
      </c>
      <c r="G983" s="42">
        <v>16</v>
      </c>
      <c r="H983" s="40" t="s">
        <v>549</v>
      </c>
      <c r="I983" s="39" t="s">
        <v>320</v>
      </c>
      <c r="J983" s="43">
        <v>-47533.97</v>
      </c>
      <c r="K983" s="43">
        <v>0</v>
      </c>
      <c r="L983" s="43">
        <v>-47533.97</v>
      </c>
      <c r="M983" s="44">
        <v>0</v>
      </c>
      <c r="N983" s="44">
        <f t="shared" si="15"/>
        <v>-47533.97</v>
      </c>
      <c r="O983" s="44">
        <v>-47533.97</v>
      </c>
      <c r="P983" s="40" t="s">
        <v>5923</v>
      </c>
      <c r="Q983" s="40" t="s">
        <v>5924</v>
      </c>
      <c r="R983" s="40" t="s">
        <v>494</v>
      </c>
      <c r="S983" s="40" t="s">
        <v>495</v>
      </c>
      <c r="T983" s="40" t="s">
        <v>165</v>
      </c>
      <c r="U983" s="40" t="s">
        <v>5663</v>
      </c>
      <c r="V983" s="40"/>
      <c r="W983" s="40" t="s">
        <v>5925</v>
      </c>
    </row>
    <row r="984" spans="1:23" ht="12" x14ac:dyDescent="0.2">
      <c r="A984" s="39" t="s">
        <v>318</v>
      </c>
      <c r="B984" s="40" t="s">
        <v>317</v>
      </c>
      <c r="C984" s="40" t="s">
        <v>5926</v>
      </c>
      <c r="D984" s="41">
        <v>46045</v>
      </c>
      <c r="E984" s="41">
        <v>46075</v>
      </c>
      <c r="F984" s="41">
        <v>46091</v>
      </c>
      <c r="G984" s="42">
        <v>16</v>
      </c>
      <c r="H984" s="40" t="s">
        <v>549</v>
      </c>
      <c r="I984" s="39" t="s">
        <v>320</v>
      </c>
      <c r="J984" s="43">
        <v>25000</v>
      </c>
      <c r="K984" s="43">
        <v>0</v>
      </c>
      <c r="L984" s="43">
        <v>25000</v>
      </c>
      <c r="M984" s="44">
        <v>0</v>
      </c>
      <c r="N984" s="44">
        <f t="shared" si="15"/>
        <v>25000</v>
      </c>
      <c r="O984" s="44">
        <v>25000</v>
      </c>
      <c r="P984" s="40" t="s">
        <v>319</v>
      </c>
      <c r="Q984" s="40" t="s">
        <v>546</v>
      </c>
      <c r="R984" s="40" t="s">
        <v>494</v>
      </c>
      <c r="S984" s="40" t="s">
        <v>502</v>
      </c>
      <c r="T984" s="40" t="s">
        <v>547</v>
      </c>
      <c r="U984" s="40" t="s">
        <v>5927</v>
      </c>
      <c r="V984" s="40" t="s">
        <v>5928</v>
      </c>
      <c r="W984" s="40"/>
    </row>
    <row r="985" spans="1:23" ht="12" x14ac:dyDescent="0.2">
      <c r="A985" s="39" t="s">
        <v>71</v>
      </c>
      <c r="B985" s="40" t="s">
        <v>458</v>
      </c>
      <c r="C985" s="40" t="s">
        <v>5929</v>
      </c>
      <c r="D985" s="41">
        <v>46045</v>
      </c>
      <c r="E985" s="41">
        <v>46075</v>
      </c>
      <c r="F985" s="41">
        <v>46091</v>
      </c>
      <c r="G985" s="42">
        <v>16</v>
      </c>
      <c r="H985" s="40" t="s">
        <v>549</v>
      </c>
      <c r="I985" s="39" t="s">
        <v>320</v>
      </c>
      <c r="J985" s="43">
        <v>-14440.68</v>
      </c>
      <c r="K985" s="43">
        <v>0</v>
      </c>
      <c r="L985" s="43">
        <v>-14440.68</v>
      </c>
      <c r="M985" s="44">
        <v>0</v>
      </c>
      <c r="N985" s="44">
        <f t="shared" si="15"/>
        <v>-14440.68</v>
      </c>
      <c r="O985" s="44">
        <v>-14440.68</v>
      </c>
      <c r="P985" s="40" t="s">
        <v>5930</v>
      </c>
      <c r="Q985" s="40" t="s">
        <v>5931</v>
      </c>
      <c r="R985" s="40" t="s">
        <v>494</v>
      </c>
      <c r="S985" s="40" t="s">
        <v>502</v>
      </c>
      <c r="T985" s="40" t="s">
        <v>305</v>
      </c>
      <c r="U985" s="40" t="s">
        <v>5932</v>
      </c>
      <c r="V985" s="40"/>
      <c r="W985" s="40" t="s">
        <v>5933</v>
      </c>
    </row>
    <row r="986" spans="1:23" ht="12" x14ac:dyDescent="0.2">
      <c r="A986" s="39" t="s">
        <v>16</v>
      </c>
      <c r="B986" s="40" t="s">
        <v>414</v>
      </c>
      <c r="C986" s="40" t="s">
        <v>5934</v>
      </c>
      <c r="D986" s="41">
        <v>46046</v>
      </c>
      <c r="E986" s="41">
        <v>46076</v>
      </c>
      <c r="F986" s="41">
        <v>46091</v>
      </c>
      <c r="G986" s="42">
        <v>15</v>
      </c>
      <c r="H986" s="40" t="s">
        <v>549</v>
      </c>
      <c r="I986" s="39" t="s">
        <v>320</v>
      </c>
      <c r="J986" s="43">
        <v>13344.8</v>
      </c>
      <c r="K986" s="43">
        <v>0</v>
      </c>
      <c r="L986" s="43">
        <v>13344.8</v>
      </c>
      <c r="M986" s="44">
        <v>0</v>
      </c>
      <c r="N986" s="44">
        <f t="shared" si="15"/>
        <v>13344.8</v>
      </c>
      <c r="O986" s="44">
        <v>13344.8</v>
      </c>
      <c r="P986" s="40" t="s">
        <v>3342</v>
      </c>
      <c r="Q986" s="40" t="s">
        <v>3343</v>
      </c>
      <c r="R986" s="40" t="s">
        <v>494</v>
      </c>
      <c r="S986" s="40" t="s">
        <v>502</v>
      </c>
      <c r="T986" s="40" t="s">
        <v>198</v>
      </c>
      <c r="U986" s="40" t="s">
        <v>2196</v>
      </c>
      <c r="V986" s="40"/>
      <c r="W986" s="40" t="s">
        <v>3052</v>
      </c>
    </row>
    <row r="987" spans="1:23" ht="12" x14ac:dyDescent="0.2">
      <c r="A987" s="39" t="s">
        <v>5935</v>
      </c>
      <c r="B987" s="40" t="s">
        <v>5936</v>
      </c>
      <c r="C987" s="40" t="s">
        <v>5937</v>
      </c>
      <c r="D987" s="41">
        <v>46048</v>
      </c>
      <c r="E987" s="41">
        <v>46078</v>
      </c>
      <c r="F987" s="41">
        <v>46091</v>
      </c>
      <c r="G987" s="42">
        <v>13</v>
      </c>
      <c r="H987" s="40" t="s">
        <v>549</v>
      </c>
      <c r="I987" s="39" t="s">
        <v>320</v>
      </c>
      <c r="J987" s="43">
        <v>215000</v>
      </c>
      <c r="K987" s="43">
        <v>0</v>
      </c>
      <c r="L987" s="43">
        <v>215000</v>
      </c>
      <c r="M987" s="44">
        <v>0</v>
      </c>
      <c r="N987" s="44">
        <f t="shared" si="15"/>
        <v>215000</v>
      </c>
      <c r="O987" s="44">
        <v>215000</v>
      </c>
      <c r="P987" s="40" t="s">
        <v>5938</v>
      </c>
      <c r="Q987" s="40" t="s">
        <v>5939</v>
      </c>
      <c r="R987" s="40" t="s">
        <v>494</v>
      </c>
      <c r="S987" s="40" t="s">
        <v>502</v>
      </c>
      <c r="T987" s="40" t="s">
        <v>514</v>
      </c>
      <c r="U987" s="40" t="s">
        <v>649</v>
      </c>
      <c r="V987" s="40"/>
      <c r="W987" s="40" t="s">
        <v>321</v>
      </c>
    </row>
    <row r="988" spans="1:23" ht="12" x14ac:dyDescent="0.2">
      <c r="A988" s="39" t="s">
        <v>1274</v>
      </c>
      <c r="B988" s="40" t="s">
        <v>1275</v>
      </c>
      <c r="C988" s="40" t="s">
        <v>5940</v>
      </c>
      <c r="D988" s="41">
        <v>46048</v>
      </c>
      <c r="E988" s="41">
        <v>46078</v>
      </c>
      <c r="F988" s="41">
        <v>46091</v>
      </c>
      <c r="G988" s="42">
        <v>13</v>
      </c>
      <c r="H988" s="40" t="s">
        <v>549</v>
      </c>
      <c r="I988" s="39" t="s">
        <v>320</v>
      </c>
      <c r="J988" s="43">
        <v>19101.830000000002</v>
      </c>
      <c r="K988" s="43">
        <v>0</v>
      </c>
      <c r="L988" s="43">
        <v>19101.830000000002</v>
      </c>
      <c r="M988" s="44">
        <v>0</v>
      </c>
      <c r="N988" s="44">
        <f t="shared" si="15"/>
        <v>19101.830000000002</v>
      </c>
      <c r="O988" s="44">
        <v>19101.830000000002</v>
      </c>
      <c r="P988" s="40" t="s">
        <v>2003</v>
      </c>
      <c r="Q988" s="40" t="s">
        <v>2004</v>
      </c>
      <c r="R988" s="40" t="s">
        <v>494</v>
      </c>
      <c r="S988" s="40" t="s">
        <v>502</v>
      </c>
      <c r="T988" s="40" t="s">
        <v>330</v>
      </c>
      <c r="U988" s="40" t="s">
        <v>2005</v>
      </c>
      <c r="V988" s="40"/>
      <c r="W988" s="40" t="s">
        <v>2006</v>
      </c>
    </row>
    <row r="989" spans="1:23" ht="12" x14ac:dyDescent="0.2">
      <c r="A989" s="39" t="s">
        <v>16</v>
      </c>
      <c r="B989" s="40" t="s">
        <v>414</v>
      </c>
      <c r="C989" s="40" t="s">
        <v>5941</v>
      </c>
      <c r="D989" s="41">
        <v>46048</v>
      </c>
      <c r="E989" s="41">
        <v>46078</v>
      </c>
      <c r="F989" s="41">
        <v>46091</v>
      </c>
      <c r="G989" s="42">
        <v>13</v>
      </c>
      <c r="H989" s="40" t="s">
        <v>549</v>
      </c>
      <c r="I989" s="39" t="s">
        <v>320</v>
      </c>
      <c r="J989" s="43">
        <v>13160.81</v>
      </c>
      <c r="K989" s="43">
        <v>0</v>
      </c>
      <c r="L989" s="43">
        <v>13160.81</v>
      </c>
      <c r="M989" s="44">
        <v>0</v>
      </c>
      <c r="N989" s="44">
        <f t="shared" si="15"/>
        <v>13160.81</v>
      </c>
      <c r="O989" s="44">
        <v>13160.81</v>
      </c>
      <c r="P989" s="40" t="s">
        <v>3342</v>
      </c>
      <c r="Q989" s="40" t="s">
        <v>3343</v>
      </c>
      <c r="R989" s="40" t="s">
        <v>494</v>
      </c>
      <c r="S989" s="40" t="s">
        <v>502</v>
      </c>
      <c r="T989" s="40" t="s">
        <v>198</v>
      </c>
      <c r="U989" s="40" t="s">
        <v>2196</v>
      </c>
      <c r="V989" s="40"/>
      <c r="W989" s="40" t="s">
        <v>3052</v>
      </c>
    </row>
    <row r="990" spans="1:23" ht="12" x14ac:dyDescent="0.2">
      <c r="A990" s="39" t="s">
        <v>3216</v>
      </c>
      <c r="B990" s="40" t="s">
        <v>3217</v>
      </c>
      <c r="C990" s="40" t="s">
        <v>5942</v>
      </c>
      <c r="D990" s="41">
        <v>46048</v>
      </c>
      <c r="E990" s="41">
        <v>46078</v>
      </c>
      <c r="F990" s="41">
        <v>46091</v>
      </c>
      <c r="G990" s="42">
        <v>13</v>
      </c>
      <c r="H990" s="40" t="s">
        <v>549</v>
      </c>
      <c r="I990" s="39" t="s">
        <v>392</v>
      </c>
      <c r="J990" s="43">
        <v>22412.01</v>
      </c>
      <c r="K990" s="43">
        <v>0</v>
      </c>
      <c r="L990" s="43">
        <v>22412.01</v>
      </c>
      <c r="M990" s="44">
        <v>0</v>
      </c>
      <c r="N990" s="44">
        <f t="shared" si="15"/>
        <v>11378.62</v>
      </c>
      <c r="O990" s="44">
        <v>11378.62</v>
      </c>
      <c r="P990" s="40" t="s">
        <v>3218</v>
      </c>
      <c r="Q990" s="40" t="s">
        <v>3219</v>
      </c>
      <c r="R990" s="40" t="s">
        <v>494</v>
      </c>
      <c r="S990" s="40" t="s">
        <v>502</v>
      </c>
      <c r="T990" s="40" t="s">
        <v>330</v>
      </c>
      <c r="U990" s="40" t="s">
        <v>3220</v>
      </c>
      <c r="V990" s="40" t="s">
        <v>5801</v>
      </c>
      <c r="W990" s="40" t="s">
        <v>4412</v>
      </c>
    </row>
    <row r="991" spans="1:23" ht="12" x14ac:dyDescent="0.2">
      <c r="A991" s="39" t="s">
        <v>412</v>
      </c>
      <c r="B991" s="40" t="s">
        <v>411</v>
      </c>
      <c r="C991" s="40" t="s">
        <v>5943</v>
      </c>
      <c r="D991" s="41">
        <v>46048</v>
      </c>
      <c r="E991" s="41">
        <v>46078</v>
      </c>
      <c r="F991" s="41">
        <v>46091</v>
      </c>
      <c r="G991" s="42">
        <v>13</v>
      </c>
      <c r="H991" s="40" t="s">
        <v>549</v>
      </c>
      <c r="I991" s="39" t="s">
        <v>320</v>
      </c>
      <c r="J991" s="43">
        <v>82148.160000000003</v>
      </c>
      <c r="K991" s="43">
        <v>0</v>
      </c>
      <c r="L991" s="43">
        <v>82148.160000000003</v>
      </c>
      <c r="M991" s="44">
        <v>0</v>
      </c>
      <c r="N991" s="44">
        <f t="shared" si="15"/>
        <v>82148.160000000003</v>
      </c>
      <c r="O991" s="44">
        <v>82148.160000000003</v>
      </c>
      <c r="P991" s="40" t="s">
        <v>3056</v>
      </c>
      <c r="Q991" s="40" t="s">
        <v>3057</v>
      </c>
      <c r="R991" s="40" t="s">
        <v>494</v>
      </c>
      <c r="S991" s="40" t="s">
        <v>502</v>
      </c>
      <c r="T991" s="40" t="s">
        <v>191</v>
      </c>
      <c r="U991" s="40" t="s">
        <v>3058</v>
      </c>
      <c r="V991" s="40"/>
      <c r="W991" s="40" t="s">
        <v>5944</v>
      </c>
    </row>
    <row r="992" spans="1:23" ht="12" x14ac:dyDescent="0.2">
      <c r="A992" s="39" t="s">
        <v>5945</v>
      </c>
      <c r="B992" s="40" t="s">
        <v>5946</v>
      </c>
      <c r="C992" s="40" t="s">
        <v>5947</v>
      </c>
      <c r="D992" s="41">
        <v>46048</v>
      </c>
      <c r="E992" s="41">
        <v>46078</v>
      </c>
      <c r="F992" s="41">
        <v>46091</v>
      </c>
      <c r="G992" s="42">
        <v>13</v>
      </c>
      <c r="H992" s="40" t="s">
        <v>549</v>
      </c>
      <c r="I992" s="39" t="s">
        <v>320</v>
      </c>
      <c r="J992" s="43">
        <v>147003.38</v>
      </c>
      <c r="K992" s="43">
        <v>0</v>
      </c>
      <c r="L992" s="43">
        <v>147003.38</v>
      </c>
      <c r="M992" s="44">
        <v>0</v>
      </c>
      <c r="N992" s="44">
        <f t="shared" si="15"/>
        <v>147003.38</v>
      </c>
      <c r="O992" s="44">
        <v>147003.38</v>
      </c>
      <c r="P992" s="40" t="s">
        <v>5948</v>
      </c>
      <c r="Q992" s="40" t="s">
        <v>5949</v>
      </c>
      <c r="R992" s="40" t="s">
        <v>494</v>
      </c>
      <c r="S992" s="40" t="s">
        <v>502</v>
      </c>
      <c r="T992" s="40" t="s">
        <v>512</v>
      </c>
      <c r="U992" s="40" t="s">
        <v>822</v>
      </c>
      <c r="V992" s="40"/>
      <c r="W992" s="40" t="s">
        <v>321</v>
      </c>
    </row>
    <row r="993" spans="1:23" ht="12" x14ac:dyDescent="0.2">
      <c r="A993" s="39" t="s">
        <v>5950</v>
      </c>
      <c r="B993" s="40" t="s">
        <v>5951</v>
      </c>
      <c r="C993" s="40" t="s">
        <v>5952</v>
      </c>
      <c r="D993" s="41">
        <v>46048</v>
      </c>
      <c r="E993" s="41">
        <v>46078</v>
      </c>
      <c r="F993" s="41">
        <v>46091</v>
      </c>
      <c r="G993" s="42">
        <v>13</v>
      </c>
      <c r="H993" s="40" t="s">
        <v>549</v>
      </c>
      <c r="I993" s="39" t="s">
        <v>323</v>
      </c>
      <c r="J993" s="43">
        <v>15955.56</v>
      </c>
      <c r="K993" s="43">
        <v>0</v>
      </c>
      <c r="L993" s="43">
        <v>15955.56</v>
      </c>
      <c r="M993" s="44">
        <v>0</v>
      </c>
      <c r="N993" s="44">
        <f t="shared" si="15"/>
        <v>11818.93</v>
      </c>
      <c r="O993" s="44">
        <v>11818.93</v>
      </c>
      <c r="P993" s="40" t="s">
        <v>5953</v>
      </c>
      <c r="Q993" s="40" t="s">
        <v>5954</v>
      </c>
      <c r="R993" s="40" t="s">
        <v>494</v>
      </c>
      <c r="S993" s="40" t="s">
        <v>502</v>
      </c>
      <c r="T993" s="40" t="s">
        <v>178</v>
      </c>
      <c r="U993" s="40" t="s">
        <v>5179</v>
      </c>
      <c r="V993" s="40"/>
      <c r="W993" s="40" t="s">
        <v>321</v>
      </c>
    </row>
    <row r="994" spans="1:23" ht="12" x14ac:dyDescent="0.2">
      <c r="A994" s="39" t="s">
        <v>1237</v>
      </c>
      <c r="B994" s="40" t="s">
        <v>4901</v>
      </c>
      <c r="C994" s="40" t="s">
        <v>5955</v>
      </c>
      <c r="D994" s="41">
        <v>46048</v>
      </c>
      <c r="E994" s="41">
        <v>46078</v>
      </c>
      <c r="F994" s="41">
        <v>46091</v>
      </c>
      <c r="G994" s="42">
        <v>13</v>
      </c>
      <c r="H994" s="40" t="s">
        <v>549</v>
      </c>
      <c r="I994" s="39" t="s">
        <v>323</v>
      </c>
      <c r="J994" s="43">
        <v>60955.17</v>
      </c>
      <c r="K994" s="43">
        <v>0</v>
      </c>
      <c r="L994" s="43">
        <v>60955.17</v>
      </c>
      <c r="M994" s="44">
        <v>0</v>
      </c>
      <c r="N994" s="44">
        <f t="shared" si="15"/>
        <v>45151.98</v>
      </c>
      <c r="O994" s="44">
        <v>45151.98</v>
      </c>
      <c r="P994" s="40" t="s">
        <v>1236</v>
      </c>
      <c r="Q994" s="40" t="s">
        <v>5222</v>
      </c>
      <c r="R994" s="40" t="s">
        <v>494</v>
      </c>
      <c r="S994" s="40" t="s">
        <v>502</v>
      </c>
      <c r="T994" s="40" t="s">
        <v>330</v>
      </c>
      <c r="U994" s="40" t="s">
        <v>4090</v>
      </c>
      <c r="V994" s="40" t="s">
        <v>5956</v>
      </c>
      <c r="W994" s="40" t="s">
        <v>5224</v>
      </c>
    </row>
    <row r="995" spans="1:23" ht="12" x14ac:dyDescent="0.2">
      <c r="A995" s="39" t="s">
        <v>5957</v>
      </c>
      <c r="B995" s="40" t="s">
        <v>5958</v>
      </c>
      <c r="C995" s="40" t="s">
        <v>5959</v>
      </c>
      <c r="D995" s="41">
        <v>46048</v>
      </c>
      <c r="E995" s="41">
        <v>46078</v>
      </c>
      <c r="F995" s="41">
        <v>46091</v>
      </c>
      <c r="G995" s="42">
        <v>13</v>
      </c>
      <c r="H995" s="40" t="s">
        <v>549</v>
      </c>
      <c r="I995" s="39" t="s">
        <v>323</v>
      </c>
      <c r="J995" s="43">
        <v>9410.39</v>
      </c>
      <c r="K995" s="43">
        <v>0</v>
      </c>
      <c r="L995" s="43">
        <v>9410.39</v>
      </c>
      <c r="M995" s="44">
        <v>0</v>
      </c>
      <c r="N995" s="44">
        <f t="shared" si="15"/>
        <v>6970.66</v>
      </c>
      <c r="O995" s="44">
        <v>6970.66</v>
      </c>
      <c r="P995" s="40" t="s">
        <v>5960</v>
      </c>
      <c r="Q995" s="40" t="s">
        <v>5961</v>
      </c>
      <c r="R995" s="40" t="s">
        <v>494</v>
      </c>
      <c r="S995" s="40" t="s">
        <v>502</v>
      </c>
      <c r="T995" s="40" t="s">
        <v>512</v>
      </c>
      <c r="U995" s="40" t="s">
        <v>2144</v>
      </c>
      <c r="V995" s="40"/>
      <c r="W995" s="40" t="s">
        <v>5962</v>
      </c>
    </row>
    <row r="996" spans="1:23" ht="12" x14ac:dyDescent="0.2">
      <c r="A996" s="39" t="s">
        <v>719</v>
      </c>
      <c r="B996" s="40" t="s">
        <v>782</v>
      </c>
      <c r="C996" s="40" t="s">
        <v>5963</v>
      </c>
      <c r="D996" s="41">
        <v>46048</v>
      </c>
      <c r="E996" s="41">
        <v>46078</v>
      </c>
      <c r="F996" s="41">
        <v>46091</v>
      </c>
      <c r="G996" s="42">
        <v>13</v>
      </c>
      <c r="H996" s="40" t="s">
        <v>549</v>
      </c>
      <c r="I996" s="39" t="s">
        <v>320</v>
      </c>
      <c r="J996" s="43">
        <v>21735</v>
      </c>
      <c r="K996" s="43">
        <v>0</v>
      </c>
      <c r="L996" s="43">
        <v>21735</v>
      </c>
      <c r="M996" s="44">
        <v>0</v>
      </c>
      <c r="N996" s="44">
        <f t="shared" si="15"/>
        <v>21735</v>
      </c>
      <c r="O996" s="44">
        <v>21735</v>
      </c>
      <c r="P996" s="40" t="s">
        <v>5964</v>
      </c>
      <c r="Q996" s="40" t="s">
        <v>5965</v>
      </c>
      <c r="R996" s="40" t="s">
        <v>494</v>
      </c>
      <c r="S996" s="40" t="s">
        <v>502</v>
      </c>
      <c r="T996" s="40" t="s">
        <v>287</v>
      </c>
      <c r="U996" s="40" t="s">
        <v>3318</v>
      </c>
      <c r="V996" s="40" t="s">
        <v>5966</v>
      </c>
      <c r="W996" s="40" t="s">
        <v>5967</v>
      </c>
    </row>
    <row r="997" spans="1:23" ht="12" x14ac:dyDescent="0.2">
      <c r="A997" s="39" t="s">
        <v>2178</v>
      </c>
      <c r="B997" s="40" t="s">
        <v>2179</v>
      </c>
      <c r="C997" s="40" t="s">
        <v>5968</v>
      </c>
      <c r="D997" s="41">
        <v>46048</v>
      </c>
      <c r="E997" s="41">
        <v>46078</v>
      </c>
      <c r="F997" s="41">
        <v>46091</v>
      </c>
      <c r="G997" s="42">
        <v>13</v>
      </c>
      <c r="H997" s="40" t="s">
        <v>549</v>
      </c>
      <c r="I997" s="39" t="s">
        <v>320</v>
      </c>
      <c r="J997" s="43">
        <v>3235.12</v>
      </c>
      <c r="K997" s="43">
        <v>0</v>
      </c>
      <c r="L997" s="43">
        <v>3235.12</v>
      </c>
      <c r="M997" s="44">
        <v>0</v>
      </c>
      <c r="N997" s="44">
        <f t="shared" si="15"/>
        <v>3235.12</v>
      </c>
      <c r="O997" s="44">
        <v>3235.12</v>
      </c>
      <c r="P997" s="40" t="s">
        <v>5969</v>
      </c>
      <c r="Q997" s="40" t="s">
        <v>5970</v>
      </c>
      <c r="R997" s="40" t="s">
        <v>494</v>
      </c>
      <c r="S997" s="40" t="s">
        <v>502</v>
      </c>
      <c r="T997" s="40" t="s">
        <v>301</v>
      </c>
      <c r="U997" s="40" t="s">
        <v>5880</v>
      </c>
      <c r="V997" s="40"/>
      <c r="W997" s="40" t="s">
        <v>5971</v>
      </c>
    </row>
    <row r="998" spans="1:23" ht="12" x14ac:dyDescent="0.2">
      <c r="A998" s="39" t="s">
        <v>337</v>
      </c>
      <c r="B998" s="40" t="s">
        <v>336</v>
      </c>
      <c r="C998" s="40" t="s">
        <v>5972</v>
      </c>
      <c r="D998" s="41">
        <v>46048</v>
      </c>
      <c r="E998" s="41">
        <v>46078</v>
      </c>
      <c r="F998" s="41">
        <v>46091</v>
      </c>
      <c r="G998" s="42">
        <v>13</v>
      </c>
      <c r="H998" s="40" t="s">
        <v>549</v>
      </c>
      <c r="I998" s="39" t="s">
        <v>320</v>
      </c>
      <c r="J998" s="43">
        <v>15878.28</v>
      </c>
      <c r="K998" s="43">
        <v>0</v>
      </c>
      <c r="L998" s="43">
        <v>15878.28</v>
      </c>
      <c r="M998" s="44">
        <v>0</v>
      </c>
      <c r="N998" s="44">
        <f t="shared" si="15"/>
        <v>15878.28</v>
      </c>
      <c r="O998" s="44">
        <v>15878.28</v>
      </c>
      <c r="P998" s="40" t="s">
        <v>1307</v>
      </c>
      <c r="Q998" s="40" t="s">
        <v>1308</v>
      </c>
      <c r="R998" s="40" t="s">
        <v>494</v>
      </c>
      <c r="S998" s="40" t="s">
        <v>502</v>
      </c>
      <c r="T998" s="40" t="s">
        <v>289</v>
      </c>
      <c r="U998" s="40" t="s">
        <v>569</v>
      </c>
      <c r="V998" s="40"/>
      <c r="W998" s="40" t="s">
        <v>1309</v>
      </c>
    </row>
    <row r="999" spans="1:23" ht="12" x14ac:dyDescent="0.2">
      <c r="A999" s="39" t="s">
        <v>337</v>
      </c>
      <c r="B999" s="40" t="s">
        <v>336</v>
      </c>
      <c r="C999" s="40" t="s">
        <v>5973</v>
      </c>
      <c r="D999" s="41">
        <v>46048</v>
      </c>
      <c r="E999" s="41">
        <v>46078</v>
      </c>
      <c r="F999" s="41">
        <v>46091</v>
      </c>
      <c r="G999" s="42">
        <v>13</v>
      </c>
      <c r="H999" s="40" t="s">
        <v>549</v>
      </c>
      <c r="I999" s="39" t="s">
        <v>320</v>
      </c>
      <c r="J999" s="43">
        <v>41571.360000000001</v>
      </c>
      <c r="K999" s="43">
        <v>0</v>
      </c>
      <c r="L999" s="43">
        <v>41571.360000000001</v>
      </c>
      <c r="M999" s="44">
        <v>0</v>
      </c>
      <c r="N999" s="44">
        <f t="shared" si="15"/>
        <v>41571.360000000001</v>
      </c>
      <c r="O999" s="44">
        <v>41571.360000000001</v>
      </c>
      <c r="P999" s="40" t="s">
        <v>5974</v>
      </c>
      <c r="Q999" s="40" t="s">
        <v>5975</v>
      </c>
      <c r="R999" s="40" t="s">
        <v>494</v>
      </c>
      <c r="S999" s="40" t="s">
        <v>502</v>
      </c>
      <c r="T999" s="40" t="s">
        <v>507</v>
      </c>
      <c r="U999" s="40" t="s">
        <v>5976</v>
      </c>
      <c r="V999" s="40" t="s">
        <v>5977</v>
      </c>
      <c r="W999" s="40" t="s">
        <v>5978</v>
      </c>
    </row>
    <row r="1000" spans="1:23" ht="12" x14ac:dyDescent="0.2">
      <c r="A1000" s="39" t="s">
        <v>467</v>
      </c>
      <c r="B1000" s="40" t="s">
        <v>466</v>
      </c>
      <c r="C1000" s="40" t="s">
        <v>5979</v>
      </c>
      <c r="D1000" s="41">
        <v>46048</v>
      </c>
      <c r="E1000" s="41">
        <v>46078</v>
      </c>
      <c r="F1000" s="41">
        <v>46091</v>
      </c>
      <c r="G1000" s="42">
        <v>13</v>
      </c>
      <c r="H1000" s="40" t="s">
        <v>549</v>
      </c>
      <c r="I1000" s="39" t="s">
        <v>320</v>
      </c>
      <c r="J1000" s="43">
        <v>18555.55</v>
      </c>
      <c r="K1000" s="43">
        <v>0</v>
      </c>
      <c r="L1000" s="43">
        <v>18555.55</v>
      </c>
      <c r="M1000" s="44">
        <v>0</v>
      </c>
      <c r="N1000" s="44">
        <f t="shared" si="15"/>
        <v>18555.55</v>
      </c>
      <c r="O1000" s="44">
        <v>18555.55</v>
      </c>
      <c r="P1000" s="40" t="s">
        <v>5980</v>
      </c>
      <c r="Q1000" s="40" t="s">
        <v>5981</v>
      </c>
      <c r="R1000" s="40" t="s">
        <v>494</v>
      </c>
      <c r="S1000" s="40" t="s">
        <v>502</v>
      </c>
      <c r="T1000" s="40" t="s">
        <v>514</v>
      </c>
      <c r="U1000" s="40" t="s">
        <v>3265</v>
      </c>
      <c r="V1000" s="40"/>
      <c r="W1000" s="40" t="s">
        <v>5982</v>
      </c>
    </row>
    <row r="1001" spans="1:23" ht="12" x14ac:dyDescent="0.2">
      <c r="A1001" s="39" t="s">
        <v>785</v>
      </c>
      <c r="B1001" s="40" t="s">
        <v>786</v>
      </c>
      <c r="C1001" s="40" t="s">
        <v>5983</v>
      </c>
      <c r="D1001" s="41">
        <v>46048</v>
      </c>
      <c r="E1001" s="41">
        <v>46078</v>
      </c>
      <c r="F1001" s="41">
        <v>46091</v>
      </c>
      <c r="G1001" s="42">
        <v>13</v>
      </c>
      <c r="H1001" s="40" t="s">
        <v>549</v>
      </c>
      <c r="I1001" s="39" t="s">
        <v>320</v>
      </c>
      <c r="J1001" s="43">
        <v>15430.03</v>
      </c>
      <c r="K1001" s="43">
        <v>0</v>
      </c>
      <c r="L1001" s="43">
        <v>15430.03</v>
      </c>
      <c r="M1001" s="44">
        <v>0</v>
      </c>
      <c r="N1001" s="44">
        <f t="shared" si="15"/>
        <v>15430.03</v>
      </c>
      <c r="O1001" s="44">
        <v>15430.03</v>
      </c>
      <c r="P1001" s="40" t="s">
        <v>5984</v>
      </c>
      <c r="Q1001" s="40" t="s">
        <v>5985</v>
      </c>
      <c r="R1001" s="40" t="s">
        <v>494</v>
      </c>
      <c r="S1001" s="40" t="s">
        <v>502</v>
      </c>
      <c r="T1001" s="40" t="s">
        <v>282</v>
      </c>
      <c r="U1001" s="40" t="s">
        <v>5986</v>
      </c>
      <c r="V1001" s="40"/>
      <c r="W1001" s="40" t="s">
        <v>5987</v>
      </c>
    </row>
    <row r="1002" spans="1:23" ht="12" x14ac:dyDescent="0.2">
      <c r="A1002" s="39" t="s">
        <v>2178</v>
      </c>
      <c r="B1002" s="40" t="s">
        <v>2179</v>
      </c>
      <c r="C1002" s="40" t="s">
        <v>5988</v>
      </c>
      <c r="D1002" s="41">
        <v>46048</v>
      </c>
      <c r="E1002" s="41">
        <v>46078</v>
      </c>
      <c r="F1002" s="41">
        <v>46091</v>
      </c>
      <c r="G1002" s="42">
        <v>13</v>
      </c>
      <c r="H1002" s="40" t="s">
        <v>549</v>
      </c>
      <c r="I1002" s="39" t="s">
        <v>320</v>
      </c>
      <c r="J1002" s="43">
        <v>-3677.95</v>
      </c>
      <c r="K1002" s="43">
        <v>0</v>
      </c>
      <c r="L1002" s="43">
        <v>-3677.95</v>
      </c>
      <c r="M1002" s="44">
        <v>0</v>
      </c>
      <c r="N1002" s="44">
        <f t="shared" si="15"/>
        <v>-3677.95</v>
      </c>
      <c r="O1002" s="44">
        <v>-3677.95</v>
      </c>
      <c r="P1002" s="40" t="s">
        <v>5989</v>
      </c>
      <c r="Q1002" s="40" t="s">
        <v>5990</v>
      </c>
      <c r="R1002" s="40" t="s">
        <v>494</v>
      </c>
      <c r="S1002" s="40" t="s">
        <v>502</v>
      </c>
      <c r="T1002" s="40" t="s">
        <v>200</v>
      </c>
      <c r="U1002" s="40" t="s">
        <v>5991</v>
      </c>
      <c r="V1002" s="40"/>
      <c r="W1002" s="40" t="s">
        <v>5992</v>
      </c>
    </row>
    <row r="1003" spans="1:23" ht="12" x14ac:dyDescent="0.2">
      <c r="A1003" s="39" t="s">
        <v>1314</v>
      </c>
      <c r="B1003" s="40" t="s">
        <v>1315</v>
      </c>
      <c r="C1003" s="40" t="s">
        <v>5993</v>
      </c>
      <c r="D1003" s="41">
        <v>46048</v>
      </c>
      <c r="E1003" s="41">
        <v>46078</v>
      </c>
      <c r="F1003" s="41">
        <v>46091</v>
      </c>
      <c r="G1003" s="42">
        <v>13</v>
      </c>
      <c r="H1003" s="40" t="s">
        <v>549</v>
      </c>
      <c r="I1003" s="39" t="s">
        <v>320</v>
      </c>
      <c r="J1003" s="43">
        <v>16600.8</v>
      </c>
      <c r="K1003" s="43">
        <v>0</v>
      </c>
      <c r="L1003" s="43">
        <v>16600.8</v>
      </c>
      <c r="M1003" s="44">
        <v>0</v>
      </c>
      <c r="N1003" s="44">
        <f t="shared" si="15"/>
        <v>16600.8</v>
      </c>
      <c r="O1003" s="44">
        <v>16600.8</v>
      </c>
      <c r="P1003" s="40" t="s">
        <v>3007</v>
      </c>
      <c r="Q1003" s="40" t="s">
        <v>3008</v>
      </c>
      <c r="R1003" s="40" t="s">
        <v>494</v>
      </c>
      <c r="S1003" s="40" t="s">
        <v>502</v>
      </c>
      <c r="T1003" s="40" t="s">
        <v>282</v>
      </c>
      <c r="U1003" s="40" t="s">
        <v>1233</v>
      </c>
      <c r="V1003" s="40"/>
      <c r="W1003" s="40" t="s">
        <v>3009</v>
      </c>
    </row>
    <row r="1004" spans="1:23" ht="12" x14ac:dyDescent="0.2">
      <c r="A1004" s="39" t="s">
        <v>67</v>
      </c>
      <c r="B1004" s="40" t="s">
        <v>372</v>
      </c>
      <c r="C1004" s="40" t="s">
        <v>5994</v>
      </c>
      <c r="D1004" s="41">
        <v>46048</v>
      </c>
      <c r="E1004" s="41">
        <v>46078</v>
      </c>
      <c r="F1004" s="41">
        <v>46091</v>
      </c>
      <c r="G1004" s="42">
        <v>13</v>
      </c>
      <c r="H1004" s="40" t="s">
        <v>549</v>
      </c>
      <c r="I1004" s="39" t="s">
        <v>320</v>
      </c>
      <c r="J1004" s="43">
        <v>-2919.15</v>
      </c>
      <c r="K1004" s="43">
        <v>0</v>
      </c>
      <c r="L1004" s="43">
        <v>-2919.15</v>
      </c>
      <c r="M1004" s="44">
        <v>0</v>
      </c>
      <c r="N1004" s="44">
        <f t="shared" si="15"/>
        <v>-2919.15</v>
      </c>
      <c r="O1004" s="44">
        <v>-2919.15</v>
      </c>
      <c r="P1004" s="40" t="s">
        <v>5995</v>
      </c>
      <c r="Q1004" s="40" t="s">
        <v>5996</v>
      </c>
      <c r="R1004" s="40" t="s">
        <v>494</v>
      </c>
      <c r="S1004" s="40" t="s">
        <v>495</v>
      </c>
      <c r="T1004" s="40" t="s">
        <v>547</v>
      </c>
      <c r="U1004" s="40" t="s">
        <v>5997</v>
      </c>
      <c r="V1004" s="40" t="s">
        <v>5998</v>
      </c>
      <c r="W1004" s="40" t="s">
        <v>5999</v>
      </c>
    </row>
    <row r="1005" spans="1:23" ht="12" x14ac:dyDescent="0.2">
      <c r="A1005" s="39" t="s">
        <v>30</v>
      </c>
      <c r="B1005" s="40" t="s">
        <v>394</v>
      </c>
      <c r="C1005" s="40" t="s">
        <v>6000</v>
      </c>
      <c r="D1005" s="41">
        <v>46048</v>
      </c>
      <c r="E1005" s="41">
        <v>46078</v>
      </c>
      <c r="F1005" s="41">
        <v>46091</v>
      </c>
      <c r="G1005" s="42">
        <v>13</v>
      </c>
      <c r="H1005" s="40" t="s">
        <v>549</v>
      </c>
      <c r="I1005" s="39" t="s">
        <v>320</v>
      </c>
      <c r="J1005" s="43">
        <v>33419.14</v>
      </c>
      <c r="K1005" s="43">
        <v>0</v>
      </c>
      <c r="L1005" s="43">
        <v>33419.14</v>
      </c>
      <c r="M1005" s="44">
        <v>0</v>
      </c>
      <c r="N1005" s="44">
        <f t="shared" si="15"/>
        <v>33419.14</v>
      </c>
      <c r="O1005" s="44">
        <v>33419.14</v>
      </c>
      <c r="P1005" s="40" t="s">
        <v>6001</v>
      </c>
      <c r="Q1005" s="40" t="s">
        <v>6002</v>
      </c>
      <c r="R1005" s="40" t="s">
        <v>494</v>
      </c>
      <c r="S1005" s="40" t="s">
        <v>495</v>
      </c>
      <c r="T1005" s="40" t="s">
        <v>733</v>
      </c>
      <c r="U1005" s="40" t="s">
        <v>6003</v>
      </c>
      <c r="V1005" s="40"/>
      <c r="W1005" s="40" t="s">
        <v>6004</v>
      </c>
    </row>
    <row r="1006" spans="1:23" ht="12" x14ac:dyDescent="0.2">
      <c r="A1006" s="39" t="s">
        <v>607</v>
      </c>
      <c r="B1006" s="40" t="s">
        <v>1268</v>
      </c>
      <c r="C1006" s="40" t="s">
        <v>6005</v>
      </c>
      <c r="D1006" s="41">
        <v>46048</v>
      </c>
      <c r="E1006" s="41">
        <v>46078</v>
      </c>
      <c r="F1006" s="41">
        <v>46091</v>
      </c>
      <c r="G1006" s="42">
        <v>13</v>
      </c>
      <c r="H1006" s="40" t="s">
        <v>549</v>
      </c>
      <c r="I1006" s="39" t="s">
        <v>323</v>
      </c>
      <c r="J1006" s="43">
        <v>17501.54</v>
      </c>
      <c r="K1006" s="43">
        <v>0</v>
      </c>
      <c r="L1006" s="43">
        <v>17501.54</v>
      </c>
      <c r="M1006" s="44">
        <v>0</v>
      </c>
      <c r="N1006" s="44">
        <f t="shared" si="15"/>
        <v>12964.1</v>
      </c>
      <c r="O1006" s="44">
        <v>12964.1</v>
      </c>
      <c r="P1006" s="40" t="s">
        <v>608</v>
      </c>
      <c r="Q1006" s="40" t="s">
        <v>1269</v>
      </c>
      <c r="R1006" s="40" t="s">
        <v>494</v>
      </c>
      <c r="S1006" s="40" t="s">
        <v>502</v>
      </c>
      <c r="T1006" s="40" t="s">
        <v>330</v>
      </c>
      <c r="U1006" s="40" t="s">
        <v>768</v>
      </c>
      <c r="V1006" s="40" t="s">
        <v>6006</v>
      </c>
      <c r="W1006" s="40"/>
    </row>
    <row r="1007" spans="1:23" ht="12" x14ac:dyDescent="0.2">
      <c r="A1007" s="39" t="s">
        <v>942</v>
      </c>
      <c r="B1007" s="40" t="s">
        <v>1341</v>
      </c>
      <c r="C1007" s="40" t="s">
        <v>6007</v>
      </c>
      <c r="D1007" s="41">
        <v>46048</v>
      </c>
      <c r="E1007" s="41">
        <v>46078</v>
      </c>
      <c r="F1007" s="41">
        <v>46091</v>
      </c>
      <c r="G1007" s="42">
        <v>13</v>
      </c>
      <c r="H1007" s="40" t="s">
        <v>549</v>
      </c>
      <c r="I1007" s="39" t="s">
        <v>320</v>
      </c>
      <c r="J1007" s="43">
        <v>22624.880000000001</v>
      </c>
      <c r="K1007" s="43">
        <v>0</v>
      </c>
      <c r="L1007" s="43">
        <v>22624.880000000001</v>
      </c>
      <c r="M1007" s="44">
        <v>0</v>
      </c>
      <c r="N1007" s="44">
        <f t="shared" si="15"/>
        <v>22624.880000000001</v>
      </c>
      <c r="O1007" s="44">
        <v>22624.880000000001</v>
      </c>
      <c r="P1007" s="40" t="s">
        <v>6008</v>
      </c>
      <c r="Q1007" s="40" t="s">
        <v>6009</v>
      </c>
      <c r="R1007" s="40" t="s">
        <v>494</v>
      </c>
      <c r="S1007" s="40" t="s">
        <v>502</v>
      </c>
      <c r="T1007" s="40" t="s">
        <v>282</v>
      </c>
      <c r="U1007" s="40" t="s">
        <v>6010</v>
      </c>
      <c r="V1007" s="40"/>
      <c r="W1007" s="40" t="s">
        <v>6011</v>
      </c>
    </row>
    <row r="1008" spans="1:23" ht="12" x14ac:dyDescent="0.2">
      <c r="A1008" s="39" t="s">
        <v>28</v>
      </c>
      <c r="B1008" s="40" t="s">
        <v>2578</v>
      </c>
      <c r="C1008" s="40" t="s">
        <v>6012</v>
      </c>
      <c r="D1008" s="41">
        <v>46049</v>
      </c>
      <c r="E1008" s="41">
        <v>46079</v>
      </c>
      <c r="F1008" s="41">
        <v>46091</v>
      </c>
      <c r="G1008" s="42">
        <v>12</v>
      </c>
      <c r="H1008" s="40" t="s">
        <v>549</v>
      </c>
      <c r="I1008" s="39" t="s">
        <v>323</v>
      </c>
      <c r="J1008" s="43">
        <v>168070</v>
      </c>
      <c r="K1008" s="43">
        <v>0</v>
      </c>
      <c r="L1008" s="43">
        <v>168070</v>
      </c>
      <c r="M1008" s="44">
        <v>0</v>
      </c>
      <c r="N1008" s="44">
        <f t="shared" si="15"/>
        <v>134456</v>
      </c>
      <c r="O1008" s="44">
        <v>134456</v>
      </c>
      <c r="P1008" s="40" t="s">
        <v>6013</v>
      </c>
      <c r="Q1008" s="40" t="s">
        <v>6014</v>
      </c>
      <c r="R1008" s="40" t="s">
        <v>494</v>
      </c>
      <c r="S1008" s="40" t="s">
        <v>495</v>
      </c>
      <c r="T1008" s="40" t="s">
        <v>813</v>
      </c>
      <c r="U1008" s="40" t="s">
        <v>6015</v>
      </c>
      <c r="V1008" s="40"/>
      <c r="W1008" s="40" t="s">
        <v>3005</v>
      </c>
    </row>
    <row r="1009" spans="1:23" ht="12" x14ac:dyDescent="0.2">
      <c r="A1009" s="39" t="s">
        <v>2321</v>
      </c>
      <c r="B1009" s="40" t="s">
        <v>2322</v>
      </c>
      <c r="C1009" s="40" t="s">
        <v>6016</v>
      </c>
      <c r="D1009" s="41">
        <v>46049</v>
      </c>
      <c r="E1009" s="41">
        <v>46079</v>
      </c>
      <c r="F1009" s="41">
        <v>46091</v>
      </c>
      <c r="G1009" s="42">
        <v>12</v>
      </c>
      <c r="H1009" s="40" t="s">
        <v>549</v>
      </c>
      <c r="I1009" s="39" t="s">
        <v>320</v>
      </c>
      <c r="J1009" s="43">
        <v>17702.29</v>
      </c>
      <c r="K1009" s="43">
        <v>0</v>
      </c>
      <c r="L1009" s="43">
        <v>17702.29</v>
      </c>
      <c r="M1009" s="44">
        <v>0</v>
      </c>
      <c r="N1009" s="44">
        <f t="shared" si="15"/>
        <v>17702.29</v>
      </c>
      <c r="O1009" s="44">
        <v>17702.29</v>
      </c>
      <c r="P1009" s="40" t="s">
        <v>3468</v>
      </c>
      <c r="Q1009" s="40" t="s">
        <v>3469</v>
      </c>
      <c r="R1009" s="40" t="s">
        <v>494</v>
      </c>
      <c r="S1009" s="40" t="s">
        <v>502</v>
      </c>
      <c r="T1009" s="40" t="s">
        <v>218</v>
      </c>
      <c r="U1009" s="40" t="s">
        <v>1722</v>
      </c>
      <c r="V1009" s="40"/>
      <c r="W1009" s="40" t="s">
        <v>3470</v>
      </c>
    </row>
    <row r="1010" spans="1:23" ht="12" x14ac:dyDescent="0.2">
      <c r="A1010" s="39" t="s">
        <v>22</v>
      </c>
      <c r="B1010" s="40" t="s">
        <v>326</v>
      </c>
      <c r="C1010" s="40" t="s">
        <v>6017</v>
      </c>
      <c r="D1010" s="41">
        <v>46049</v>
      </c>
      <c r="E1010" s="41">
        <v>46079</v>
      </c>
      <c r="F1010" s="41">
        <v>46091</v>
      </c>
      <c r="G1010" s="42">
        <v>12</v>
      </c>
      <c r="H1010" s="40" t="s">
        <v>549</v>
      </c>
      <c r="I1010" s="39" t="s">
        <v>320</v>
      </c>
      <c r="J1010" s="43">
        <v>357.38</v>
      </c>
      <c r="K1010" s="43">
        <v>0</v>
      </c>
      <c r="L1010" s="43">
        <v>357.38</v>
      </c>
      <c r="M1010" s="44">
        <v>0</v>
      </c>
      <c r="N1010" s="44">
        <f t="shared" si="15"/>
        <v>357.38</v>
      </c>
      <c r="O1010" s="44">
        <v>357.38</v>
      </c>
      <c r="P1010" s="40" t="s">
        <v>6018</v>
      </c>
      <c r="Q1010" s="40" t="s">
        <v>6019</v>
      </c>
      <c r="R1010" s="40" t="s">
        <v>494</v>
      </c>
      <c r="S1010" s="40" t="s">
        <v>502</v>
      </c>
      <c r="T1010" s="40" t="s">
        <v>497</v>
      </c>
      <c r="U1010" s="40" t="s">
        <v>6020</v>
      </c>
      <c r="V1010" s="40"/>
      <c r="W1010" s="40" t="s">
        <v>6021</v>
      </c>
    </row>
    <row r="1011" spans="1:23" ht="12" x14ac:dyDescent="0.2">
      <c r="A1011" s="39" t="s">
        <v>16</v>
      </c>
      <c r="B1011" s="40" t="s">
        <v>414</v>
      </c>
      <c r="C1011" s="40" t="s">
        <v>6022</v>
      </c>
      <c r="D1011" s="41">
        <v>46049</v>
      </c>
      <c r="E1011" s="41">
        <v>46079</v>
      </c>
      <c r="F1011" s="41">
        <v>46091</v>
      </c>
      <c r="G1011" s="42">
        <v>12</v>
      </c>
      <c r="H1011" s="40" t="s">
        <v>549</v>
      </c>
      <c r="I1011" s="39" t="s">
        <v>320</v>
      </c>
      <c r="J1011" s="43">
        <v>39211.360000000001</v>
      </c>
      <c r="K1011" s="43">
        <v>0</v>
      </c>
      <c r="L1011" s="43">
        <v>39211.360000000001</v>
      </c>
      <c r="M1011" s="44">
        <v>0</v>
      </c>
      <c r="N1011" s="44">
        <f t="shared" si="15"/>
        <v>39211.360000000001</v>
      </c>
      <c r="O1011" s="44">
        <v>39211.360000000001</v>
      </c>
      <c r="P1011" s="40" t="s">
        <v>6023</v>
      </c>
      <c r="Q1011" s="40" t="s">
        <v>6024</v>
      </c>
      <c r="R1011" s="40" t="s">
        <v>494</v>
      </c>
      <c r="S1011" s="40" t="s">
        <v>502</v>
      </c>
      <c r="T1011" s="40" t="s">
        <v>280</v>
      </c>
      <c r="U1011" s="40" t="s">
        <v>1852</v>
      </c>
      <c r="V1011" s="40"/>
      <c r="W1011" s="40" t="s">
        <v>321</v>
      </c>
    </row>
    <row r="1012" spans="1:23" ht="12" x14ac:dyDescent="0.2">
      <c r="A1012" s="39" t="s">
        <v>16</v>
      </c>
      <c r="B1012" s="40" t="s">
        <v>414</v>
      </c>
      <c r="C1012" s="40" t="s">
        <v>6025</v>
      </c>
      <c r="D1012" s="41">
        <v>46049</v>
      </c>
      <c r="E1012" s="41">
        <v>46079</v>
      </c>
      <c r="F1012" s="41">
        <v>46091</v>
      </c>
      <c r="G1012" s="42">
        <v>12</v>
      </c>
      <c r="H1012" s="40" t="s">
        <v>549</v>
      </c>
      <c r="I1012" s="39" t="s">
        <v>320</v>
      </c>
      <c r="J1012" s="43">
        <v>53350.53</v>
      </c>
      <c r="K1012" s="43">
        <v>0</v>
      </c>
      <c r="L1012" s="43">
        <v>53350.53</v>
      </c>
      <c r="M1012" s="44">
        <v>0</v>
      </c>
      <c r="N1012" s="44">
        <f t="shared" si="15"/>
        <v>53350.53</v>
      </c>
      <c r="O1012" s="44">
        <v>53350.53</v>
      </c>
      <c r="P1012" s="40" t="s">
        <v>1133</v>
      </c>
      <c r="Q1012" s="40" t="s">
        <v>1134</v>
      </c>
      <c r="R1012" s="40" t="s">
        <v>494</v>
      </c>
      <c r="S1012" s="40" t="s">
        <v>502</v>
      </c>
      <c r="T1012" s="40" t="s">
        <v>362</v>
      </c>
      <c r="U1012" s="40" t="s">
        <v>648</v>
      </c>
      <c r="V1012" s="40"/>
      <c r="W1012" s="40" t="s">
        <v>1135</v>
      </c>
    </row>
    <row r="1013" spans="1:23" ht="12" x14ac:dyDescent="0.2">
      <c r="A1013" s="39" t="s">
        <v>471</v>
      </c>
      <c r="B1013" s="40" t="s">
        <v>3229</v>
      </c>
      <c r="C1013" s="40" t="s">
        <v>6026</v>
      </c>
      <c r="D1013" s="41">
        <v>46049</v>
      </c>
      <c r="E1013" s="41">
        <v>46079</v>
      </c>
      <c r="F1013" s="41">
        <v>46091</v>
      </c>
      <c r="G1013" s="42">
        <v>12</v>
      </c>
      <c r="H1013" s="40" t="s">
        <v>549</v>
      </c>
      <c r="I1013" s="39" t="s">
        <v>320</v>
      </c>
      <c r="J1013" s="43">
        <v>2765.68</v>
      </c>
      <c r="K1013" s="43">
        <v>0</v>
      </c>
      <c r="L1013" s="43">
        <v>2765.68</v>
      </c>
      <c r="M1013" s="44">
        <v>0</v>
      </c>
      <c r="N1013" s="44">
        <f t="shared" si="15"/>
        <v>2765.68</v>
      </c>
      <c r="O1013" s="44">
        <v>2765.68</v>
      </c>
      <c r="P1013" s="40" t="s">
        <v>6027</v>
      </c>
      <c r="Q1013" s="40" t="s">
        <v>6028</v>
      </c>
      <c r="R1013" s="40" t="s">
        <v>494</v>
      </c>
      <c r="S1013" s="40" t="s">
        <v>502</v>
      </c>
      <c r="T1013" s="40" t="s">
        <v>287</v>
      </c>
      <c r="U1013" s="40" t="s">
        <v>1399</v>
      </c>
      <c r="V1013" s="40"/>
      <c r="W1013" s="40" t="s">
        <v>6029</v>
      </c>
    </row>
    <row r="1014" spans="1:23" ht="12" x14ac:dyDescent="0.2">
      <c r="A1014" s="39" t="s">
        <v>957</v>
      </c>
      <c r="B1014" s="40" t="s">
        <v>6030</v>
      </c>
      <c r="C1014" s="40" t="s">
        <v>6031</v>
      </c>
      <c r="D1014" s="41">
        <v>46049</v>
      </c>
      <c r="E1014" s="41">
        <v>46079</v>
      </c>
      <c r="F1014" s="41">
        <v>46091</v>
      </c>
      <c r="G1014" s="42">
        <v>12</v>
      </c>
      <c r="H1014" s="40" t="s">
        <v>549</v>
      </c>
      <c r="I1014" s="39" t="s">
        <v>320</v>
      </c>
      <c r="J1014" s="43">
        <v>57680</v>
      </c>
      <c r="K1014" s="43">
        <v>0</v>
      </c>
      <c r="L1014" s="43">
        <v>57680</v>
      </c>
      <c r="M1014" s="44">
        <v>0</v>
      </c>
      <c r="N1014" s="44">
        <f t="shared" si="15"/>
        <v>57680</v>
      </c>
      <c r="O1014" s="44">
        <v>57680</v>
      </c>
      <c r="P1014" s="40" t="s">
        <v>6032</v>
      </c>
      <c r="Q1014" s="40" t="s">
        <v>6033</v>
      </c>
      <c r="R1014" s="40" t="s">
        <v>494</v>
      </c>
      <c r="S1014" s="40" t="s">
        <v>502</v>
      </c>
      <c r="T1014" s="40" t="s">
        <v>218</v>
      </c>
      <c r="U1014" s="40" t="s">
        <v>3579</v>
      </c>
      <c r="V1014" s="40"/>
      <c r="W1014" s="40" t="s">
        <v>6034</v>
      </c>
    </row>
    <row r="1015" spans="1:23" ht="12" x14ac:dyDescent="0.2">
      <c r="A1015" s="39" t="s">
        <v>55</v>
      </c>
      <c r="B1015" s="40" t="s">
        <v>371</v>
      </c>
      <c r="C1015" s="40" t="s">
        <v>6035</v>
      </c>
      <c r="D1015" s="41">
        <v>46049</v>
      </c>
      <c r="E1015" s="41">
        <v>46079</v>
      </c>
      <c r="F1015" s="41">
        <v>46091</v>
      </c>
      <c r="G1015" s="42">
        <v>12</v>
      </c>
      <c r="H1015" s="40" t="s">
        <v>549</v>
      </c>
      <c r="I1015" s="39" t="s">
        <v>320</v>
      </c>
      <c r="J1015" s="43">
        <v>17299.32</v>
      </c>
      <c r="K1015" s="43">
        <v>0</v>
      </c>
      <c r="L1015" s="43">
        <v>17299.32</v>
      </c>
      <c r="M1015" s="44">
        <v>0</v>
      </c>
      <c r="N1015" s="44">
        <f t="shared" si="15"/>
        <v>17299.32</v>
      </c>
      <c r="O1015" s="44">
        <v>17299.32</v>
      </c>
      <c r="P1015" s="40" t="s">
        <v>6036</v>
      </c>
      <c r="Q1015" s="40" t="s">
        <v>6037</v>
      </c>
      <c r="R1015" s="40" t="s">
        <v>494</v>
      </c>
      <c r="S1015" s="40" t="s">
        <v>502</v>
      </c>
      <c r="T1015" s="40" t="s">
        <v>997</v>
      </c>
      <c r="U1015" s="40" t="s">
        <v>609</v>
      </c>
      <c r="V1015" s="40"/>
      <c r="W1015" s="40" t="s">
        <v>6038</v>
      </c>
    </row>
    <row r="1016" spans="1:23" ht="12" x14ac:dyDescent="0.2">
      <c r="A1016" s="39" t="s">
        <v>1070</v>
      </c>
      <c r="B1016" s="40" t="s">
        <v>364</v>
      </c>
      <c r="C1016" s="40" t="s">
        <v>6039</v>
      </c>
      <c r="D1016" s="41">
        <v>46049</v>
      </c>
      <c r="E1016" s="41">
        <v>46079</v>
      </c>
      <c r="F1016" s="41">
        <v>46091</v>
      </c>
      <c r="G1016" s="42">
        <v>12</v>
      </c>
      <c r="H1016" s="40" t="s">
        <v>549</v>
      </c>
      <c r="I1016" s="39" t="s">
        <v>320</v>
      </c>
      <c r="J1016" s="43">
        <v>13786.79</v>
      </c>
      <c r="K1016" s="43">
        <v>0</v>
      </c>
      <c r="L1016" s="43">
        <v>13786.79</v>
      </c>
      <c r="M1016" s="44">
        <v>0</v>
      </c>
      <c r="N1016" s="44">
        <f t="shared" si="15"/>
        <v>13786.79</v>
      </c>
      <c r="O1016" s="44">
        <v>13786.79</v>
      </c>
      <c r="P1016" s="40" t="s">
        <v>6040</v>
      </c>
      <c r="Q1016" s="40" t="s">
        <v>6041</v>
      </c>
      <c r="R1016" s="40" t="s">
        <v>494</v>
      </c>
      <c r="S1016" s="40" t="s">
        <v>502</v>
      </c>
      <c r="T1016" s="40" t="s">
        <v>287</v>
      </c>
      <c r="U1016" s="40" t="s">
        <v>6042</v>
      </c>
      <c r="V1016" s="40" t="s">
        <v>4334</v>
      </c>
      <c r="W1016" s="40" t="s">
        <v>6043</v>
      </c>
    </row>
    <row r="1017" spans="1:23" ht="12" x14ac:dyDescent="0.2">
      <c r="A1017" s="39" t="s">
        <v>1807</v>
      </c>
      <c r="B1017" s="40" t="s">
        <v>1808</v>
      </c>
      <c r="C1017" s="40" t="s">
        <v>6044</v>
      </c>
      <c r="D1017" s="41">
        <v>46049</v>
      </c>
      <c r="E1017" s="41">
        <v>46079</v>
      </c>
      <c r="F1017" s="41">
        <v>46091</v>
      </c>
      <c r="G1017" s="42">
        <v>12</v>
      </c>
      <c r="H1017" s="40" t="s">
        <v>549</v>
      </c>
      <c r="I1017" s="39" t="s">
        <v>320</v>
      </c>
      <c r="J1017" s="43">
        <v>40522.86</v>
      </c>
      <c r="K1017" s="43">
        <v>0</v>
      </c>
      <c r="L1017" s="43">
        <v>40522.86</v>
      </c>
      <c r="M1017" s="44">
        <v>0</v>
      </c>
      <c r="N1017" s="44">
        <f t="shared" si="15"/>
        <v>40522.86</v>
      </c>
      <c r="O1017" s="44">
        <v>40522.86</v>
      </c>
      <c r="P1017" s="40" t="s">
        <v>6045</v>
      </c>
      <c r="Q1017" s="40" t="s">
        <v>6046</v>
      </c>
      <c r="R1017" s="40" t="s">
        <v>494</v>
      </c>
      <c r="S1017" s="40" t="s">
        <v>502</v>
      </c>
      <c r="T1017" s="40" t="s">
        <v>514</v>
      </c>
      <c r="U1017" s="40" t="s">
        <v>6047</v>
      </c>
      <c r="V1017" s="40" t="s">
        <v>6048</v>
      </c>
      <c r="W1017" s="40"/>
    </row>
    <row r="1018" spans="1:23" ht="12" x14ac:dyDescent="0.2">
      <c r="A1018" s="39" t="s">
        <v>6049</v>
      </c>
      <c r="B1018" s="40" t="s">
        <v>6050</v>
      </c>
      <c r="C1018" s="40" t="s">
        <v>6051</v>
      </c>
      <c r="D1018" s="41">
        <v>46049</v>
      </c>
      <c r="E1018" s="41">
        <v>46079</v>
      </c>
      <c r="F1018" s="41">
        <v>46091</v>
      </c>
      <c r="G1018" s="42">
        <v>12</v>
      </c>
      <c r="H1018" s="40" t="s">
        <v>549</v>
      </c>
      <c r="I1018" s="39" t="s">
        <v>320</v>
      </c>
      <c r="J1018" s="43">
        <v>14093.44</v>
      </c>
      <c r="K1018" s="43">
        <v>0</v>
      </c>
      <c r="L1018" s="43">
        <v>14093.44</v>
      </c>
      <c r="M1018" s="44">
        <v>0</v>
      </c>
      <c r="N1018" s="44">
        <f t="shared" si="15"/>
        <v>14093.44</v>
      </c>
      <c r="O1018" s="44">
        <v>14093.44</v>
      </c>
      <c r="P1018" s="40" t="s">
        <v>6052</v>
      </c>
      <c r="Q1018" s="40" t="s">
        <v>6053</v>
      </c>
      <c r="R1018" s="40" t="s">
        <v>494</v>
      </c>
      <c r="S1018" s="40" t="s">
        <v>502</v>
      </c>
      <c r="T1018" s="40" t="s">
        <v>282</v>
      </c>
      <c r="U1018" s="40" t="s">
        <v>6054</v>
      </c>
      <c r="V1018" s="40"/>
      <c r="W1018" s="40" t="s">
        <v>6055</v>
      </c>
    </row>
    <row r="1019" spans="1:23" ht="12" x14ac:dyDescent="0.2">
      <c r="A1019" s="39" t="s">
        <v>1170</v>
      </c>
      <c r="B1019" s="40" t="s">
        <v>1171</v>
      </c>
      <c r="C1019" s="40" t="s">
        <v>6056</v>
      </c>
      <c r="D1019" s="41">
        <v>46049</v>
      </c>
      <c r="E1019" s="41">
        <v>46079</v>
      </c>
      <c r="F1019" s="41">
        <v>46091</v>
      </c>
      <c r="G1019" s="42">
        <v>12</v>
      </c>
      <c r="H1019" s="40" t="s">
        <v>549</v>
      </c>
      <c r="I1019" s="39" t="s">
        <v>320</v>
      </c>
      <c r="J1019" s="43">
        <v>21201.27</v>
      </c>
      <c r="K1019" s="43">
        <v>0</v>
      </c>
      <c r="L1019" s="43">
        <v>21201.27</v>
      </c>
      <c r="M1019" s="44">
        <v>0</v>
      </c>
      <c r="N1019" s="44">
        <f t="shared" si="15"/>
        <v>21201.27</v>
      </c>
      <c r="O1019" s="44">
        <v>21201.27</v>
      </c>
      <c r="P1019" s="40" t="s">
        <v>2001</v>
      </c>
      <c r="Q1019" s="40" t="s">
        <v>2002</v>
      </c>
      <c r="R1019" s="40" t="s">
        <v>494</v>
      </c>
      <c r="S1019" s="40" t="s">
        <v>502</v>
      </c>
      <c r="T1019" s="40" t="s">
        <v>284</v>
      </c>
      <c r="U1019" s="40" t="s">
        <v>1260</v>
      </c>
      <c r="V1019" s="40"/>
      <c r="W1019" s="40" t="s">
        <v>2558</v>
      </c>
    </row>
    <row r="1020" spans="1:23" ht="12" x14ac:dyDescent="0.2">
      <c r="A1020" s="39" t="s">
        <v>815</v>
      </c>
      <c r="B1020" s="40" t="s">
        <v>1119</v>
      </c>
      <c r="C1020" s="40" t="s">
        <v>6057</v>
      </c>
      <c r="D1020" s="41">
        <v>46049</v>
      </c>
      <c r="E1020" s="41">
        <v>46079</v>
      </c>
      <c r="F1020" s="41">
        <v>46091</v>
      </c>
      <c r="G1020" s="42">
        <v>12</v>
      </c>
      <c r="H1020" s="40" t="s">
        <v>549</v>
      </c>
      <c r="I1020" s="39" t="s">
        <v>320</v>
      </c>
      <c r="J1020" s="43">
        <v>11162.75</v>
      </c>
      <c r="K1020" s="43">
        <v>0</v>
      </c>
      <c r="L1020" s="43">
        <v>11162.75</v>
      </c>
      <c r="M1020" s="44">
        <v>0</v>
      </c>
      <c r="N1020" s="44">
        <f t="shared" si="15"/>
        <v>11162.75</v>
      </c>
      <c r="O1020" s="44">
        <v>11162.75</v>
      </c>
      <c r="P1020" s="40" t="s">
        <v>1547</v>
      </c>
      <c r="Q1020" s="40" t="s">
        <v>6058</v>
      </c>
      <c r="R1020" s="40" t="s">
        <v>494</v>
      </c>
      <c r="S1020" s="40" t="s">
        <v>502</v>
      </c>
      <c r="T1020" s="40" t="s">
        <v>284</v>
      </c>
      <c r="U1020" s="40" t="s">
        <v>6059</v>
      </c>
      <c r="V1020" s="40" t="s">
        <v>5511</v>
      </c>
      <c r="W1020" s="40" t="s">
        <v>6060</v>
      </c>
    </row>
    <row r="1021" spans="1:23" ht="12" x14ac:dyDescent="0.2">
      <c r="A1021" s="39" t="s">
        <v>814</v>
      </c>
      <c r="B1021" s="40" t="s">
        <v>834</v>
      </c>
      <c r="C1021" s="40" t="s">
        <v>6061</v>
      </c>
      <c r="D1021" s="41">
        <v>46049</v>
      </c>
      <c r="E1021" s="41">
        <v>46079</v>
      </c>
      <c r="F1021" s="41">
        <v>46091</v>
      </c>
      <c r="G1021" s="42">
        <v>12</v>
      </c>
      <c r="H1021" s="40" t="s">
        <v>549</v>
      </c>
      <c r="I1021" s="39" t="s">
        <v>320</v>
      </c>
      <c r="J1021" s="43">
        <v>12883.62</v>
      </c>
      <c r="K1021" s="43">
        <v>0</v>
      </c>
      <c r="L1021" s="43">
        <v>12883.62</v>
      </c>
      <c r="M1021" s="44">
        <v>0</v>
      </c>
      <c r="N1021" s="44">
        <f t="shared" si="15"/>
        <v>12883.62</v>
      </c>
      <c r="O1021" s="44">
        <v>12883.62</v>
      </c>
      <c r="P1021" s="40" t="s">
        <v>2678</v>
      </c>
      <c r="Q1021" s="40" t="s">
        <v>2679</v>
      </c>
      <c r="R1021" s="40" t="s">
        <v>494</v>
      </c>
      <c r="S1021" s="40" t="s">
        <v>502</v>
      </c>
      <c r="T1021" s="40" t="s">
        <v>330</v>
      </c>
      <c r="U1021" s="40" t="s">
        <v>2680</v>
      </c>
      <c r="V1021" s="40" t="s">
        <v>6062</v>
      </c>
      <c r="W1021" s="40" t="s">
        <v>2681</v>
      </c>
    </row>
    <row r="1022" spans="1:23" ht="12" x14ac:dyDescent="0.2">
      <c r="A1022" s="39" t="s">
        <v>415</v>
      </c>
      <c r="B1022" s="40" t="s">
        <v>2934</v>
      </c>
      <c r="C1022" s="40" t="s">
        <v>6063</v>
      </c>
      <c r="D1022" s="41">
        <v>46049</v>
      </c>
      <c r="E1022" s="41">
        <v>46079</v>
      </c>
      <c r="F1022" s="41">
        <v>46091</v>
      </c>
      <c r="G1022" s="42">
        <v>12</v>
      </c>
      <c r="H1022" s="40" t="s">
        <v>549</v>
      </c>
      <c r="I1022" s="39" t="s">
        <v>320</v>
      </c>
      <c r="J1022" s="43">
        <v>2472.79</v>
      </c>
      <c r="K1022" s="43">
        <v>0</v>
      </c>
      <c r="L1022" s="43">
        <v>2472.79</v>
      </c>
      <c r="M1022" s="44">
        <v>0</v>
      </c>
      <c r="N1022" s="44">
        <f t="shared" si="15"/>
        <v>2472.79</v>
      </c>
      <c r="O1022" s="44">
        <v>2472.79</v>
      </c>
      <c r="P1022" s="40" t="s">
        <v>6064</v>
      </c>
      <c r="Q1022" s="40" t="s">
        <v>6065</v>
      </c>
      <c r="R1022" s="40" t="s">
        <v>494</v>
      </c>
      <c r="S1022" s="40" t="s">
        <v>502</v>
      </c>
      <c r="T1022" s="40" t="s">
        <v>282</v>
      </c>
      <c r="U1022" s="40" t="s">
        <v>6066</v>
      </c>
      <c r="V1022" s="40"/>
      <c r="W1022" s="40" t="s">
        <v>6067</v>
      </c>
    </row>
    <row r="1023" spans="1:23" ht="12" x14ac:dyDescent="0.2">
      <c r="A1023" s="39" t="s">
        <v>34</v>
      </c>
      <c r="B1023" s="40" t="s">
        <v>465</v>
      </c>
      <c r="C1023" s="40" t="s">
        <v>6068</v>
      </c>
      <c r="D1023" s="41">
        <v>46049</v>
      </c>
      <c r="E1023" s="41">
        <v>46079</v>
      </c>
      <c r="F1023" s="41">
        <v>46091</v>
      </c>
      <c r="G1023" s="42">
        <v>12</v>
      </c>
      <c r="H1023" s="40" t="s">
        <v>549</v>
      </c>
      <c r="I1023" s="39" t="s">
        <v>320</v>
      </c>
      <c r="J1023" s="43">
        <v>1030.47</v>
      </c>
      <c r="K1023" s="43">
        <v>0</v>
      </c>
      <c r="L1023" s="43">
        <v>1030.47</v>
      </c>
      <c r="M1023" s="44">
        <v>0</v>
      </c>
      <c r="N1023" s="44">
        <f t="shared" si="15"/>
        <v>1030.47</v>
      </c>
      <c r="O1023" s="44">
        <v>1030.47</v>
      </c>
      <c r="P1023" s="40" t="s">
        <v>2661</v>
      </c>
      <c r="Q1023" s="40" t="s">
        <v>2662</v>
      </c>
      <c r="R1023" s="40" t="s">
        <v>494</v>
      </c>
      <c r="S1023" s="40" t="s">
        <v>502</v>
      </c>
      <c r="T1023" s="40" t="s">
        <v>512</v>
      </c>
      <c r="U1023" s="40" t="s">
        <v>2655</v>
      </c>
      <c r="V1023" s="40" t="s">
        <v>5558</v>
      </c>
      <c r="W1023" s="40" t="s">
        <v>2663</v>
      </c>
    </row>
    <row r="1024" spans="1:23" ht="12" x14ac:dyDescent="0.2">
      <c r="A1024" s="39" t="s">
        <v>22</v>
      </c>
      <c r="B1024" s="40" t="s">
        <v>326</v>
      </c>
      <c r="C1024" s="40" t="s">
        <v>6069</v>
      </c>
      <c r="D1024" s="41">
        <v>46049</v>
      </c>
      <c r="E1024" s="41">
        <v>46079</v>
      </c>
      <c r="F1024" s="41">
        <v>46091</v>
      </c>
      <c r="G1024" s="42">
        <v>12</v>
      </c>
      <c r="H1024" s="40" t="s">
        <v>549</v>
      </c>
      <c r="I1024" s="39" t="s">
        <v>320</v>
      </c>
      <c r="J1024" s="43">
        <v>18722.04</v>
      </c>
      <c r="K1024" s="43">
        <v>0</v>
      </c>
      <c r="L1024" s="43">
        <v>18722.04</v>
      </c>
      <c r="M1024" s="44">
        <v>0</v>
      </c>
      <c r="N1024" s="44">
        <f t="shared" si="15"/>
        <v>18722.04</v>
      </c>
      <c r="O1024" s="44">
        <v>18722.04</v>
      </c>
      <c r="P1024" s="40" t="s">
        <v>6070</v>
      </c>
      <c r="Q1024" s="40" t="s">
        <v>6071</v>
      </c>
      <c r="R1024" s="40" t="s">
        <v>494</v>
      </c>
      <c r="S1024" s="40" t="s">
        <v>502</v>
      </c>
      <c r="T1024" s="40" t="s">
        <v>287</v>
      </c>
      <c r="U1024" s="40" t="s">
        <v>6072</v>
      </c>
      <c r="V1024" s="40"/>
      <c r="W1024" s="40" t="s">
        <v>6073</v>
      </c>
    </row>
    <row r="1025" spans="1:23" ht="12" x14ac:dyDescent="0.2">
      <c r="A1025" s="39" t="s">
        <v>299</v>
      </c>
      <c r="B1025" s="40" t="s">
        <v>3876</v>
      </c>
      <c r="C1025" s="40" t="s">
        <v>6074</v>
      </c>
      <c r="D1025" s="41">
        <v>46049</v>
      </c>
      <c r="E1025" s="41">
        <v>46079</v>
      </c>
      <c r="F1025" s="41">
        <v>46091</v>
      </c>
      <c r="G1025" s="42">
        <v>12</v>
      </c>
      <c r="H1025" s="40" t="s">
        <v>549</v>
      </c>
      <c r="I1025" s="39" t="s">
        <v>320</v>
      </c>
      <c r="J1025" s="43">
        <v>33290.79</v>
      </c>
      <c r="K1025" s="43">
        <v>0</v>
      </c>
      <c r="L1025" s="43">
        <v>33290.79</v>
      </c>
      <c r="M1025" s="44">
        <v>0</v>
      </c>
      <c r="N1025" s="44">
        <f t="shared" si="15"/>
        <v>33290.79</v>
      </c>
      <c r="O1025" s="44">
        <v>33290.79</v>
      </c>
      <c r="P1025" s="40" t="s">
        <v>6075</v>
      </c>
      <c r="Q1025" s="40" t="s">
        <v>6076</v>
      </c>
      <c r="R1025" s="40" t="s">
        <v>494</v>
      </c>
      <c r="S1025" s="40" t="s">
        <v>502</v>
      </c>
      <c r="T1025" s="40" t="s">
        <v>197</v>
      </c>
      <c r="U1025" s="40" t="s">
        <v>6077</v>
      </c>
      <c r="V1025" s="40"/>
      <c r="W1025" s="40" t="s">
        <v>6078</v>
      </c>
    </row>
    <row r="1026" spans="1:23" ht="12" x14ac:dyDescent="0.2">
      <c r="A1026" s="39" t="s">
        <v>1818</v>
      </c>
      <c r="B1026" s="40" t="s">
        <v>1819</v>
      </c>
      <c r="C1026" s="40" t="s">
        <v>6079</v>
      </c>
      <c r="D1026" s="41">
        <v>46049</v>
      </c>
      <c r="E1026" s="41">
        <v>46079</v>
      </c>
      <c r="F1026" s="41">
        <v>46091</v>
      </c>
      <c r="G1026" s="42">
        <v>12</v>
      </c>
      <c r="H1026" s="40" t="s">
        <v>549</v>
      </c>
      <c r="I1026" s="39" t="s">
        <v>320</v>
      </c>
      <c r="J1026" s="43">
        <v>-5033.1099999999997</v>
      </c>
      <c r="K1026" s="43">
        <v>0</v>
      </c>
      <c r="L1026" s="43">
        <v>-5033.1099999999997</v>
      </c>
      <c r="M1026" s="44">
        <v>0</v>
      </c>
      <c r="N1026" s="44">
        <f t="shared" si="15"/>
        <v>-5033.1099999999997</v>
      </c>
      <c r="O1026" s="44">
        <v>-5033.1099999999997</v>
      </c>
      <c r="P1026" s="40" t="s">
        <v>6080</v>
      </c>
      <c r="Q1026" s="40" t="s">
        <v>6081</v>
      </c>
      <c r="R1026" s="40" t="s">
        <v>494</v>
      </c>
      <c r="S1026" s="40" t="s">
        <v>495</v>
      </c>
      <c r="T1026" s="40" t="s">
        <v>538</v>
      </c>
      <c r="U1026" s="40" t="s">
        <v>2342</v>
      </c>
      <c r="V1026" s="40"/>
      <c r="W1026" s="40" t="s">
        <v>6082</v>
      </c>
    </row>
    <row r="1027" spans="1:23" ht="12" x14ac:dyDescent="0.2">
      <c r="A1027" s="39" t="s">
        <v>55</v>
      </c>
      <c r="B1027" s="40" t="s">
        <v>371</v>
      </c>
      <c r="C1027" s="40" t="s">
        <v>6083</v>
      </c>
      <c r="D1027" s="41">
        <v>46049</v>
      </c>
      <c r="E1027" s="41">
        <v>46079</v>
      </c>
      <c r="F1027" s="41">
        <v>46091</v>
      </c>
      <c r="G1027" s="42">
        <v>12</v>
      </c>
      <c r="H1027" s="40" t="s">
        <v>549</v>
      </c>
      <c r="I1027" s="39" t="s">
        <v>320</v>
      </c>
      <c r="J1027" s="43">
        <v>47626.93</v>
      </c>
      <c r="K1027" s="43">
        <v>0</v>
      </c>
      <c r="L1027" s="43">
        <v>47626.93</v>
      </c>
      <c r="M1027" s="44">
        <v>0</v>
      </c>
      <c r="N1027" s="44">
        <f t="shared" ref="N1027:N1090" si="16">IF(I1027="GBP",L1027-K1027,O1027-K1027)</f>
        <v>47626.93</v>
      </c>
      <c r="O1027" s="44">
        <v>47626.93</v>
      </c>
      <c r="P1027" s="40" t="s">
        <v>3068</v>
      </c>
      <c r="Q1027" s="40" t="s">
        <v>3069</v>
      </c>
      <c r="R1027" s="40" t="s">
        <v>494</v>
      </c>
      <c r="S1027" s="40" t="s">
        <v>502</v>
      </c>
      <c r="T1027" s="40" t="s">
        <v>330</v>
      </c>
      <c r="U1027" s="40" t="s">
        <v>647</v>
      </c>
      <c r="V1027" s="40"/>
      <c r="W1027" s="40" t="s">
        <v>3070</v>
      </c>
    </row>
    <row r="1028" spans="1:23" ht="12" x14ac:dyDescent="0.2">
      <c r="A1028" s="39" t="s">
        <v>444</v>
      </c>
      <c r="B1028" s="40" t="s">
        <v>443</v>
      </c>
      <c r="C1028" s="40" t="s">
        <v>6084</v>
      </c>
      <c r="D1028" s="41">
        <v>46049</v>
      </c>
      <c r="E1028" s="41">
        <v>46079</v>
      </c>
      <c r="F1028" s="41">
        <v>46091</v>
      </c>
      <c r="G1028" s="42">
        <v>12</v>
      </c>
      <c r="H1028" s="40" t="s">
        <v>549</v>
      </c>
      <c r="I1028" s="39" t="s">
        <v>320</v>
      </c>
      <c r="J1028" s="43">
        <v>9138.26</v>
      </c>
      <c r="K1028" s="43">
        <v>0</v>
      </c>
      <c r="L1028" s="43">
        <v>9138.26</v>
      </c>
      <c r="M1028" s="44">
        <v>0</v>
      </c>
      <c r="N1028" s="44">
        <f t="shared" si="16"/>
        <v>9138.26</v>
      </c>
      <c r="O1028" s="44">
        <v>9138.26</v>
      </c>
      <c r="P1028" s="40" t="s">
        <v>6085</v>
      </c>
      <c r="Q1028" s="40" t="s">
        <v>6086</v>
      </c>
      <c r="R1028" s="40" t="s">
        <v>494</v>
      </c>
      <c r="S1028" s="40" t="s">
        <v>495</v>
      </c>
      <c r="T1028" s="40" t="s">
        <v>224</v>
      </c>
      <c r="U1028" s="40" t="s">
        <v>3476</v>
      </c>
      <c r="V1028" s="40"/>
      <c r="W1028" s="40" t="s">
        <v>6087</v>
      </c>
    </row>
    <row r="1029" spans="1:23" ht="12" x14ac:dyDescent="0.2">
      <c r="A1029" s="39" t="s">
        <v>48</v>
      </c>
      <c r="B1029" s="40" t="s">
        <v>389</v>
      </c>
      <c r="C1029" s="40" t="s">
        <v>6088</v>
      </c>
      <c r="D1029" s="41">
        <v>46049</v>
      </c>
      <c r="E1029" s="41">
        <v>46079</v>
      </c>
      <c r="F1029" s="41">
        <v>46091</v>
      </c>
      <c r="G1029" s="42">
        <v>12</v>
      </c>
      <c r="H1029" s="40" t="s">
        <v>549</v>
      </c>
      <c r="I1029" s="39" t="s">
        <v>320</v>
      </c>
      <c r="J1029" s="43">
        <v>253909.29</v>
      </c>
      <c r="K1029" s="43">
        <v>0</v>
      </c>
      <c r="L1029" s="43">
        <v>253909.29</v>
      </c>
      <c r="M1029" s="44">
        <v>0</v>
      </c>
      <c r="N1029" s="44">
        <f t="shared" si="16"/>
        <v>253909.29</v>
      </c>
      <c r="O1029" s="44">
        <v>253909.29</v>
      </c>
      <c r="P1029" s="40" t="s">
        <v>6089</v>
      </c>
      <c r="Q1029" s="40" t="s">
        <v>6090</v>
      </c>
      <c r="R1029" s="40" t="s">
        <v>494</v>
      </c>
      <c r="S1029" s="40" t="s">
        <v>495</v>
      </c>
      <c r="T1029" s="40" t="s">
        <v>178</v>
      </c>
      <c r="U1029" s="40" t="s">
        <v>6091</v>
      </c>
      <c r="V1029" s="40"/>
      <c r="W1029" s="40" t="s">
        <v>6092</v>
      </c>
    </row>
    <row r="1030" spans="1:23" ht="12" x14ac:dyDescent="0.2">
      <c r="A1030" s="39" t="s">
        <v>55</v>
      </c>
      <c r="B1030" s="40" t="s">
        <v>371</v>
      </c>
      <c r="C1030" s="40" t="s">
        <v>6093</v>
      </c>
      <c r="D1030" s="41">
        <v>46049</v>
      </c>
      <c r="E1030" s="41">
        <v>46079</v>
      </c>
      <c r="F1030" s="41">
        <v>46091</v>
      </c>
      <c r="G1030" s="42">
        <v>12</v>
      </c>
      <c r="H1030" s="40" t="s">
        <v>549</v>
      </c>
      <c r="I1030" s="39" t="s">
        <v>320</v>
      </c>
      <c r="J1030" s="43">
        <v>54465.18</v>
      </c>
      <c r="K1030" s="43">
        <v>0</v>
      </c>
      <c r="L1030" s="43">
        <v>54465.18</v>
      </c>
      <c r="M1030" s="44">
        <v>0</v>
      </c>
      <c r="N1030" s="44">
        <f t="shared" si="16"/>
        <v>54465.18</v>
      </c>
      <c r="O1030" s="44">
        <v>54465.18</v>
      </c>
      <c r="P1030" s="40" t="s">
        <v>3087</v>
      </c>
      <c r="Q1030" s="40" t="s">
        <v>3088</v>
      </c>
      <c r="R1030" s="40" t="s">
        <v>494</v>
      </c>
      <c r="S1030" s="40" t="s">
        <v>502</v>
      </c>
      <c r="T1030" s="40" t="s">
        <v>287</v>
      </c>
      <c r="U1030" s="40" t="s">
        <v>568</v>
      </c>
      <c r="V1030" s="40"/>
      <c r="W1030" s="40" t="s">
        <v>3089</v>
      </c>
    </row>
    <row r="1031" spans="1:23" ht="12" x14ac:dyDescent="0.2">
      <c r="A1031" s="39" t="s">
        <v>374</v>
      </c>
      <c r="B1031" s="40" t="s">
        <v>373</v>
      </c>
      <c r="C1031" s="40" t="s">
        <v>6094</v>
      </c>
      <c r="D1031" s="41">
        <v>46049</v>
      </c>
      <c r="E1031" s="41">
        <v>46079</v>
      </c>
      <c r="F1031" s="41">
        <v>46091</v>
      </c>
      <c r="G1031" s="42">
        <v>12</v>
      </c>
      <c r="H1031" s="40" t="s">
        <v>549</v>
      </c>
      <c r="I1031" s="39" t="s">
        <v>320</v>
      </c>
      <c r="J1031" s="43">
        <v>1573.9</v>
      </c>
      <c r="K1031" s="43">
        <v>0</v>
      </c>
      <c r="L1031" s="43">
        <v>1573.9</v>
      </c>
      <c r="M1031" s="44">
        <v>0</v>
      </c>
      <c r="N1031" s="44">
        <f t="shared" si="16"/>
        <v>1573.9</v>
      </c>
      <c r="O1031" s="44">
        <v>1573.9</v>
      </c>
      <c r="P1031" s="40" t="s">
        <v>6095</v>
      </c>
      <c r="Q1031" s="40" t="s">
        <v>6096</v>
      </c>
      <c r="R1031" s="40" t="s">
        <v>494</v>
      </c>
      <c r="S1031" s="40" t="s">
        <v>502</v>
      </c>
      <c r="T1031" s="40" t="s">
        <v>191</v>
      </c>
      <c r="U1031" s="40" t="s">
        <v>692</v>
      </c>
      <c r="V1031" s="40" t="s">
        <v>5506</v>
      </c>
      <c r="W1031" s="40" t="s">
        <v>6097</v>
      </c>
    </row>
    <row r="1032" spans="1:23" ht="12" x14ac:dyDescent="0.2">
      <c r="A1032" s="39" t="s">
        <v>357</v>
      </c>
      <c r="B1032" s="40" t="s">
        <v>356</v>
      </c>
      <c r="C1032" s="40" t="s">
        <v>6098</v>
      </c>
      <c r="D1032" s="41">
        <v>46049</v>
      </c>
      <c r="E1032" s="41">
        <v>46079</v>
      </c>
      <c r="F1032" s="41">
        <v>46091</v>
      </c>
      <c r="G1032" s="42">
        <v>12</v>
      </c>
      <c r="H1032" s="40" t="s">
        <v>549</v>
      </c>
      <c r="I1032" s="39" t="s">
        <v>341</v>
      </c>
      <c r="J1032" s="43">
        <v>201243.86</v>
      </c>
      <c r="K1032" s="43">
        <v>0</v>
      </c>
      <c r="L1032" s="43">
        <v>201243.86</v>
      </c>
      <c r="M1032" s="44">
        <v>0</v>
      </c>
      <c r="N1032" s="44">
        <f t="shared" si="16"/>
        <v>171665.04</v>
      </c>
      <c r="O1032" s="44">
        <v>171665.04</v>
      </c>
      <c r="P1032" s="40" t="s">
        <v>2165</v>
      </c>
      <c r="Q1032" s="40" t="s">
        <v>2166</v>
      </c>
      <c r="R1032" s="40" t="s">
        <v>494</v>
      </c>
      <c r="S1032" s="40" t="s">
        <v>502</v>
      </c>
      <c r="T1032" s="40" t="s">
        <v>191</v>
      </c>
      <c r="U1032" s="40" t="s">
        <v>828</v>
      </c>
      <c r="V1032" s="40"/>
      <c r="W1032" s="40" t="s">
        <v>2167</v>
      </c>
    </row>
    <row r="1033" spans="1:23" ht="12" x14ac:dyDescent="0.2">
      <c r="A1033" s="39" t="s">
        <v>10</v>
      </c>
      <c r="B1033" s="40" t="s">
        <v>393</v>
      </c>
      <c r="C1033" s="40" t="s">
        <v>6099</v>
      </c>
      <c r="D1033" s="41">
        <v>46050</v>
      </c>
      <c r="E1033" s="41">
        <v>46080</v>
      </c>
      <c r="F1033" s="41">
        <v>46091</v>
      </c>
      <c r="G1033" s="42">
        <v>11</v>
      </c>
      <c r="H1033" s="40" t="s">
        <v>549</v>
      </c>
      <c r="I1033" s="39" t="s">
        <v>320</v>
      </c>
      <c r="J1033" s="43">
        <v>37976</v>
      </c>
      <c r="K1033" s="43">
        <v>0</v>
      </c>
      <c r="L1033" s="43">
        <v>37976</v>
      </c>
      <c r="M1033" s="44">
        <v>0</v>
      </c>
      <c r="N1033" s="44">
        <f t="shared" si="16"/>
        <v>37976</v>
      </c>
      <c r="O1033" s="44">
        <v>37976</v>
      </c>
      <c r="P1033" s="40" t="s">
        <v>6100</v>
      </c>
      <c r="Q1033" s="40" t="s">
        <v>6101</v>
      </c>
      <c r="R1033" s="40" t="s">
        <v>494</v>
      </c>
      <c r="S1033" s="40" t="s">
        <v>502</v>
      </c>
      <c r="T1033" s="40" t="s">
        <v>218</v>
      </c>
      <c r="U1033" s="40" t="s">
        <v>6102</v>
      </c>
      <c r="V1033" s="40"/>
      <c r="W1033" s="40" t="s">
        <v>6103</v>
      </c>
    </row>
    <row r="1034" spans="1:23" ht="12" x14ac:dyDescent="0.2">
      <c r="A1034" s="39" t="s">
        <v>925</v>
      </c>
      <c r="B1034" s="40" t="s">
        <v>926</v>
      </c>
      <c r="C1034" s="40" t="s">
        <v>6104</v>
      </c>
      <c r="D1034" s="41">
        <v>46050</v>
      </c>
      <c r="E1034" s="41">
        <v>46080</v>
      </c>
      <c r="F1034" s="41">
        <v>46091</v>
      </c>
      <c r="G1034" s="42">
        <v>11</v>
      </c>
      <c r="H1034" s="40" t="s">
        <v>549</v>
      </c>
      <c r="I1034" s="39" t="s">
        <v>320</v>
      </c>
      <c r="J1034" s="43">
        <v>39131.699999999997</v>
      </c>
      <c r="K1034" s="43">
        <v>0</v>
      </c>
      <c r="L1034" s="43">
        <v>39131.699999999997</v>
      </c>
      <c r="M1034" s="44">
        <v>0</v>
      </c>
      <c r="N1034" s="44">
        <f t="shared" si="16"/>
        <v>39131.699999999997</v>
      </c>
      <c r="O1034" s="44">
        <v>39131.699999999997</v>
      </c>
      <c r="P1034" s="40" t="s">
        <v>6105</v>
      </c>
      <c r="Q1034" s="40" t="s">
        <v>6106</v>
      </c>
      <c r="R1034" s="40" t="s">
        <v>494</v>
      </c>
      <c r="S1034" s="40" t="s">
        <v>502</v>
      </c>
      <c r="T1034" s="40" t="s">
        <v>330</v>
      </c>
      <c r="U1034" s="40" t="s">
        <v>633</v>
      </c>
      <c r="V1034" s="40"/>
      <c r="W1034" s="40" t="s">
        <v>6107</v>
      </c>
    </row>
    <row r="1035" spans="1:23" ht="12" x14ac:dyDescent="0.2">
      <c r="A1035" s="39" t="s">
        <v>22</v>
      </c>
      <c r="B1035" s="40" t="s">
        <v>326</v>
      </c>
      <c r="C1035" s="40" t="s">
        <v>6108</v>
      </c>
      <c r="D1035" s="41">
        <v>46050</v>
      </c>
      <c r="E1035" s="41">
        <v>46080</v>
      </c>
      <c r="F1035" s="41">
        <v>46091</v>
      </c>
      <c r="G1035" s="42">
        <v>11</v>
      </c>
      <c r="H1035" s="40" t="s">
        <v>549</v>
      </c>
      <c r="I1035" s="39" t="s">
        <v>320</v>
      </c>
      <c r="J1035" s="43">
        <v>3013.33</v>
      </c>
      <c r="K1035" s="43">
        <v>0</v>
      </c>
      <c r="L1035" s="43">
        <v>3013.33</v>
      </c>
      <c r="M1035" s="44">
        <v>0</v>
      </c>
      <c r="N1035" s="44">
        <f t="shared" si="16"/>
        <v>3013.33</v>
      </c>
      <c r="O1035" s="44">
        <v>3013.33</v>
      </c>
      <c r="P1035" s="40" t="s">
        <v>6109</v>
      </c>
      <c r="Q1035" s="40" t="s">
        <v>6110</v>
      </c>
      <c r="R1035" s="40" t="s">
        <v>494</v>
      </c>
      <c r="S1035" s="40" t="s">
        <v>495</v>
      </c>
      <c r="T1035" s="40" t="s">
        <v>287</v>
      </c>
      <c r="U1035" s="40" t="s">
        <v>6111</v>
      </c>
      <c r="V1035" s="40" t="s">
        <v>6112</v>
      </c>
      <c r="W1035" s="40" t="s">
        <v>6113</v>
      </c>
    </row>
    <row r="1036" spans="1:23" ht="12" x14ac:dyDescent="0.2">
      <c r="A1036" s="39" t="s">
        <v>22</v>
      </c>
      <c r="B1036" s="40" t="s">
        <v>326</v>
      </c>
      <c r="C1036" s="40" t="s">
        <v>6114</v>
      </c>
      <c r="D1036" s="41">
        <v>46050</v>
      </c>
      <c r="E1036" s="41">
        <v>46080</v>
      </c>
      <c r="F1036" s="41">
        <v>46091</v>
      </c>
      <c r="G1036" s="42">
        <v>11</v>
      </c>
      <c r="H1036" s="40" t="s">
        <v>549</v>
      </c>
      <c r="I1036" s="39" t="s">
        <v>320</v>
      </c>
      <c r="J1036" s="43">
        <v>607.02</v>
      </c>
      <c r="K1036" s="43">
        <v>0</v>
      </c>
      <c r="L1036" s="43">
        <v>607.02</v>
      </c>
      <c r="M1036" s="44">
        <v>0</v>
      </c>
      <c r="N1036" s="44">
        <f t="shared" si="16"/>
        <v>607.02</v>
      </c>
      <c r="O1036" s="44">
        <v>607.02</v>
      </c>
      <c r="P1036" s="40" t="s">
        <v>6109</v>
      </c>
      <c r="Q1036" s="40" t="s">
        <v>6110</v>
      </c>
      <c r="R1036" s="40" t="s">
        <v>494</v>
      </c>
      <c r="S1036" s="40" t="s">
        <v>495</v>
      </c>
      <c r="T1036" s="40" t="s">
        <v>287</v>
      </c>
      <c r="U1036" s="40" t="s">
        <v>6111</v>
      </c>
      <c r="V1036" s="40" t="s">
        <v>6112</v>
      </c>
      <c r="W1036" s="40" t="s">
        <v>6113</v>
      </c>
    </row>
    <row r="1037" spans="1:23" ht="12" x14ac:dyDescent="0.2">
      <c r="A1037" s="39" t="s">
        <v>299</v>
      </c>
      <c r="B1037" s="40" t="s">
        <v>3876</v>
      </c>
      <c r="C1037" s="40" t="s">
        <v>6115</v>
      </c>
      <c r="D1037" s="41">
        <v>46050</v>
      </c>
      <c r="E1037" s="41">
        <v>46080</v>
      </c>
      <c r="F1037" s="41">
        <v>46091</v>
      </c>
      <c r="G1037" s="42">
        <v>11</v>
      </c>
      <c r="H1037" s="40" t="s">
        <v>549</v>
      </c>
      <c r="I1037" s="39" t="s">
        <v>320</v>
      </c>
      <c r="J1037" s="43">
        <v>8731.2999999999993</v>
      </c>
      <c r="K1037" s="43">
        <v>0</v>
      </c>
      <c r="L1037" s="43">
        <v>8731.2999999999993</v>
      </c>
      <c r="M1037" s="44">
        <v>0</v>
      </c>
      <c r="N1037" s="44">
        <f t="shared" si="16"/>
        <v>8731.2999999999993</v>
      </c>
      <c r="O1037" s="44">
        <v>8731.2999999999993</v>
      </c>
      <c r="P1037" s="40" t="s">
        <v>6116</v>
      </c>
      <c r="Q1037" s="40" t="s">
        <v>6117</v>
      </c>
      <c r="R1037" s="40" t="s">
        <v>494</v>
      </c>
      <c r="S1037" s="40" t="s">
        <v>495</v>
      </c>
      <c r="T1037" s="40" t="s">
        <v>227</v>
      </c>
      <c r="U1037" s="40" t="s">
        <v>6118</v>
      </c>
      <c r="V1037" s="40"/>
      <c r="W1037" s="40" t="s">
        <v>321</v>
      </c>
    </row>
    <row r="1038" spans="1:23" ht="12" x14ac:dyDescent="0.2">
      <c r="A1038" s="39" t="s">
        <v>825</v>
      </c>
      <c r="B1038" s="40" t="s">
        <v>826</v>
      </c>
      <c r="C1038" s="40" t="s">
        <v>6119</v>
      </c>
      <c r="D1038" s="41">
        <v>46050</v>
      </c>
      <c r="E1038" s="41">
        <v>46080</v>
      </c>
      <c r="F1038" s="41">
        <v>46091</v>
      </c>
      <c r="G1038" s="42">
        <v>11</v>
      </c>
      <c r="H1038" s="40" t="s">
        <v>549</v>
      </c>
      <c r="I1038" s="39" t="s">
        <v>320</v>
      </c>
      <c r="J1038" s="43">
        <v>60800</v>
      </c>
      <c r="K1038" s="43">
        <v>0</v>
      </c>
      <c r="L1038" s="43">
        <v>60800</v>
      </c>
      <c r="M1038" s="44">
        <v>0</v>
      </c>
      <c r="N1038" s="44">
        <f t="shared" si="16"/>
        <v>60800</v>
      </c>
      <c r="O1038" s="44">
        <v>60800</v>
      </c>
      <c r="P1038" s="40" t="s">
        <v>6120</v>
      </c>
      <c r="Q1038" s="40" t="s">
        <v>6121</v>
      </c>
      <c r="R1038" s="40" t="s">
        <v>494</v>
      </c>
      <c r="S1038" s="40" t="s">
        <v>502</v>
      </c>
      <c r="T1038" s="40" t="s">
        <v>289</v>
      </c>
      <c r="U1038" s="40" t="s">
        <v>637</v>
      </c>
      <c r="V1038" s="40"/>
      <c r="W1038" s="40" t="s">
        <v>6122</v>
      </c>
    </row>
    <row r="1039" spans="1:23" ht="12" x14ac:dyDescent="0.2">
      <c r="A1039" s="39" t="s">
        <v>651</v>
      </c>
      <c r="B1039" s="40" t="s">
        <v>652</v>
      </c>
      <c r="C1039" s="40" t="s">
        <v>6123</v>
      </c>
      <c r="D1039" s="41">
        <v>46050</v>
      </c>
      <c r="E1039" s="41">
        <v>46080</v>
      </c>
      <c r="F1039" s="41">
        <v>46091</v>
      </c>
      <c r="G1039" s="42">
        <v>11</v>
      </c>
      <c r="H1039" s="40" t="s">
        <v>549</v>
      </c>
      <c r="I1039" s="39" t="s">
        <v>320</v>
      </c>
      <c r="J1039" s="43">
        <v>19582.8</v>
      </c>
      <c r="K1039" s="43">
        <v>0</v>
      </c>
      <c r="L1039" s="43">
        <v>19582.8</v>
      </c>
      <c r="M1039" s="44">
        <v>0</v>
      </c>
      <c r="N1039" s="44">
        <f t="shared" si="16"/>
        <v>19582.8</v>
      </c>
      <c r="O1039" s="44">
        <v>19582.8</v>
      </c>
      <c r="P1039" s="40" t="s">
        <v>1930</v>
      </c>
      <c r="Q1039" s="40" t="s">
        <v>1931</v>
      </c>
      <c r="R1039" s="40" t="s">
        <v>494</v>
      </c>
      <c r="S1039" s="40" t="s">
        <v>502</v>
      </c>
      <c r="T1039" s="40" t="s">
        <v>508</v>
      </c>
      <c r="U1039" s="40" t="s">
        <v>1932</v>
      </c>
      <c r="V1039" s="40"/>
      <c r="W1039" s="40" t="s">
        <v>1933</v>
      </c>
    </row>
    <row r="1040" spans="1:23" ht="12" x14ac:dyDescent="0.2">
      <c r="A1040" s="39" t="s">
        <v>337</v>
      </c>
      <c r="B1040" s="40" t="s">
        <v>336</v>
      </c>
      <c r="C1040" s="40" t="s">
        <v>6124</v>
      </c>
      <c r="D1040" s="41">
        <v>46050</v>
      </c>
      <c r="E1040" s="41">
        <v>46080</v>
      </c>
      <c r="F1040" s="41">
        <v>46091</v>
      </c>
      <c r="G1040" s="42">
        <v>11</v>
      </c>
      <c r="H1040" s="40" t="s">
        <v>549</v>
      </c>
      <c r="I1040" s="39" t="s">
        <v>320</v>
      </c>
      <c r="J1040" s="43">
        <v>37301.96</v>
      </c>
      <c r="K1040" s="43">
        <v>0</v>
      </c>
      <c r="L1040" s="43">
        <v>37301.96</v>
      </c>
      <c r="M1040" s="44">
        <v>0</v>
      </c>
      <c r="N1040" s="44">
        <f t="shared" si="16"/>
        <v>37301.96</v>
      </c>
      <c r="O1040" s="44">
        <v>37301.96</v>
      </c>
      <c r="P1040" s="40" t="s">
        <v>1177</v>
      </c>
      <c r="Q1040" s="40" t="s">
        <v>1178</v>
      </c>
      <c r="R1040" s="40" t="s">
        <v>494</v>
      </c>
      <c r="S1040" s="40" t="s">
        <v>502</v>
      </c>
      <c r="T1040" s="40" t="s">
        <v>289</v>
      </c>
      <c r="U1040" s="40" t="s">
        <v>1179</v>
      </c>
      <c r="V1040" s="40"/>
      <c r="W1040" s="40" t="s">
        <v>1180</v>
      </c>
    </row>
    <row r="1041" spans="1:23" ht="12" x14ac:dyDescent="0.2">
      <c r="A1041" s="39" t="s">
        <v>31</v>
      </c>
      <c r="B1041" s="40" t="s">
        <v>353</v>
      </c>
      <c r="C1041" s="40" t="s">
        <v>6125</v>
      </c>
      <c r="D1041" s="41">
        <v>46050</v>
      </c>
      <c r="E1041" s="41">
        <v>46080</v>
      </c>
      <c r="F1041" s="41">
        <v>46091</v>
      </c>
      <c r="G1041" s="42">
        <v>11</v>
      </c>
      <c r="H1041" s="40" t="s">
        <v>549</v>
      </c>
      <c r="I1041" s="39" t="s">
        <v>320</v>
      </c>
      <c r="J1041" s="43">
        <v>30099.97</v>
      </c>
      <c r="K1041" s="43">
        <v>0</v>
      </c>
      <c r="L1041" s="43">
        <v>30099.97</v>
      </c>
      <c r="M1041" s="44">
        <v>0</v>
      </c>
      <c r="N1041" s="44">
        <f t="shared" si="16"/>
        <v>30099.97</v>
      </c>
      <c r="O1041" s="44">
        <v>30099.97</v>
      </c>
      <c r="P1041" s="40" t="s">
        <v>6126</v>
      </c>
      <c r="Q1041" s="40" t="s">
        <v>6127</v>
      </c>
      <c r="R1041" s="40" t="s">
        <v>494</v>
      </c>
      <c r="S1041" s="40" t="s">
        <v>495</v>
      </c>
      <c r="T1041" s="40" t="s">
        <v>218</v>
      </c>
      <c r="U1041" s="40" t="s">
        <v>1157</v>
      </c>
      <c r="V1041" s="40"/>
      <c r="W1041" s="40" t="s">
        <v>6128</v>
      </c>
    </row>
    <row r="1042" spans="1:23" ht="12" x14ac:dyDescent="0.2">
      <c r="A1042" s="39" t="s">
        <v>53</v>
      </c>
      <c r="B1042" s="40" t="s">
        <v>331</v>
      </c>
      <c r="C1042" s="40" t="s">
        <v>6129</v>
      </c>
      <c r="D1042" s="41">
        <v>46050</v>
      </c>
      <c r="E1042" s="41">
        <v>46080</v>
      </c>
      <c r="F1042" s="41">
        <v>46091</v>
      </c>
      <c r="G1042" s="42">
        <v>11</v>
      </c>
      <c r="H1042" s="40" t="s">
        <v>549</v>
      </c>
      <c r="I1042" s="39" t="s">
        <v>320</v>
      </c>
      <c r="J1042" s="43">
        <v>54657.75</v>
      </c>
      <c r="K1042" s="43">
        <v>0</v>
      </c>
      <c r="L1042" s="43">
        <v>54657.75</v>
      </c>
      <c r="M1042" s="44">
        <v>0</v>
      </c>
      <c r="N1042" s="44">
        <f t="shared" si="16"/>
        <v>54657.75</v>
      </c>
      <c r="O1042" s="44">
        <v>54657.75</v>
      </c>
      <c r="P1042" s="40" t="s">
        <v>6130</v>
      </c>
      <c r="Q1042" s="40" t="s">
        <v>6131</v>
      </c>
      <c r="R1042" s="40" t="s">
        <v>494</v>
      </c>
      <c r="S1042" s="40" t="s">
        <v>495</v>
      </c>
      <c r="T1042" s="40" t="s">
        <v>218</v>
      </c>
      <c r="U1042" s="40" t="s">
        <v>6102</v>
      </c>
      <c r="V1042" s="40"/>
      <c r="W1042" s="40" t="s">
        <v>6132</v>
      </c>
    </row>
    <row r="1043" spans="1:23" ht="12" x14ac:dyDescent="0.2">
      <c r="A1043" s="39" t="s">
        <v>337</v>
      </c>
      <c r="B1043" s="40" t="s">
        <v>336</v>
      </c>
      <c r="C1043" s="40" t="s">
        <v>6133</v>
      </c>
      <c r="D1043" s="41">
        <v>46050</v>
      </c>
      <c r="E1043" s="41">
        <v>46080</v>
      </c>
      <c r="F1043" s="41">
        <v>46091</v>
      </c>
      <c r="G1043" s="42">
        <v>11</v>
      </c>
      <c r="H1043" s="40" t="s">
        <v>549</v>
      </c>
      <c r="I1043" s="39" t="s">
        <v>320</v>
      </c>
      <c r="J1043" s="43">
        <v>97034.08</v>
      </c>
      <c r="K1043" s="43">
        <v>0</v>
      </c>
      <c r="L1043" s="43">
        <v>97034.08</v>
      </c>
      <c r="M1043" s="44">
        <v>0</v>
      </c>
      <c r="N1043" s="44">
        <f t="shared" si="16"/>
        <v>97034.08</v>
      </c>
      <c r="O1043" s="44">
        <v>97034.08</v>
      </c>
      <c r="P1043" s="40" t="s">
        <v>1001</v>
      </c>
      <c r="Q1043" s="40" t="s">
        <v>1002</v>
      </c>
      <c r="R1043" s="40" t="s">
        <v>494</v>
      </c>
      <c r="S1043" s="40" t="s">
        <v>502</v>
      </c>
      <c r="T1043" s="40" t="s">
        <v>289</v>
      </c>
      <c r="U1043" s="40" t="s">
        <v>1003</v>
      </c>
      <c r="V1043" s="40" t="s">
        <v>3823</v>
      </c>
      <c r="W1043" s="40" t="s">
        <v>1004</v>
      </c>
    </row>
    <row r="1044" spans="1:23" ht="12" x14ac:dyDescent="0.2">
      <c r="A1044" s="39" t="s">
        <v>943</v>
      </c>
      <c r="B1044" s="40" t="s">
        <v>944</v>
      </c>
      <c r="C1044" s="40" t="s">
        <v>6134</v>
      </c>
      <c r="D1044" s="41">
        <v>46050</v>
      </c>
      <c r="E1044" s="41">
        <v>46080</v>
      </c>
      <c r="F1044" s="41">
        <v>46091</v>
      </c>
      <c r="G1044" s="42">
        <v>11</v>
      </c>
      <c r="H1044" s="40" t="s">
        <v>549</v>
      </c>
      <c r="I1044" s="39" t="s">
        <v>320</v>
      </c>
      <c r="J1044" s="43">
        <v>41232.04</v>
      </c>
      <c r="K1044" s="43">
        <v>0</v>
      </c>
      <c r="L1044" s="43">
        <v>41232.04</v>
      </c>
      <c r="M1044" s="44">
        <v>0</v>
      </c>
      <c r="N1044" s="44">
        <f t="shared" si="16"/>
        <v>41232.04</v>
      </c>
      <c r="O1044" s="44">
        <v>41232.04</v>
      </c>
      <c r="P1044" s="40" t="s">
        <v>2851</v>
      </c>
      <c r="Q1044" s="40" t="s">
        <v>2852</v>
      </c>
      <c r="R1044" s="40" t="s">
        <v>494</v>
      </c>
      <c r="S1044" s="40" t="s">
        <v>502</v>
      </c>
      <c r="T1044" s="40" t="s">
        <v>497</v>
      </c>
      <c r="U1044" s="40" t="s">
        <v>767</v>
      </c>
      <c r="V1044" s="40" t="s">
        <v>6135</v>
      </c>
      <c r="W1044" s="40" t="s">
        <v>322</v>
      </c>
    </row>
    <row r="1045" spans="1:23" ht="12" x14ac:dyDescent="0.2">
      <c r="A1045" s="39" t="s">
        <v>1314</v>
      </c>
      <c r="B1045" s="40" t="s">
        <v>1315</v>
      </c>
      <c r="C1045" s="40" t="s">
        <v>6136</v>
      </c>
      <c r="D1045" s="41">
        <v>46050</v>
      </c>
      <c r="E1045" s="41">
        <v>46080</v>
      </c>
      <c r="F1045" s="41">
        <v>46091</v>
      </c>
      <c r="G1045" s="42">
        <v>11</v>
      </c>
      <c r="H1045" s="40" t="s">
        <v>549</v>
      </c>
      <c r="I1045" s="39" t="s">
        <v>320</v>
      </c>
      <c r="J1045" s="43">
        <v>22696.880000000001</v>
      </c>
      <c r="K1045" s="43">
        <v>0</v>
      </c>
      <c r="L1045" s="43">
        <v>22696.880000000001</v>
      </c>
      <c r="M1045" s="44">
        <v>0</v>
      </c>
      <c r="N1045" s="44">
        <f t="shared" si="16"/>
        <v>22696.880000000001</v>
      </c>
      <c r="O1045" s="44">
        <v>22696.880000000001</v>
      </c>
      <c r="P1045" s="40" t="s">
        <v>6137</v>
      </c>
      <c r="Q1045" s="40" t="s">
        <v>6138</v>
      </c>
      <c r="R1045" s="40" t="s">
        <v>494</v>
      </c>
      <c r="S1045" s="40" t="s">
        <v>502</v>
      </c>
      <c r="T1045" s="40" t="s">
        <v>508</v>
      </c>
      <c r="U1045" s="40" t="s">
        <v>6139</v>
      </c>
      <c r="V1045" s="40"/>
      <c r="W1045" s="40" t="s">
        <v>6140</v>
      </c>
    </row>
    <row r="1046" spans="1:23" ht="12" x14ac:dyDescent="0.2">
      <c r="A1046" s="39" t="s">
        <v>1314</v>
      </c>
      <c r="B1046" s="40" t="s">
        <v>1315</v>
      </c>
      <c r="C1046" s="40" t="s">
        <v>6141</v>
      </c>
      <c r="D1046" s="41">
        <v>46050</v>
      </c>
      <c r="E1046" s="41">
        <v>46080</v>
      </c>
      <c r="F1046" s="41">
        <v>46091</v>
      </c>
      <c r="G1046" s="42">
        <v>11</v>
      </c>
      <c r="H1046" s="40" t="s">
        <v>549</v>
      </c>
      <c r="I1046" s="39" t="s">
        <v>320</v>
      </c>
      <c r="J1046" s="43">
        <v>27671.17</v>
      </c>
      <c r="K1046" s="43">
        <v>0</v>
      </c>
      <c r="L1046" s="43">
        <v>27671.17</v>
      </c>
      <c r="M1046" s="44">
        <v>0</v>
      </c>
      <c r="N1046" s="44">
        <f t="shared" si="16"/>
        <v>27671.17</v>
      </c>
      <c r="O1046" s="44">
        <v>27671.17</v>
      </c>
      <c r="P1046" s="40" t="s">
        <v>6142</v>
      </c>
      <c r="Q1046" s="40" t="s">
        <v>6143</v>
      </c>
      <c r="R1046" s="40" t="s">
        <v>494</v>
      </c>
      <c r="S1046" s="40" t="s">
        <v>502</v>
      </c>
      <c r="T1046" s="40" t="s">
        <v>508</v>
      </c>
      <c r="U1046" s="40" t="s">
        <v>6144</v>
      </c>
      <c r="V1046" s="40"/>
      <c r="W1046" s="40" t="s">
        <v>6145</v>
      </c>
    </row>
    <row r="1047" spans="1:23" ht="12" x14ac:dyDescent="0.2">
      <c r="A1047" s="39" t="s">
        <v>6146</v>
      </c>
      <c r="B1047" s="40" t="s">
        <v>6147</v>
      </c>
      <c r="C1047" s="40" t="s">
        <v>6148</v>
      </c>
      <c r="D1047" s="41">
        <v>46050</v>
      </c>
      <c r="E1047" s="41">
        <v>46080</v>
      </c>
      <c r="F1047" s="41">
        <v>46091</v>
      </c>
      <c r="G1047" s="42">
        <v>11</v>
      </c>
      <c r="H1047" s="40" t="s">
        <v>549</v>
      </c>
      <c r="I1047" s="39" t="s">
        <v>320</v>
      </c>
      <c r="J1047" s="43">
        <v>16291.29</v>
      </c>
      <c r="K1047" s="43">
        <v>0</v>
      </c>
      <c r="L1047" s="43">
        <v>16291.29</v>
      </c>
      <c r="M1047" s="44">
        <v>0</v>
      </c>
      <c r="N1047" s="44">
        <f t="shared" si="16"/>
        <v>16291.29</v>
      </c>
      <c r="O1047" s="44">
        <v>16291.29</v>
      </c>
      <c r="P1047" s="40" t="s">
        <v>6149</v>
      </c>
      <c r="Q1047" s="40" t="s">
        <v>6150</v>
      </c>
      <c r="R1047" s="40" t="s">
        <v>494</v>
      </c>
      <c r="S1047" s="40" t="s">
        <v>502</v>
      </c>
      <c r="T1047" s="40" t="s">
        <v>198</v>
      </c>
      <c r="U1047" s="40" t="s">
        <v>6151</v>
      </c>
      <c r="V1047" s="40"/>
      <c r="W1047" s="40" t="s">
        <v>322</v>
      </c>
    </row>
    <row r="1048" spans="1:23" ht="12" x14ac:dyDescent="0.2">
      <c r="A1048" s="39" t="s">
        <v>6152</v>
      </c>
      <c r="B1048" s="40" t="s">
        <v>6153</v>
      </c>
      <c r="C1048" s="40" t="s">
        <v>6154</v>
      </c>
      <c r="D1048" s="41">
        <v>46050</v>
      </c>
      <c r="E1048" s="41">
        <v>46080</v>
      </c>
      <c r="F1048" s="41">
        <v>46091</v>
      </c>
      <c r="G1048" s="42">
        <v>11</v>
      </c>
      <c r="H1048" s="40" t="s">
        <v>549</v>
      </c>
      <c r="I1048" s="39" t="s">
        <v>320</v>
      </c>
      <c r="J1048" s="43">
        <v>112080.56</v>
      </c>
      <c r="K1048" s="43">
        <v>0</v>
      </c>
      <c r="L1048" s="43">
        <v>112080.56</v>
      </c>
      <c r="M1048" s="44">
        <v>0</v>
      </c>
      <c r="N1048" s="44">
        <f t="shared" si="16"/>
        <v>112080.56</v>
      </c>
      <c r="O1048" s="44">
        <v>112080.56</v>
      </c>
      <c r="P1048" s="40" t="s">
        <v>6155</v>
      </c>
      <c r="Q1048" s="40" t="s">
        <v>6156</v>
      </c>
      <c r="R1048" s="40" t="s">
        <v>494</v>
      </c>
      <c r="S1048" s="40" t="s">
        <v>502</v>
      </c>
      <c r="T1048" s="40" t="s">
        <v>219</v>
      </c>
      <c r="U1048" s="40" t="s">
        <v>6157</v>
      </c>
      <c r="V1048" s="40"/>
      <c r="W1048" s="40" t="s">
        <v>6158</v>
      </c>
    </row>
    <row r="1049" spans="1:23" ht="12" x14ac:dyDescent="0.2">
      <c r="A1049" s="39" t="s">
        <v>6159</v>
      </c>
      <c r="B1049" s="40" t="s">
        <v>6160</v>
      </c>
      <c r="C1049" s="40" t="s">
        <v>6161</v>
      </c>
      <c r="D1049" s="41">
        <v>46050</v>
      </c>
      <c r="E1049" s="41">
        <v>46080</v>
      </c>
      <c r="F1049" s="41">
        <v>46091</v>
      </c>
      <c r="G1049" s="42">
        <v>11</v>
      </c>
      <c r="H1049" s="40" t="s">
        <v>549</v>
      </c>
      <c r="I1049" s="39" t="s">
        <v>320</v>
      </c>
      <c r="J1049" s="43">
        <v>55556</v>
      </c>
      <c r="K1049" s="43">
        <v>0</v>
      </c>
      <c r="L1049" s="43">
        <v>55556</v>
      </c>
      <c r="M1049" s="44">
        <v>0</v>
      </c>
      <c r="N1049" s="44">
        <f t="shared" si="16"/>
        <v>55556</v>
      </c>
      <c r="O1049" s="44">
        <v>55556</v>
      </c>
      <c r="P1049" s="40" t="s">
        <v>6162</v>
      </c>
      <c r="Q1049" s="40" t="s">
        <v>6163</v>
      </c>
      <c r="R1049" s="40" t="s">
        <v>494</v>
      </c>
      <c r="S1049" s="40" t="s">
        <v>502</v>
      </c>
      <c r="T1049" s="40" t="s">
        <v>165</v>
      </c>
      <c r="U1049" s="40" t="s">
        <v>6164</v>
      </c>
      <c r="V1049" s="40"/>
      <c r="W1049" s="40" t="s">
        <v>6165</v>
      </c>
    </row>
    <row r="1050" spans="1:23" ht="12" x14ac:dyDescent="0.2">
      <c r="A1050" s="39" t="s">
        <v>6166</v>
      </c>
      <c r="B1050" s="40" t="s">
        <v>6167</v>
      </c>
      <c r="C1050" s="40" t="s">
        <v>6168</v>
      </c>
      <c r="D1050" s="41">
        <v>46050</v>
      </c>
      <c r="E1050" s="41">
        <v>46080</v>
      </c>
      <c r="F1050" s="41">
        <v>46091</v>
      </c>
      <c r="G1050" s="42">
        <v>11</v>
      </c>
      <c r="H1050" s="40" t="s">
        <v>549</v>
      </c>
      <c r="I1050" s="39" t="s">
        <v>323</v>
      </c>
      <c r="J1050" s="43">
        <v>100348.2</v>
      </c>
      <c r="K1050" s="43">
        <v>0</v>
      </c>
      <c r="L1050" s="43">
        <v>100348.2</v>
      </c>
      <c r="M1050" s="44">
        <v>0</v>
      </c>
      <c r="N1050" s="44">
        <f t="shared" si="16"/>
        <v>74332</v>
      </c>
      <c r="O1050" s="44">
        <v>74332</v>
      </c>
      <c r="P1050" s="40" t="s">
        <v>6169</v>
      </c>
      <c r="Q1050" s="40" t="s">
        <v>6170</v>
      </c>
      <c r="R1050" s="40" t="s">
        <v>494</v>
      </c>
      <c r="S1050" s="40" t="s">
        <v>502</v>
      </c>
      <c r="T1050" s="40" t="s">
        <v>538</v>
      </c>
      <c r="U1050" s="40" t="s">
        <v>3566</v>
      </c>
      <c r="V1050" s="40" t="s">
        <v>6171</v>
      </c>
      <c r="W1050" s="40" t="s">
        <v>6172</v>
      </c>
    </row>
    <row r="1051" spans="1:23" ht="12" x14ac:dyDescent="0.2">
      <c r="A1051" s="39" t="s">
        <v>2736</v>
      </c>
      <c r="B1051" s="40" t="s">
        <v>2737</v>
      </c>
      <c r="C1051" s="40" t="s">
        <v>6173</v>
      </c>
      <c r="D1051" s="41">
        <v>46050</v>
      </c>
      <c r="E1051" s="41">
        <v>46080</v>
      </c>
      <c r="F1051" s="41">
        <v>46091</v>
      </c>
      <c r="G1051" s="42">
        <v>11</v>
      </c>
      <c r="H1051" s="40" t="s">
        <v>549</v>
      </c>
      <c r="I1051" s="39" t="s">
        <v>320</v>
      </c>
      <c r="J1051" s="43">
        <v>50444.82</v>
      </c>
      <c r="K1051" s="43">
        <v>0</v>
      </c>
      <c r="L1051" s="43">
        <v>50444.82</v>
      </c>
      <c r="M1051" s="44">
        <v>0</v>
      </c>
      <c r="N1051" s="44">
        <f t="shared" si="16"/>
        <v>50444.82</v>
      </c>
      <c r="O1051" s="44">
        <v>50444.82</v>
      </c>
      <c r="P1051" s="40" t="s">
        <v>2738</v>
      </c>
      <c r="Q1051" s="40" t="s">
        <v>2739</v>
      </c>
      <c r="R1051" s="40" t="s">
        <v>494</v>
      </c>
      <c r="S1051" s="40" t="s">
        <v>502</v>
      </c>
      <c r="T1051" s="40" t="s">
        <v>280</v>
      </c>
      <c r="U1051" s="40" t="s">
        <v>1109</v>
      </c>
      <c r="V1051" s="40" t="s">
        <v>6174</v>
      </c>
      <c r="W1051" s="40" t="s">
        <v>2740</v>
      </c>
    </row>
    <row r="1052" spans="1:23" ht="12" x14ac:dyDescent="0.2">
      <c r="A1052" s="39" t="s">
        <v>2736</v>
      </c>
      <c r="B1052" s="40" t="s">
        <v>2737</v>
      </c>
      <c r="C1052" s="40" t="s">
        <v>6175</v>
      </c>
      <c r="D1052" s="41">
        <v>46050</v>
      </c>
      <c r="E1052" s="41">
        <v>46080</v>
      </c>
      <c r="F1052" s="41">
        <v>46091</v>
      </c>
      <c r="G1052" s="42">
        <v>11</v>
      </c>
      <c r="H1052" s="40" t="s">
        <v>549</v>
      </c>
      <c r="I1052" s="39" t="s">
        <v>320</v>
      </c>
      <c r="J1052" s="43">
        <v>50444.82</v>
      </c>
      <c r="K1052" s="43">
        <v>0</v>
      </c>
      <c r="L1052" s="43">
        <v>50444.82</v>
      </c>
      <c r="M1052" s="44">
        <v>0</v>
      </c>
      <c r="N1052" s="44">
        <f t="shared" si="16"/>
        <v>50444.82</v>
      </c>
      <c r="O1052" s="44">
        <v>50444.82</v>
      </c>
      <c r="P1052" s="40" t="s">
        <v>2738</v>
      </c>
      <c r="Q1052" s="40" t="s">
        <v>2739</v>
      </c>
      <c r="R1052" s="40" t="s">
        <v>494</v>
      </c>
      <c r="S1052" s="40" t="s">
        <v>502</v>
      </c>
      <c r="T1052" s="40" t="s">
        <v>280</v>
      </c>
      <c r="U1052" s="40" t="s">
        <v>1109</v>
      </c>
      <c r="V1052" s="40" t="s">
        <v>6174</v>
      </c>
      <c r="W1052" s="40" t="s">
        <v>2740</v>
      </c>
    </row>
    <row r="1053" spans="1:23" ht="12" x14ac:dyDescent="0.2">
      <c r="A1053" s="39" t="s">
        <v>2559</v>
      </c>
      <c r="B1053" s="40" t="s">
        <v>2560</v>
      </c>
      <c r="C1053" s="40" t="s">
        <v>6176</v>
      </c>
      <c r="D1053" s="41">
        <v>46050</v>
      </c>
      <c r="E1053" s="41">
        <v>46080</v>
      </c>
      <c r="F1053" s="41">
        <v>46091</v>
      </c>
      <c r="G1053" s="42">
        <v>11</v>
      </c>
      <c r="H1053" s="40" t="s">
        <v>549</v>
      </c>
      <c r="I1053" s="39" t="s">
        <v>320</v>
      </c>
      <c r="J1053" s="43">
        <v>120047.22</v>
      </c>
      <c r="K1053" s="43">
        <v>20007.87</v>
      </c>
      <c r="L1053" s="43">
        <v>120047.22</v>
      </c>
      <c r="M1053" s="44">
        <v>20007.87</v>
      </c>
      <c r="N1053" s="44">
        <f t="shared" si="16"/>
        <v>100039.35</v>
      </c>
      <c r="O1053" s="44">
        <v>120047.22</v>
      </c>
      <c r="P1053" s="40" t="s">
        <v>6177</v>
      </c>
      <c r="Q1053" s="40" t="s">
        <v>6178</v>
      </c>
      <c r="R1053" s="40" t="s">
        <v>494</v>
      </c>
      <c r="S1053" s="40" t="s">
        <v>502</v>
      </c>
      <c r="T1053" s="40" t="s">
        <v>280</v>
      </c>
      <c r="U1053" s="40" t="s">
        <v>2451</v>
      </c>
      <c r="V1053" s="40" t="s">
        <v>6179</v>
      </c>
      <c r="W1053" s="40" t="s">
        <v>6180</v>
      </c>
    </row>
    <row r="1054" spans="1:23" ht="12" x14ac:dyDescent="0.2">
      <c r="A1054" s="39" t="s">
        <v>54</v>
      </c>
      <c r="B1054" s="40" t="s">
        <v>455</v>
      </c>
      <c r="C1054" s="40" t="s">
        <v>6181</v>
      </c>
      <c r="D1054" s="41">
        <v>46050</v>
      </c>
      <c r="E1054" s="41">
        <v>46080</v>
      </c>
      <c r="F1054" s="41">
        <v>46091</v>
      </c>
      <c r="G1054" s="42">
        <v>11</v>
      </c>
      <c r="H1054" s="40" t="s">
        <v>549</v>
      </c>
      <c r="I1054" s="39" t="s">
        <v>320</v>
      </c>
      <c r="J1054" s="43">
        <v>33634.959999999999</v>
      </c>
      <c r="K1054" s="43">
        <v>0</v>
      </c>
      <c r="L1054" s="43">
        <v>33634.959999999999</v>
      </c>
      <c r="M1054" s="44">
        <v>0</v>
      </c>
      <c r="N1054" s="44">
        <f t="shared" si="16"/>
        <v>33634.959999999999</v>
      </c>
      <c r="O1054" s="44">
        <v>33634.959999999999</v>
      </c>
      <c r="P1054" s="40" t="s">
        <v>6182</v>
      </c>
      <c r="Q1054" s="40" t="s">
        <v>6183</v>
      </c>
      <c r="R1054" s="40" t="s">
        <v>494</v>
      </c>
      <c r="S1054" s="40" t="s">
        <v>495</v>
      </c>
      <c r="T1054" s="40" t="s">
        <v>218</v>
      </c>
      <c r="U1054" s="40" t="s">
        <v>1166</v>
      </c>
      <c r="V1054" s="40" t="s">
        <v>5801</v>
      </c>
      <c r="W1054" s="40" t="s">
        <v>6184</v>
      </c>
    </row>
    <row r="1055" spans="1:23" ht="12" x14ac:dyDescent="0.2">
      <c r="A1055" s="39" t="s">
        <v>461</v>
      </c>
      <c r="B1055" s="40" t="s">
        <v>460</v>
      </c>
      <c r="C1055" s="40" t="s">
        <v>6185</v>
      </c>
      <c r="D1055" s="41">
        <v>46050</v>
      </c>
      <c r="E1055" s="41">
        <v>46080</v>
      </c>
      <c r="F1055" s="41">
        <v>46091</v>
      </c>
      <c r="G1055" s="42">
        <v>11</v>
      </c>
      <c r="H1055" s="40" t="s">
        <v>549</v>
      </c>
      <c r="I1055" s="39" t="s">
        <v>320</v>
      </c>
      <c r="J1055" s="43">
        <v>845.11</v>
      </c>
      <c r="K1055" s="43">
        <v>0</v>
      </c>
      <c r="L1055" s="43">
        <v>845.11</v>
      </c>
      <c r="M1055" s="44">
        <v>0</v>
      </c>
      <c r="N1055" s="44">
        <f t="shared" si="16"/>
        <v>845.11</v>
      </c>
      <c r="O1055" s="44">
        <v>845.11</v>
      </c>
      <c r="P1055" s="40" t="s">
        <v>6186</v>
      </c>
      <c r="Q1055" s="40" t="s">
        <v>6187</v>
      </c>
      <c r="R1055" s="40" t="s">
        <v>494</v>
      </c>
      <c r="S1055" s="40" t="s">
        <v>502</v>
      </c>
      <c r="T1055" s="40" t="s">
        <v>191</v>
      </c>
      <c r="U1055" s="40" t="s">
        <v>4884</v>
      </c>
      <c r="V1055" s="40" t="s">
        <v>4853</v>
      </c>
      <c r="W1055" s="40" t="s">
        <v>6188</v>
      </c>
    </row>
    <row r="1056" spans="1:23" ht="12" x14ac:dyDescent="0.2">
      <c r="A1056" s="39" t="s">
        <v>721</v>
      </c>
      <c r="B1056" s="40" t="s">
        <v>915</v>
      </c>
      <c r="C1056" s="40" t="s">
        <v>6189</v>
      </c>
      <c r="D1056" s="41">
        <v>46050</v>
      </c>
      <c r="E1056" s="41">
        <v>46080</v>
      </c>
      <c r="F1056" s="41">
        <v>46091</v>
      </c>
      <c r="G1056" s="42">
        <v>11</v>
      </c>
      <c r="H1056" s="40" t="s">
        <v>549</v>
      </c>
      <c r="I1056" s="39" t="s">
        <v>320</v>
      </c>
      <c r="J1056" s="43">
        <v>9128.19</v>
      </c>
      <c r="K1056" s="43">
        <v>0</v>
      </c>
      <c r="L1056" s="43">
        <v>9128.19</v>
      </c>
      <c r="M1056" s="44">
        <v>0</v>
      </c>
      <c r="N1056" s="44">
        <f t="shared" si="16"/>
        <v>9128.19</v>
      </c>
      <c r="O1056" s="44">
        <v>9128.19</v>
      </c>
      <c r="P1056" s="40" t="s">
        <v>6190</v>
      </c>
      <c r="Q1056" s="40" t="s">
        <v>6191</v>
      </c>
      <c r="R1056" s="40" t="s">
        <v>494</v>
      </c>
      <c r="S1056" s="40" t="s">
        <v>502</v>
      </c>
      <c r="T1056" s="40" t="s">
        <v>1372</v>
      </c>
      <c r="U1056" s="40" t="s">
        <v>6192</v>
      </c>
      <c r="V1056" s="40" t="s">
        <v>6193</v>
      </c>
      <c r="W1056" s="40" t="s">
        <v>6194</v>
      </c>
    </row>
    <row r="1057" spans="1:23" ht="12" x14ac:dyDescent="0.2">
      <c r="A1057" s="39" t="s">
        <v>54</v>
      </c>
      <c r="B1057" s="40" t="s">
        <v>455</v>
      </c>
      <c r="C1057" s="40" t="s">
        <v>6195</v>
      </c>
      <c r="D1057" s="41">
        <v>46050</v>
      </c>
      <c r="E1057" s="41">
        <v>46080</v>
      </c>
      <c r="F1057" s="41">
        <v>46091</v>
      </c>
      <c r="G1057" s="42">
        <v>11</v>
      </c>
      <c r="H1057" s="40" t="s">
        <v>549</v>
      </c>
      <c r="I1057" s="39" t="s">
        <v>320</v>
      </c>
      <c r="J1057" s="43">
        <v>3726.07</v>
      </c>
      <c r="K1057" s="43">
        <v>0</v>
      </c>
      <c r="L1057" s="43">
        <v>3726.07</v>
      </c>
      <c r="M1057" s="44">
        <v>0</v>
      </c>
      <c r="N1057" s="44">
        <f t="shared" si="16"/>
        <v>3726.07</v>
      </c>
      <c r="O1057" s="44">
        <v>3726.07</v>
      </c>
      <c r="P1057" s="40" t="s">
        <v>2575</v>
      </c>
      <c r="Q1057" s="40" t="s">
        <v>2576</v>
      </c>
      <c r="R1057" s="40" t="s">
        <v>494</v>
      </c>
      <c r="S1057" s="40" t="s">
        <v>495</v>
      </c>
      <c r="T1057" s="40" t="s">
        <v>185</v>
      </c>
      <c r="U1057" s="40" t="s">
        <v>2577</v>
      </c>
      <c r="V1057" s="40" t="s">
        <v>5801</v>
      </c>
      <c r="W1057" s="40" t="s">
        <v>2977</v>
      </c>
    </row>
    <row r="1058" spans="1:23" ht="12" x14ac:dyDescent="0.2">
      <c r="A1058" s="39" t="s">
        <v>40</v>
      </c>
      <c r="B1058" s="40" t="s">
        <v>456</v>
      </c>
      <c r="C1058" s="40" t="s">
        <v>6196</v>
      </c>
      <c r="D1058" s="41">
        <v>46050</v>
      </c>
      <c r="E1058" s="41">
        <v>46080</v>
      </c>
      <c r="F1058" s="41">
        <v>46091</v>
      </c>
      <c r="G1058" s="42">
        <v>11</v>
      </c>
      <c r="H1058" s="40" t="s">
        <v>549</v>
      </c>
      <c r="I1058" s="39" t="s">
        <v>320</v>
      </c>
      <c r="J1058" s="43">
        <v>16571.02</v>
      </c>
      <c r="K1058" s="43">
        <v>0</v>
      </c>
      <c r="L1058" s="43">
        <v>16571.02</v>
      </c>
      <c r="M1058" s="44">
        <v>0</v>
      </c>
      <c r="N1058" s="44">
        <f t="shared" si="16"/>
        <v>16571.02</v>
      </c>
      <c r="O1058" s="44">
        <v>16571.02</v>
      </c>
      <c r="P1058" s="40" t="s">
        <v>6197</v>
      </c>
      <c r="Q1058" s="40" t="s">
        <v>6198</v>
      </c>
      <c r="R1058" s="40" t="s">
        <v>494</v>
      </c>
      <c r="S1058" s="40" t="s">
        <v>502</v>
      </c>
      <c r="T1058" s="40" t="s">
        <v>538</v>
      </c>
      <c r="U1058" s="40" t="s">
        <v>3566</v>
      </c>
      <c r="V1058" s="40"/>
      <c r="W1058" s="40" t="s">
        <v>6199</v>
      </c>
    </row>
    <row r="1059" spans="1:23" ht="12" x14ac:dyDescent="0.2">
      <c r="A1059" s="39" t="s">
        <v>893</v>
      </c>
      <c r="B1059" s="40" t="s">
        <v>894</v>
      </c>
      <c r="C1059" s="40" t="s">
        <v>6200</v>
      </c>
      <c r="D1059" s="41">
        <v>46051</v>
      </c>
      <c r="E1059" s="41">
        <v>46081</v>
      </c>
      <c r="F1059" s="41">
        <v>46091</v>
      </c>
      <c r="G1059" s="42">
        <v>10</v>
      </c>
      <c r="H1059" s="40" t="s">
        <v>549</v>
      </c>
      <c r="I1059" s="39" t="s">
        <v>323</v>
      </c>
      <c r="J1059" s="43">
        <v>57254.98</v>
      </c>
      <c r="K1059" s="43">
        <v>0</v>
      </c>
      <c r="L1059" s="43">
        <v>57254.98</v>
      </c>
      <c r="M1059" s="44">
        <v>0</v>
      </c>
      <c r="N1059" s="44">
        <f t="shared" si="16"/>
        <v>39486.19</v>
      </c>
      <c r="O1059" s="44">
        <v>39486.19</v>
      </c>
      <c r="P1059" s="40" t="s">
        <v>895</v>
      </c>
      <c r="Q1059" s="40" t="s">
        <v>896</v>
      </c>
      <c r="R1059" s="40" t="s">
        <v>494</v>
      </c>
      <c r="S1059" s="40" t="s">
        <v>502</v>
      </c>
      <c r="T1059" s="40" t="s">
        <v>278</v>
      </c>
      <c r="U1059" s="40" t="s">
        <v>793</v>
      </c>
      <c r="V1059" s="40"/>
      <c r="W1059" s="40" t="s">
        <v>897</v>
      </c>
    </row>
    <row r="1060" spans="1:23" ht="12" x14ac:dyDescent="0.2">
      <c r="A1060" s="39" t="s">
        <v>48</v>
      </c>
      <c r="B1060" s="40" t="s">
        <v>389</v>
      </c>
      <c r="C1060" s="40" t="s">
        <v>6201</v>
      </c>
      <c r="D1060" s="41">
        <v>46051</v>
      </c>
      <c r="E1060" s="41">
        <v>46081</v>
      </c>
      <c r="F1060" s="41">
        <v>46091</v>
      </c>
      <c r="G1060" s="42">
        <v>10</v>
      </c>
      <c r="H1060" s="40" t="s">
        <v>549</v>
      </c>
      <c r="I1060" s="39" t="s">
        <v>320</v>
      </c>
      <c r="J1060" s="43">
        <v>-9395.01</v>
      </c>
      <c r="K1060" s="43">
        <v>0</v>
      </c>
      <c r="L1060" s="43">
        <v>-9395.01</v>
      </c>
      <c r="M1060" s="44">
        <v>0</v>
      </c>
      <c r="N1060" s="44">
        <f t="shared" si="16"/>
        <v>-9395.01</v>
      </c>
      <c r="O1060" s="44">
        <v>-9395.01</v>
      </c>
      <c r="P1060" s="40" t="s">
        <v>6202</v>
      </c>
      <c r="Q1060" s="40" t="s">
        <v>6203</v>
      </c>
      <c r="R1060" s="40" t="s">
        <v>494</v>
      </c>
      <c r="S1060" s="40" t="s">
        <v>495</v>
      </c>
      <c r="T1060" s="40" t="s">
        <v>330</v>
      </c>
      <c r="U1060" s="40" t="s">
        <v>2631</v>
      </c>
      <c r="V1060" s="40"/>
      <c r="W1060" s="40" t="s">
        <v>6204</v>
      </c>
    </row>
    <row r="1061" spans="1:23" ht="12" x14ac:dyDescent="0.2">
      <c r="A1061" s="39" t="s">
        <v>1590</v>
      </c>
      <c r="B1061" s="40" t="s">
        <v>2682</v>
      </c>
      <c r="C1061" s="40" t="s">
        <v>6205</v>
      </c>
      <c r="D1061" s="41">
        <v>46051</v>
      </c>
      <c r="E1061" s="41">
        <v>46081</v>
      </c>
      <c r="F1061" s="41">
        <v>46091</v>
      </c>
      <c r="G1061" s="42">
        <v>10</v>
      </c>
      <c r="H1061" s="40" t="s">
        <v>549</v>
      </c>
      <c r="I1061" s="39" t="s">
        <v>320</v>
      </c>
      <c r="J1061" s="43">
        <v>16583.97</v>
      </c>
      <c r="K1061" s="43">
        <v>0</v>
      </c>
      <c r="L1061" s="43">
        <v>16583.97</v>
      </c>
      <c r="M1061" s="44">
        <v>0</v>
      </c>
      <c r="N1061" s="44">
        <f t="shared" si="16"/>
        <v>16583.97</v>
      </c>
      <c r="O1061" s="44">
        <v>16583.97</v>
      </c>
      <c r="P1061" s="40" t="s">
        <v>1581</v>
      </c>
      <c r="Q1061" s="40" t="s">
        <v>2890</v>
      </c>
      <c r="R1061" s="40" t="s">
        <v>494</v>
      </c>
      <c r="S1061" s="40" t="s">
        <v>502</v>
      </c>
      <c r="T1061" s="40" t="s">
        <v>330</v>
      </c>
      <c r="U1061" s="40" t="s">
        <v>2891</v>
      </c>
      <c r="V1061" s="40"/>
      <c r="W1061" s="40" t="s">
        <v>321</v>
      </c>
    </row>
    <row r="1062" spans="1:23" ht="12" x14ac:dyDescent="0.2">
      <c r="A1062" s="39" t="s">
        <v>6206</v>
      </c>
      <c r="B1062" s="40" t="s">
        <v>6207</v>
      </c>
      <c r="C1062" s="40" t="s">
        <v>6208</v>
      </c>
      <c r="D1062" s="41">
        <v>46051</v>
      </c>
      <c r="E1062" s="41">
        <v>46081</v>
      </c>
      <c r="F1062" s="41">
        <v>46091</v>
      </c>
      <c r="G1062" s="42">
        <v>10</v>
      </c>
      <c r="H1062" s="40" t="s">
        <v>549</v>
      </c>
      <c r="I1062" s="39" t="s">
        <v>323</v>
      </c>
      <c r="J1062" s="43">
        <v>30027.01</v>
      </c>
      <c r="K1062" s="43">
        <v>0</v>
      </c>
      <c r="L1062" s="43">
        <v>30027.01</v>
      </c>
      <c r="M1062" s="44">
        <v>0</v>
      </c>
      <c r="N1062" s="44">
        <f t="shared" si="16"/>
        <v>22242.23</v>
      </c>
      <c r="O1062" s="44">
        <v>22242.23</v>
      </c>
      <c r="P1062" s="40" t="s">
        <v>6209</v>
      </c>
      <c r="Q1062" s="40" t="s">
        <v>6210</v>
      </c>
      <c r="R1062" s="40" t="s">
        <v>494</v>
      </c>
      <c r="S1062" s="40" t="s">
        <v>502</v>
      </c>
      <c r="T1062" s="40" t="s">
        <v>209</v>
      </c>
      <c r="U1062" s="40" t="s">
        <v>6211</v>
      </c>
      <c r="V1062" s="40"/>
      <c r="W1062" s="40"/>
    </row>
    <row r="1063" spans="1:23" ht="12" x14ac:dyDescent="0.2">
      <c r="A1063" s="39" t="s">
        <v>6212</v>
      </c>
      <c r="B1063" s="40" t="s">
        <v>6213</v>
      </c>
      <c r="C1063" s="40" t="s">
        <v>6214</v>
      </c>
      <c r="D1063" s="41">
        <v>46051</v>
      </c>
      <c r="E1063" s="41">
        <v>46081</v>
      </c>
      <c r="F1063" s="41">
        <v>46091</v>
      </c>
      <c r="G1063" s="42">
        <v>10</v>
      </c>
      <c r="H1063" s="40" t="s">
        <v>549</v>
      </c>
      <c r="I1063" s="39" t="s">
        <v>320</v>
      </c>
      <c r="J1063" s="43">
        <v>29447.279999999999</v>
      </c>
      <c r="K1063" s="43">
        <v>4907.88</v>
      </c>
      <c r="L1063" s="43">
        <v>29447.279999999999</v>
      </c>
      <c r="M1063" s="44">
        <v>4907.88</v>
      </c>
      <c r="N1063" s="44">
        <f t="shared" si="16"/>
        <v>24539.399999999998</v>
      </c>
      <c r="O1063" s="44">
        <v>29447.279999999999</v>
      </c>
      <c r="P1063" s="40" t="s">
        <v>6215</v>
      </c>
      <c r="Q1063" s="40" t="s">
        <v>6216</v>
      </c>
      <c r="R1063" s="40" t="s">
        <v>494</v>
      </c>
      <c r="S1063" s="40" t="s">
        <v>502</v>
      </c>
      <c r="T1063" s="40" t="s">
        <v>284</v>
      </c>
      <c r="U1063" s="40" t="s">
        <v>694</v>
      </c>
      <c r="V1063" s="40"/>
      <c r="W1063" s="40" t="s">
        <v>6217</v>
      </c>
    </row>
    <row r="1064" spans="1:23" ht="12" x14ac:dyDescent="0.2">
      <c r="A1064" s="39" t="s">
        <v>6218</v>
      </c>
      <c r="B1064" s="40" t="s">
        <v>6219</v>
      </c>
      <c r="C1064" s="40" t="s">
        <v>6220</v>
      </c>
      <c r="D1064" s="41">
        <v>46051</v>
      </c>
      <c r="E1064" s="41">
        <v>46081</v>
      </c>
      <c r="F1064" s="41">
        <v>46091</v>
      </c>
      <c r="G1064" s="42">
        <v>10</v>
      </c>
      <c r="H1064" s="40" t="s">
        <v>549</v>
      </c>
      <c r="I1064" s="39" t="s">
        <v>323</v>
      </c>
      <c r="J1064" s="43">
        <v>4493.2</v>
      </c>
      <c r="K1064" s="43">
        <v>0</v>
      </c>
      <c r="L1064" s="43">
        <v>-336.09</v>
      </c>
      <c r="M1064" s="44">
        <v>0</v>
      </c>
      <c r="N1064" s="44">
        <f t="shared" si="16"/>
        <v>-268.87</v>
      </c>
      <c r="O1064" s="44">
        <v>-268.87</v>
      </c>
      <c r="P1064" s="40" t="s">
        <v>6221</v>
      </c>
      <c r="Q1064" s="40" t="s">
        <v>6222</v>
      </c>
      <c r="R1064" s="40" t="s">
        <v>494</v>
      </c>
      <c r="S1064" s="40" t="s">
        <v>502</v>
      </c>
      <c r="T1064" s="40" t="s">
        <v>218</v>
      </c>
      <c r="U1064" s="40" t="s">
        <v>4559</v>
      </c>
      <c r="V1064" s="40"/>
      <c r="W1064" s="40" t="s">
        <v>321</v>
      </c>
    </row>
    <row r="1065" spans="1:23" ht="12" x14ac:dyDescent="0.2">
      <c r="A1065" s="39" t="s">
        <v>829</v>
      </c>
      <c r="B1065" s="40" t="s">
        <v>830</v>
      </c>
      <c r="C1065" s="40" t="s">
        <v>6223</v>
      </c>
      <c r="D1065" s="41">
        <v>46051</v>
      </c>
      <c r="E1065" s="41">
        <v>46081</v>
      </c>
      <c r="F1065" s="41">
        <v>46091</v>
      </c>
      <c r="G1065" s="42">
        <v>10</v>
      </c>
      <c r="H1065" s="40" t="s">
        <v>549</v>
      </c>
      <c r="I1065" s="39" t="s">
        <v>320</v>
      </c>
      <c r="J1065" s="43">
        <v>1449.2</v>
      </c>
      <c r="K1065" s="43">
        <v>0</v>
      </c>
      <c r="L1065" s="43">
        <v>1449.2</v>
      </c>
      <c r="M1065" s="44">
        <v>0</v>
      </c>
      <c r="N1065" s="44">
        <f t="shared" si="16"/>
        <v>1449.2</v>
      </c>
      <c r="O1065" s="44">
        <v>1449.2</v>
      </c>
      <c r="P1065" s="40" t="s">
        <v>6224</v>
      </c>
      <c r="Q1065" s="40" t="s">
        <v>6225</v>
      </c>
      <c r="R1065" s="40" t="s">
        <v>494</v>
      </c>
      <c r="S1065" s="40" t="s">
        <v>502</v>
      </c>
      <c r="T1065" s="40" t="s">
        <v>284</v>
      </c>
      <c r="U1065" s="40" t="s">
        <v>2608</v>
      </c>
      <c r="V1065" s="40"/>
      <c r="W1065" s="40" t="s">
        <v>6226</v>
      </c>
    </row>
    <row r="1066" spans="1:23" ht="12" x14ac:dyDescent="0.2">
      <c r="A1066" s="39" t="s">
        <v>366</v>
      </c>
      <c r="B1066" s="40" t="s">
        <v>365</v>
      </c>
      <c r="C1066" s="40" t="s">
        <v>6227</v>
      </c>
      <c r="D1066" s="41">
        <v>46051</v>
      </c>
      <c r="E1066" s="41">
        <v>46081</v>
      </c>
      <c r="F1066" s="41">
        <v>46091</v>
      </c>
      <c r="G1066" s="42">
        <v>10</v>
      </c>
      <c r="H1066" s="40" t="s">
        <v>549</v>
      </c>
      <c r="I1066" s="39" t="s">
        <v>320</v>
      </c>
      <c r="J1066" s="43">
        <v>64235.58</v>
      </c>
      <c r="K1066" s="43">
        <v>0</v>
      </c>
      <c r="L1066" s="43">
        <v>64235.58</v>
      </c>
      <c r="M1066" s="44">
        <v>0</v>
      </c>
      <c r="N1066" s="44">
        <f t="shared" si="16"/>
        <v>64235.58</v>
      </c>
      <c r="O1066" s="44">
        <v>64235.58</v>
      </c>
      <c r="P1066" s="40" t="s">
        <v>6228</v>
      </c>
      <c r="Q1066" s="40" t="s">
        <v>6229</v>
      </c>
      <c r="R1066" s="40" t="s">
        <v>494</v>
      </c>
      <c r="S1066" s="40" t="s">
        <v>502</v>
      </c>
      <c r="T1066" s="40" t="s">
        <v>218</v>
      </c>
      <c r="U1066" s="40" t="s">
        <v>6230</v>
      </c>
      <c r="V1066" s="40" t="s">
        <v>6231</v>
      </c>
      <c r="W1066" s="40" t="s">
        <v>6232</v>
      </c>
    </row>
    <row r="1067" spans="1:23" ht="12" x14ac:dyDescent="0.2">
      <c r="A1067" s="39" t="s">
        <v>299</v>
      </c>
      <c r="B1067" s="40" t="s">
        <v>3876</v>
      </c>
      <c r="C1067" s="40" t="s">
        <v>6233</v>
      </c>
      <c r="D1067" s="41">
        <v>46051</v>
      </c>
      <c r="E1067" s="41">
        <v>46081</v>
      </c>
      <c r="F1067" s="41">
        <v>46091</v>
      </c>
      <c r="G1067" s="42">
        <v>10</v>
      </c>
      <c r="H1067" s="40" t="s">
        <v>549</v>
      </c>
      <c r="I1067" s="39" t="s">
        <v>320</v>
      </c>
      <c r="J1067" s="43">
        <v>236581.71</v>
      </c>
      <c r="K1067" s="43">
        <v>0</v>
      </c>
      <c r="L1067" s="43">
        <v>236581.71</v>
      </c>
      <c r="M1067" s="44">
        <v>0</v>
      </c>
      <c r="N1067" s="44">
        <f t="shared" si="16"/>
        <v>236581.71</v>
      </c>
      <c r="O1067" s="44">
        <v>236581.71</v>
      </c>
      <c r="P1067" s="40" t="s">
        <v>6234</v>
      </c>
      <c r="Q1067" s="40" t="s">
        <v>6235</v>
      </c>
      <c r="R1067" s="40" t="s">
        <v>494</v>
      </c>
      <c r="S1067" s="40" t="s">
        <v>502</v>
      </c>
      <c r="T1067" s="40" t="s">
        <v>330</v>
      </c>
      <c r="U1067" s="40" t="s">
        <v>6236</v>
      </c>
      <c r="V1067" s="40"/>
      <c r="W1067" s="40"/>
    </row>
    <row r="1068" spans="1:23" ht="12" x14ac:dyDescent="0.2">
      <c r="A1068" s="39" t="s">
        <v>6237</v>
      </c>
      <c r="B1068" s="40" t="s">
        <v>6238</v>
      </c>
      <c r="C1068" s="40" t="s">
        <v>6239</v>
      </c>
      <c r="D1068" s="41">
        <v>46051</v>
      </c>
      <c r="E1068" s="41">
        <v>46081</v>
      </c>
      <c r="F1068" s="41">
        <v>46091</v>
      </c>
      <c r="G1068" s="42">
        <v>10</v>
      </c>
      <c r="H1068" s="40" t="s">
        <v>549</v>
      </c>
      <c r="I1068" s="39" t="s">
        <v>320</v>
      </c>
      <c r="J1068" s="43">
        <v>52275.76</v>
      </c>
      <c r="K1068" s="43">
        <v>0</v>
      </c>
      <c r="L1068" s="43">
        <v>52275.76</v>
      </c>
      <c r="M1068" s="44">
        <v>0</v>
      </c>
      <c r="N1068" s="44">
        <f t="shared" si="16"/>
        <v>52275.76</v>
      </c>
      <c r="O1068" s="44">
        <v>52275.76</v>
      </c>
      <c r="P1068" s="40" t="s">
        <v>6240</v>
      </c>
      <c r="Q1068" s="40" t="s">
        <v>6241</v>
      </c>
      <c r="R1068" s="40" t="s">
        <v>494</v>
      </c>
      <c r="S1068" s="40" t="s">
        <v>502</v>
      </c>
      <c r="T1068" s="40" t="s">
        <v>514</v>
      </c>
      <c r="U1068" s="40" t="s">
        <v>6242</v>
      </c>
      <c r="V1068" s="40"/>
      <c r="W1068" s="40" t="s">
        <v>6243</v>
      </c>
    </row>
    <row r="1069" spans="1:23" ht="12" x14ac:dyDescent="0.2">
      <c r="A1069" s="39" t="s">
        <v>337</v>
      </c>
      <c r="B1069" s="40" t="s">
        <v>336</v>
      </c>
      <c r="C1069" s="40" t="s">
        <v>6244</v>
      </c>
      <c r="D1069" s="41">
        <v>46051</v>
      </c>
      <c r="E1069" s="41">
        <v>46081</v>
      </c>
      <c r="F1069" s="41">
        <v>46091</v>
      </c>
      <c r="G1069" s="42">
        <v>10</v>
      </c>
      <c r="H1069" s="40" t="s">
        <v>549</v>
      </c>
      <c r="I1069" s="39" t="s">
        <v>320</v>
      </c>
      <c r="J1069" s="43">
        <v>-255.5</v>
      </c>
      <c r="K1069" s="43">
        <v>0</v>
      </c>
      <c r="L1069" s="43">
        <v>-255.5</v>
      </c>
      <c r="M1069" s="44">
        <v>0</v>
      </c>
      <c r="N1069" s="44">
        <f t="shared" si="16"/>
        <v>-255.5</v>
      </c>
      <c r="O1069" s="44">
        <v>-255.5</v>
      </c>
      <c r="P1069" s="40" t="s">
        <v>1467</v>
      </c>
      <c r="Q1069" s="40" t="s">
        <v>1468</v>
      </c>
      <c r="R1069" s="40" t="s">
        <v>494</v>
      </c>
      <c r="S1069" s="40" t="s">
        <v>502</v>
      </c>
      <c r="T1069" s="40" t="s">
        <v>289</v>
      </c>
      <c r="U1069" s="40" t="s">
        <v>554</v>
      </c>
      <c r="V1069" s="40"/>
      <c r="W1069" s="40" t="s">
        <v>1469</v>
      </c>
    </row>
    <row r="1070" spans="1:23" ht="12" x14ac:dyDescent="0.2">
      <c r="A1070" s="39" t="s">
        <v>374</v>
      </c>
      <c r="B1070" s="40" t="s">
        <v>373</v>
      </c>
      <c r="C1070" s="40" t="s">
        <v>6245</v>
      </c>
      <c r="D1070" s="41">
        <v>46051</v>
      </c>
      <c r="E1070" s="41">
        <v>46081</v>
      </c>
      <c r="F1070" s="41">
        <v>46091</v>
      </c>
      <c r="G1070" s="42">
        <v>10</v>
      </c>
      <c r="H1070" s="40" t="s">
        <v>549</v>
      </c>
      <c r="I1070" s="39" t="s">
        <v>320</v>
      </c>
      <c r="J1070" s="43">
        <v>23385.49</v>
      </c>
      <c r="K1070" s="43">
        <v>0</v>
      </c>
      <c r="L1070" s="43">
        <v>23385.49</v>
      </c>
      <c r="M1070" s="44">
        <v>0</v>
      </c>
      <c r="N1070" s="44">
        <f t="shared" si="16"/>
        <v>23385.49</v>
      </c>
      <c r="O1070" s="44">
        <v>23385.49</v>
      </c>
      <c r="P1070" s="40" t="s">
        <v>3095</v>
      </c>
      <c r="Q1070" s="40" t="s">
        <v>3096</v>
      </c>
      <c r="R1070" s="40" t="s">
        <v>494</v>
      </c>
      <c r="S1070" s="40" t="s">
        <v>502</v>
      </c>
      <c r="T1070" s="40" t="s">
        <v>191</v>
      </c>
      <c r="U1070" s="40" t="s">
        <v>692</v>
      </c>
      <c r="V1070" s="40" t="s">
        <v>5506</v>
      </c>
      <c r="W1070" s="40" t="s">
        <v>3097</v>
      </c>
    </row>
    <row r="1071" spans="1:23" ht="12" x14ac:dyDescent="0.2">
      <c r="A1071" s="39" t="s">
        <v>893</v>
      </c>
      <c r="B1071" s="40" t="s">
        <v>894</v>
      </c>
      <c r="C1071" s="40" t="s">
        <v>6246</v>
      </c>
      <c r="D1071" s="41">
        <v>46051</v>
      </c>
      <c r="E1071" s="41">
        <v>46081</v>
      </c>
      <c r="F1071" s="41">
        <v>46091</v>
      </c>
      <c r="G1071" s="42">
        <v>10</v>
      </c>
      <c r="H1071" s="40" t="s">
        <v>549</v>
      </c>
      <c r="I1071" s="39" t="s">
        <v>323</v>
      </c>
      <c r="J1071" s="43">
        <v>61378.98</v>
      </c>
      <c r="K1071" s="43">
        <v>0</v>
      </c>
      <c r="L1071" s="43">
        <v>61378.98</v>
      </c>
      <c r="M1071" s="44">
        <v>0</v>
      </c>
      <c r="N1071" s="44">
        <f t="shared" si="16"/>
        <v>42330.33</v>
      </c>
      <c r="O1071" s="44">
        <v>42330.33</v>
      </c>
      <c r="P1071" s="40" t="s">
        <v>895</v>
      </c>
      <c r="Q1071" s="40" t="s">
        <v>896</v>
      </c>
      <c r="R1071" s="40" t="s">
        <v>494</v>
      </c>
      <c r="S1071" s="40" t="s">
        <v>502</v>
      </c>
      <c r="T1071" s="40" t="s">
        <v>278</v>
      </c>
      <c r="U1071" s="40" t="s">
        <v>793</v>
      </c>
      <c r="V1071" s="40"/>
      <c r="W1071" s="40" t="s">
        <v>897</v>
      </c>
    </row>
    <row r="1072" spans="1:23" ht="12" x14ac:dyDescent="0.2">
      <c r="A1072" s="39" t="s">
        <v>412</v>
      </c>
      <c r="B1072" s="40" t="s">
        <v>411</v>
      </c>
      <c r="C1072" s="40" t="s">
        <v>6247</v>
      </c>
      <c r="D1072" s="41">
        <v>46052</v>
      </c>
      <c r="E1072" s="41">
        <v>46082</v>
      </c>
      <c r="F1072" s="41">
        <v>46091</v>
      </c>
      <c r="G1072" s="42">
        <v>9</v>
      </c>
      <c r="H1072" s="40" t="s">
        <v>549</v>
      </c>
      <c r="I1072" s="39" t="s">
        <v>320</v>
      </c>
      <c r="J1072" s="43">
        <v>114007.29</v>
      </c>
      <c r="K1072" s="43">
        <v>0</v>
      </c>
      <c r="L1072" s="43">
        <v>114007.29</v>
      </c>
      <c r="M1072" s="44">
        <v>0</v>
      </c>
      <c r="N1072" s="44">
        <f t="shared" si="16"/>
        <v>114007.29</v>
      </c>
      <c r="O1072" s="44">
        <v>114007.29</v>
      </c>
      <c r="P1072" s="40" t="s">
        <v>6248</v>
      </c>
      <c r="Q1072" s="40" t="s">
        <v>6249</v>
      </c>
      <c r="R1072" s="40" t="s">
        <v>494</v>
      </c>
      <c r="S1072" s="40" t="s">
        <v>502</v>
      </c>
      <c r="T1072" s="40" t="s">
        <v>204</v>
      </c>
      <c r="U1072" s="40" t="s">
        <v>1466</v>
      </c>
      <c r="V1072" s="40"/>
      <c r="W1072" s="40" t="s">
        <v>321</v>
      </c>
    </row>
    <row r="1073" spans="1:23" ht="12" x14ac:dyDescent="0.2">
      <c r="A1073" s="39" t="s">
        <v>357</v>
      </c>
      <c r="B1073" s="40" t="s">
        <v>356</v>
      </c>
      <c r="C1073" s="40" t="s">
        <v>6250</v>
      </c>
      <c r="D1073" s="41">
        <v>46052</v>
      </c>
      <c r="E1073" s="41">
        <v>46082</v>
      </c>
      <c r="F1073" s="41">
        <v>46091</v>
      </c>
      <c r="G1073" s="42">
        <v>9</v>
      </c>
      <c r="H1073" s="40" t="s">
        <v>549</v>
      </c>
      <c r="I1073" s="39" t="s">
        <v>341</v>
      </c>
      <c r="J1073" s="43">
        <v>8620.14</v>
      </c>
      <c r="K1073" s="43">
        <v>0</v>
      </c>
      <c r="L1073" s="43">
        <v>117.55</v>
      </c>
      <c r="M1073" s="44">
        <v>0</v>
      </c>
      <c r="N1073" s="44">
        <f t="shared" si="16"/>
        <v>99.82</v>
      </c>
      <c r="O1073" s="44">
        <v>99.82</v>
      </c>
      <c r="P1073" s="40" t="s">
        <v>6251</v>
      </c>
      <c r="Q1073" s="40" t="s">
        <v>6252</v>
      </c>
      <c r="R1073" s="40" t="s">
        <v>494</v>
      </c>
      <c r="S1073" s="40" t="s">
        <v>502</v>
      </c>
      <c r="T1073" s="40" t="s">
        <v>219</v>
      </c>
      <c r="U1073" s="40" t="s">
        <v>777</v>
      </c>
      <c r="V1073" s="40"/>
      <c r="W1073" s="40" t="s">
        <v>6253</v>
      </c>
    </row>
    <row r="1074" spans="1:23" ht="12" x14ac:dyDescent="0.2">
      <c r="A1074" s="39" t="s">
        <v>949</v>
      </c>
      <c r="B1074" s="40" t="s">
        <v>1118</v>
      </c>
      <c r="C1074" s="40" t="s">
        <v>6254</v>
      </c>
      <c r="D1074" s="41">
        <v>46052</v>
      </c>
      <c r="E1074" s="41">
        <v>46082</v>
      </c>
      <c r="F1074" s="41">
        <v>46091</v>
      </c>
      <c r="G1074" s="42">
        <v>9</v>
      </c>
      <c r="H1074" s="40" t="s">
        <v>549</v>
      </c>
      <c r="I1074" s="39" t="s">
        <v>320</v>
      </c>
      <c r="J1074" s="43">
        <v>14994</v>
      </c>
      <c r="K1074" s="43">
        <v>0</v>
      </c>
      <c r="L1074" s="43">
        <v>14994</v>
      </c>
      <c r="M1074" s="44">
        <v>0</v>
      </c>
      <c r="N1074" s="44">
        <f t="shared" si="16"/>
        <v>14994</v>
      </c>
      <c r="O1074" s="44">
        <v>14994</v>
      </c>
      <c r="P1074" s="40" t="s">
        <v>6255</v>
      </c>
      <c r="Q1074" s="40" t="s">
        <v>6256</v>
      </c>
      <c r="R1074" s="40" t="s">
        <v>494</v>
      </c>
      <c r="S1074" s="40" t="s">
        <v>502</v>
      </c>
      <c r="T1074" s="40" t="s">
        <v>191</v>
      </c>
      <c r="U1074" s="40" t="s">
        <v>6257</v>
      </c>
      <c r="V1074" s="40"/>
      <c r="W1074" s="40" t="s">
        <v>6258</v>
      </c>
    </row>
    <row r="1075" spans="1:23" ht="12" x14ac:dyDescent="0.2">
      <c r="A1075" s="39" t="s">
        <v>40</v>
      </c>
      <c r="B1075" s="40" t="s">
        <v>456</v>
      </c>
      <c r="C1075" s="40" t="s">
        <v>6259</v>
      </c>
      <c r="D1075" s="41">
        <v>46052</v>
      </c>
      <c r="E1075" s="41">
        <v>46082</v>
      </c>
      <c r="F1075" s="41">
        <v>46091</v>
      </c>
      <c r="G1075" s="42">
        <v>9</v>
      </c>
      <c r="H1075" s="40" t="s">
        <v>549</v>
      </c>
      <c r="I1075" s="39" t="s">
        <v>320</v>
      </c>
      <c r="J1075" s="43">
        <v>39164.800000000003</v>
      </c>
      <c r="K1075" s="43">
        <v>0</v>
      </c>
      <c r="L1075" s="43">
        <v>39164.800000000003</v>
      </c>
      <c r="M1075" s="44">
        <v>0</v>
      </c>
      <c r="N1075" s="44">
        <f t="shared" si="16"/>
        <v>39164.800000000003</v>
      </c>
      <c r="O1075" s="44">
        <v>39164.800000000003</v>
      </c>
      <c r="P1075" s="40" t="s">
        <v>6260</v>
      </c>
      <c r="Q1075" s="40" t="s">
        <v>6261</v>
      </c>
      <c r="R1075" s="40" t="s">
        <v>494</v>
      </c>
      <c r="S1075" s="40" t="s">
        <v>502</v>
      </c>
      <c r="T1075" s="40" t="s">
        <v>280</v>
      </c>
      <c r="U1075" s="40" t="s">
        <v>537</v>
      </c>
      <c r="V1075" s="40"/>
      <c r="W1075" s="40" t="s">
        <v>6262</v>
      </c>
    </row>
    <row r="1076" spans="1:23" ht="12" x14ac:dyDescent="0.2">
      <c r="A1076" s="39" t="s">
        <v>299</v>
      </c>
      <c r="B1076" s="40" t="s">
        <v>3876</v>
      </c>
      <c r="C1076" s="40" t="s">
        <v>6263</v>
      </c>
      <c r="D1076" s="41">
        <v>46052</v>
      </c>
      <c r="E1076" s="41">
        <v>46082</v>
      </c>
      <c r="F1076" s="41">
        <v>46091</v>
      </c>
      <c r="G1076" s="42">
        <v>9</v>
      </c>
      <c r="H1076" s="40" t="s">
        <v>549</v>
      </c>
      <c r="I1076" s="39" t="s">
        <v>320</v>
      </c>
      <c r="J1076" s="43">
        <v>51243.33</v>
      </c>
      <c r="K1076" s="43">
        <v>0</v>
      </c>
      <c r="L1076" s="43">
        <v>51243.33</v>
      </c>
      <c r="M1076" s="44">
        <v>0</v>
      </c>
      <c r="N1076" s="44">
        <f t="shared" si="16"/>
        <v>51243.33</v>
      </c>
      <c r="O1076" s="44">
        <v>51243.33</v>
      </c>
      <c r="P1076" s="40" t="s">
        <v>6264</v>
      </c>
      <c r="Q1076" s="40" t="s">
        <v>6265</v>
      </c>
      <c r="R1076" s="40" t="s">
        <v>494</v>
      </c>
      <c r="S1076" s="40" t="s">
        <v>502</v>
      </c>
      <c r="T1076" s="40" t="s">
        <v>773</v>
      </c>
      <c r="U1076" s="40" t="s">
        <v>708</v>
      </c>
      <c r="V1076" s="40"/>
      <c r="W1076" s="40" t="s">
        <v>322</v>
      </c>
    </row>
    <row r="1077" spans="1:23" ht="12" x14ac:dyDescent="0.2">
      <c r="A1077" s="39" t="s">
        <v>16</v>
      </c>
      <c r="B1077" s="40" t="s">
        <v>414</v>
      </c>
      <c r="C1077" s="40" t="s">
        <v>6266</v>
      </c>
      <c r="D1077" s="41">
        <v>46052</v>
      </c>
      <c r="E1077" s="41">
        <v>46082</v>
      </c>
      <c r="F1077" s="41">
        <v>46091</v>
      </c>
      <c r="G1077" s="42">
        <v>9</v>
      </c>
      <c r="H1077" s="40" t="s">
        <v>549</v>
      </c>
      <c r="I1077" s="39" t="s">
        <v>320</v>
      </c>
      <c r="J1077" s="43">
        <v>33940.620000000003</v>
      </c>
      <c r="K1077" s="43">
        <v>0</v>
      </c>
      <c r="L1077" s="43">
        <v>33940.620000000003</v>
      </c>
      <c r="M1077" s="44">
        <v>0</v>
      </c>
      <c r="N1077" s="44">
        <f t="shared" si="16"/>
        <v>33940.620000000003</v>
      </c>
      <c r="O1077" s="44">
        <v>33940.620000000003</v>
      </c>
      <c r="P1077" s="40" t="s">
        <v>3062</v>
      </c>
      <c r="Q1077" s="40" t="s">
        <v>3063</v>
      </c>
      <c r="R1077" s="40" t="s">
        <v>494</v>
      </c>
      <c r="S1077" s="40" t="s">
        <v>502</v>
      </c>
      <c r="T1077" s="40" t="s">
        <v>278</v>
      </c>
      <c r="U1077" s="40" t="s">
        <v>793</v>
      </c>
      <c r="V1077" s="40"/>
      <c r="W1077" s="40" t="s">
        <v>321</v>
      </c>
    </row>
    <row r="1078" spans="1:23" ht="12" x14ac:dyDescent="0.2">
      <c r="A1078" s="39" t="s">
        <v>6267</v>
      </c>
      <c r="B1078" s="40" t="s">
        <v>6268</v>
      </c>
      <c r="C1078" s="40" t="s">
        <v>6269</v>
      </c>
      <c r="D1078" s="41">
        <v>46052</v>
      </c>
      <c r="E1078" s="41">
        <v>46082</v>
      </c>
      <c r="F1078" s="41">
        <v>46091</v>
      </c>
      <c r="G1078" s="42">
        <v>9</v>
      </c>
      <c r="H1078" s="40" t="s">
        <v>549</v>
      </c>
      <c r="I1078" s="39" t="s">
        <v>323</v>
      </c>
      <c r="J1078" s="43">
        <v>363</v>
      </c>
      <c r="K1078" s="43">
        <v>0</v>
      </c>
      <c r="L1078" s="43">
        <v>363</v>
      </c>
      <c r="M1078" s="44">
        <v>0</v>
      </c>
      <c r="N1078" s="44">
        <f t="shared" si="16"/>
        <v>290.39999999999998</v>
      </c>
      <c r="O1078" s="44">
        <v>290.39999999999998</v>
      </c>
      <c r="P1078" s="40" t="s">
        <v>6270</v>
      </c>
      <c r="Q1078" s="40" t="s">
        <v>6271</v>
      </c>
      <c r="R1078" s="40" t="s">
        <v>494</v>
      </c>
      <c r="S1078" s="40" t="s">
        <v>495</v>
      </c>
      <c r="T1078" s="40" t="s">
        <v>178</v>
      </c>
      <c r="U1078" s="40" t="s">
        <v>601</v>
      </c>
      <c r="V1078" s="40"/>
      <c r="W1078" s="40" t="s">
        <v>322</v>
      </c>
    </row>
    <row r="1079" spans="1:23" ht="12" x14ac:dyDescent="0.2">
      <c r="A1079" s="39" t="s">
        <v>412</v>
      </c>
      <c r="B1079" s="40" t="s">
        <v>411</v>
      </c>
      <c r="C1079" s="40" t="s">
        <v>6272</v>
      </c>
      <c r="D1079" s="41">
        <v>46052</v>
      </c>
      <c r="E1079" s="41">
        <v>46082</v>
      </c>
      <c r="F1079" s="41">
        <v>46091</v>
      </c>
      <c r="G1079" s="42">
        <v>9</v>
      </c>
      <c r="H1079" s="40" t="s">
        <v>549</v>
      </c>
      <c r="I1079" s="39" t="s">
        <v>320</v>
      </c>
      <c r="J1079" s="43">
        <v>110547.24</v>
      </c>
      <c r="K1079" s="43">
        <v>0</v>
      </c>
      <c r="L1079" s="43">
        <v>110547.24</v>
      </c>
      <c r="M1079" s="44">
        <v>0</v>
      </c>
      <c r="N1079" s="44">
        <f t="shared" si="16"/>
        <v>110547.24</v>
      </c>
      <c r="O1079" s="44">
        <v>110547.24</v>
      </c>
      <c r="P1079" s="40" t="s">
        <v>6273</v>
      </c>
      <c r="Q1079" s="40" t="s">
        <v>6274</v>
      </c>
      <c r="R1079" s="40" t="s">
        <v>494</v>
      </c>
      <c r="S1079" s="40" t="s">
        <v>502</v>
      </c>
      <c r="T1079" s="40" t="s">
        <v>204</v>
      </c>
      <c r="U1079" s="40" t="s">
        <v>1509</v>
      </c>
      <c r="V1079" s="40"/>
      <c r="W1079" s="40" t="s">
        <v>6275</v>
      </c>
    </row>
    <row r="1080" spans="1:23" ht="12" x14ac:dyDescent="0.2">
      <c r="A1080" s="39" t="s">
        <v>36</v>
      </c>
      <c r="B1080" s="40" t="s">
        <v>352</v>
      </c>
      <c r="C1080" s="40" t="s">
        <v>6276</v>
      </c>
      <c r="D1080" s="41">
        <v>46052</v>
      </c>
      <c r="E1080" s="41">
        <v>46082</v>
      </c>
      <c r="F1080" s="41">
        <v>46091</v>
      </c>
      <c r="G1080" s="42">
        <v>9</v>
      </c>
      <c r="H1080" s="40" t="s">
        <v>549</v>
      </c>
      <c r="I1080" s="39" t="s">
        <v>320</v>
      </c>
      <c r="J1080" s="43">
        <v>33195.9</v>
      </c>
      <c r="K1080" s="43">
        <v>0</v>
      </c>
      <c r="L1080" s="43">
        <v>33195.9</v>
      </c>
      <c r="M1080" s="44">
        <v>0</v>
      </c>
      <c r="N1080" s="44">
        <f t="shared" si="16"/>
        <v>33195.9</v>
      </c>
      <c r="O1080" s="44">
        <v>33195.9</v>
      </c>
      <c r="P1080" s="40" t="s">
        <v>6277</v>
      </c>
      <c r="Q1080" s="40" t="s">
        <v>6278</v>
      </c>
      <c r="R1080" s="40" t="s">
        <v>494</v>
      </c>
      <c r="S1080" s="40" t="s">
        <v>502</v>
      </c>
      <c r="T1080" s="40" t="s">
        <v>301</v>
      </c>
      <c r="U1080" s="40" t="s">
        <v>6279</v>
      </c>
      <c r="V1080" s="40"/>
      <c r="W1080" s="40" t="s">
        <v>6280</v>
      </c>
    </row>
    <row r="1081" spans="1:23" ht="12" x14ac:dyDescent="0.2">
      <c r="A1081" s="39" t="s">
        <v>2226</v>
      </c>
      <c r="B1081" s="40" t="s">
        <v>2227</v>
      </c>
      <c r="C1081" s="40" t="s">
        <v>6281</v>
      </c>
      <c r="D1081" s="41">
        <v>46052</v>
      </c>
      <c r="E1081" s="41">
        <v>46082</v>
      </c>
      <c r="F1081" s="41">
        <v>46091</v>
      </c>
      <c r="G1081" s="42">
        <v>9</v>
      </c>
      <c r="H1081" s="40" t="s">
        <v>549</v>
      </c>
      <c r="I1081" s="39" t="s">
        <v>320</v>
      </c>
      <c r="J1081" s="43">
        <v>-15396.51</v>
      </c>
      <c r="K1081" s="43">
        <v>0</v>
      </c>
      <c r="L1081" s="43">
        <v>-15396.51</v>
      </c>
      <c r="M1081" s="44">
        <v>0</v>
      </c>
      <c r="N1081" s="44">
        <f t="shared" si="16"/>
        <v>-15396.51</v>
      </c>
      <c r="O1081" s="44">
        <v>-15396.51</v>
      </c>
      <c r="P1081" s="40" t="s">
        <v>2228</v>
      </c>
      <c r="Q1081" s="40" t="s">
        <v>2229</v>
      </c>
      <c r="R1081" s="40" t="s">
        <v>494</v>
      </c>
      <c r="S1081" s="40" t="s">
        <v>495</v>
      </c>
      <c r="T1081" s="40" t="s">
        <v>191</v>
      </c>
      <c r="U1081" s="40" t="s">
        <v>1879</v>
      </c>
      <c r="V1081" s="40" t="s">
        <v>5798</v>
      </c>
      <c r="W1081" s="40" t="s">
        <v>2230</v>
      </c>
    </row>
    <row r="1082" spans="1:23" ht="12" x14ac:dyDescent="0.2">
      <c r="A1082" s="39" t="s">
        <v>299</v>
      </c>
      <c r="B1082" s="40" t="s">
        <v>3876</v>
      </c>
      <c r="C1082" s="40" t="s">
        <v>6282</v>
      </c>
      <c r="D1082" s="41">
        <v>46052</v>
      </c>
      <c r="E1082" s="41">
        <v>46082</v>
      </c>
      <c r="F1082" s="41">
        <v>46091</v>
      </c>
      <c r="G1082" s="42">
        <v>9</v>
      </c>
      <c r="H1082" s="40" t="s">
        <v>549</v>
      </c>
      <c r="I1082" s="39" t="s">
        <v>320</v>
      </c>
      <c r="J1082" s="43">
        <v>47236.26</v>
      </c>
      <c r="K1082" s="43">
        <v>0</v>
      </c>
      <c r="L1082" s="43">
        <v>47236.26</v>
      </c>
      <c r="M1082" s="44">
        <v>0</v>
      </c>
      <c r="N1082" s="44">
        <f t="shared" si="16"/>
        <v>47236.26</v>
      </c>
      <c r="O1082" s="44">
        <v>47236.26</v>
      </c>
      <c r="P1082" s="40" t="s">
        <v>6283</v>
      </c>
      <c r="Q1082" s="40" t="s">
        <v>6284</v>
      </c>
      <c r="R1082" s="40" t="s">
        <v>494</v>
      </c>
      <c r="S1082" s="40" t="s">
        <v>502</v>
      </c>
      <c r="T1082" s="40" t="s">
        <v>185</v>
      </c>
      <c r="U1082" s="40" t="s">
        <v>6285</v>
      </c>
      <c r="V1082" s="40"/>
      <c r="W1082" s="40" t="s">
        <v>321</v>
      </c>
    </row>
    <row r="1083" spans="1:23" ht="12" x14ac:dyDescent="0.2">
      <c r="A1083" s="39" t="s">
        <v>6286</v>
      </c>
      <c r="B1083" s="40" t="s">
        <v>6287</v>
      </c>
      <c r="C1083" s="40" t="s">
        <v>6288</v>
      </c>
      <c r="D1083" s="41">
        <v>46052</v>
      </c>
      <c r="E1083" s="41">
        <v>46082</v>
      </c>
      <c r="F1083" s="41">
        <v>46091</v>
      </c>
      <c r="G1083" s="42">
        <v>9</v>
      </c>
      <c r="H1083" s="40" t="s">
        <v>549</v>
      </c>
      <c r="I1083" s="39" t="s">
        <v>323</v>
      </c>
      <c r="J1083" s="43">
        <v>-30062.77</v>
      </c>
      <c r="K1083" s="43">
        <v>0</v>
      </c>
      <c r="L1083" s="43">
        <v>-30062.77</v>
      </c>
      <c r="M1083" s="44">
        <v>0</v>
      </c>
      <c r="N1083" s="44">
        <f t="shared" si="16"/>
        <v>-22268.720000000001</v>
      </c>
      <c r="O1083" s="44">
        <v>-22268.720000000001</v>
      </c>
      <c r="P1083" s="40" t="s">
        <v>6289</v>
      </c>
      <c r="Q1083" s="40" t="s">
        <v>6290</v>
      </c>
      <c r="R1083" s="40" t="s">
        <v>494</v>
      </c>
      <c r="S1083" s="40" t="s">
        <v>495</v>
      </c>
      <c r="T1083" s="40" t="s">
        <v>178</v>
      </c>
      <c r="U1083" s="40" t="s">
        <v>572</v>
      </c>
      <c r="V1083" s="40" t="s">
        <v>6291</v>
      </c>
      <c r="W1083" s="40" t="s">
        <v>6292</v>
      </c>
    </row>
    <row r="1084" spans="1:23" ht="12" x14ac:dyDescent="0.2">
      <c r="A1084" s="39" t="s">
        <v>34</v>
      </c>
      <c r="B1084" s="40" t="s">
        <v>465</v>
      </c>
      <c r="C1084" s="40" t="s">
        <v>6293</v>
      </c>
      <c r="D1084" s="41">
        <v>46052</v>
      </c>
      <c r="E1084" s="41">
        <v>46082</v>
      </c>
      <c r="F1084" s="41">
        <v>46091</v>
      </c>
      <c r="G1084" s="42">
        <v>9</v>
      </c>
      <c r="H1084" s="40" t="s">
        <v>549</v>
      </c>
      <c r="I1084" s="39" t="s">
        <v>320</v>
      </c>
      <c r="J1084" s="43">
        <v>43670.75</v>
      </c>
      <c r="K1084" s="43">
        <v>0</v>
      </c>
      <c r="L1084" s="43">
        <v>43670.75</v>
      </c>
      <c r="M1084" s="44">
        <v>0</v>
      </c>
      <c r="N1084" s="44">
        <f t="shared" si="16"/>
        <v>43670.75</v>
      </c>
      <c r="O1084" s="44">
        <v>43670.75</v>
      </c>
      <c r="P1084" s="40" t="s">
        <v>6294</v>
      </c>
      <c r="Q1084" s="40" t="s">
        <v>6295</v>
      </c>
      <c r="R1084" s="40" t="s">
        <v>494</v>
      </c>
      <c r="S1084" s="40" t="s">
        <v>502</v>
      </c>
      <c r="T1084" s="40" t="s">
        <v>497</v>
      </c>
      <c r="U1084" s="40" t="s">
        <v>792</v>
      </c>
      <c r="V1084" s="40"/>
      <c r="W1084" s="40" t="s">
        <v>6296</v>
      </c>
    </row>
    <row r="1085" spans="1:23" ht="12" x14ac:dyDescent="0.2">
      <c r="A1085" s="39" t="s">
        <v>2659</v>
      </c>
      <c r="B1085" s="40" t="s">
        <v>2660</v>
      </c>
      <c r="C1085" s="40" t="s">
        <v>6297</v>
      </c>
      <c r="D1085" s="41">
        <v>46052</v>
      </c>
      <c r="E1085" s="41">
        <v>46082</v>
      </c>
      <c r="F1085" s="41">
        <v>46091</v>
      </c>
      <c r="G1085" s="42">
        <v>9</v>
      </c>
      <c r="H1085" s="40" t="s">
        <v>549</v>
      </c>
      <c r="I1085" s="39" t="s">
        <v>320</v>
      </c>
      <c r="J1085" s="43">
        <v>88997.55</v>
      </c>
      <c r="K1085" s="43">
        <v>0</v>
      </c>
      <c r="L1085" s="43">
        <v>88997.55</v>
      </c>
      <c r="M1085" s="44">
        <v>0</v>
      </c>
      <c r="N1085" s="44">
        <f t="shared" si="16"/>
        <v>88997.55</v>
      </c>
      <c r="O1085" s="44">
        <v>88997.55</v>
      </c>
      <c r="P1085" s="40" t="s">
        <v>6298</v>
      </c>
      <c r="Q1085" s="40" t="s">
        <v>6299</v>
      </c>
      <c r="R1085" s="40" t="s">
        <v>494</v>
      </c>
      <c r="S1085" s="40" t="s">
        <v>502</v>
      </c>
      <c r="T1085" s="40" t="s">
        <v>280</v>
      </c>
      <c r="U1085" s="40" t="s">
        <v>759</v>
      </c>
      <c r="V1085" s="40"/>
      <c r="W1085" s="40" t="s">
        <v>6300</v>
      </c>
    </row>
    <row r="1086" spans="1:23" ht="12" x14ac:dyDescent="0.2">
      <c r="A1086" s="39" t="s">
        <v>34</v>
      </c>
      <c r="B1086" s="40" t="s">
        <v>465</v>
      </c>
      <c r="C1086" s="40" t="s">
        <v>6301</v>
      </c>
      <c r="D1086" s="41">
        <v>46052</v>
      </c>
      <c r="E1086" s="41">
        <v>46082</v>
      </c>
      <c r="F1086" s="41">
        <v>46091</v>
      </c>
      <c r="G1086" s="42">
        <v>9</v>
      </c>
      <c r="H1086" s="40" t="s">
        <v>549</v>
      </c>
      <c r="I1086" s="39" t="s">
        <v>320</v>
      </c>
      <c r="J1086" s="43">
        <v>7122.16</v>
      </c>
      <c r="K1086" s="43">
        <v>0</v>
      </c>
      <c r="L1086" s="43">
        <v>7122.16</v>
      </c>
      <c r="M1086" s="44">
        <v>0</v>
      </c>
      <c r="N1086" s="44">
        <f t="shared" si="16"/>
        <v>7122.16</v>
      </c>
      <c r="O1086" s="44">
        <v>7122.16</v>
      </c>
      <c r="P1086" s="40" t="s">
        <v>6302</v>
      </c>
      <c r="Q1086" s="40" t="s">
        <v>6303</v>
      </c>
      <c r="R1086" s="40" t="s">
        <v>494</v>
      </c>
      <c r="S1086" s="40" t="s">
        <v>502</v>
      </c>
      <c r="T1086" s="40" t="s">
        <v>280</v>
      </c>
      <c r="U1086" s="40" t="s">
        <v>560</v>
      </c>
      <c r="V1086" s="40"/>
      <c r="W1086" s="40" t="s">
        <v>6304</v>
      </c>
    </row>
    <row r="1087" spans="1:23" ht="12" x14ac:dyDescent="0.2">
      <c r="A1087" s="39" t="s">
        <v>337</v>
      </c>
      <c r="B1087" s="40" t="s">
        <v>336</v>
      </c>
      <c r="C1087" s="40" t="s">
        <v>6305</v>
      </c>
      <c r="D1087" s="41">
        <v>46053</v>
      </c>
      <c r="E1087" s="41">
        <v>46083</v>
      </c>
      <c r="F1087" s="41">
        <v>46091</v>
      </c>
      <c r="G1087" s="42">
        <v>8</v>
      </c>
      <c r="H1087" s="40" t="s">
        <v>549</v>
      </c>
      <c r="I1087" s="39" t="s">
        <v>320</v>
      </c>
      <c r="J1087" s="43">
        <v>-2049.12</v>
      </c>
      <c r="K1087" s="43">
        <v>0</v>
      </c>
      <c r="L1087" s="43">
        <v>-2049.12</v>
      </c>
      <c r="M1087" s="44">
        <v>0</v>
      </c>
      <c r="N1087" s="44">
        <f t="shared" si="16"/>
        <v>-2049.12</v>
      </c>
      <c r="O1087" s="44">
        <v>-2049.12</v>
      </c>
      <c r="P1087" s="40" t="s">
        <v>1177</v>
      </c>
      <c r="Q1087" s="40" t="s">
        <v>1178</v>
      </c>
      <c r="R1087" s="40" t="s">
        <v>494</v>
      </c>
      <c r="S1087" s="40" t="s">
        <v>502</v>
      </c>
      <c r="T1087" s="40" t="s">
        <v>289</v>
      </c>
      <c r="U1087" s="40" t="s">
        <v>1179</v>
      </c>
      <c r="V1087" s="40"/>
      <c r="W1087" s="40" t="s">
        <v>1180</v>
      </c>
    </row>
    <row r="1088" spans="1:23" ht="12" x14ac:dyDescent="0.2">
      <c r="A1088" s="39" t="s">
        <v>6306</v>
      </c>
      <c r="B1088" s="40" t="s">
        <v>6307</v>
      </c>
      <c r="C1088" s="40" t="s">
        <v>6308</v>
      </c>
      <c r="D1088" s="41">
        <v>46055</v>
      </c>
      <c r="E1088" s="41">
        <v>46085</v>
      </c>
      <c r="F1088" s="41">
        <v>46091</v>
      </c>
      <c r="G1088" s="42">
        <v>6</v>
      </c>
      <c r="H1088" s="40" t="s">
        <v>549</v>
      </c>
      <c r="I1088" s="39" t="s">
        <v>320</v>
      </c>
      <c r="J1088" s="43">
        <v>213301.67</v>
      </c>
      <c r="K1088" s="43">
        <v>35550.28</v>
      </c>
      <c r="L1088" s="43">
        <v>213301.67</v>
      </c>
      <c r="M1088" s="44">
        <v>35550.28</v>
      </c>
      <c r="N1088" s="44">
        <f t="shared" si="16"/>
        <v>177751.39</v>
      </c>
      <c r="O1088" s="44">
        <v>213301.67</v>
      </c>
      <c r="P1088" s="40" t="s">
        <v>6309</v>
      </c>
      <c r="Q1088" s="40" t="s">
        <v>6310</v>
      </c>
      <c r="R1088" s="40" t="s">
        <v>494</v>
      </c>
      <c r="S1088" s="40" t="s">
        <v>502</v>
      </c>
      <c r="T1088" s="40" t="s">
        <v>305</v>
      </c>
      <c r="U1088" s="40" t="s">
        <v>6311</v>
      </c>
      <c r="V1088" s="40"/>
      <c r="W1088" s="40"/>
    </row>
    <row r="1089" spans="1:23" ht="12" x14ac:dyDescent="0.2">
      <c r="A1089" s="39" t="s">
        <v>2178</v>
      </c>
      <c r="B1089" s="40" t="s">
        <v>2179</v>
      </c>
      <c r="C1089" s="40" t="s">
        <v>6312</v>
      </c>
      <c r="D1089" s="41">
        <v>46055</v>
      </c>
      <c r="E1089" s="41">
        <v>46085</v>
      </c>
      <c r="F1089" s="41">
        <v>46091</v>
      </c>
      <c r="G1089" s="42">
        <v>6</v>
      </c>
      <c r="H1089" s="40" t="s">
        <v>549</v>
      </c>
      <c r="I1089" s="39" t="s">
        <v>320</v>
      </c>
      <c r="J1089" s="43">
        <v>19906.36</v>
      </c>
      <c r="K1089" s="43">
        <v>0</v>
      </c>
      <c r="L1089" s="43">
        <v>4191.09</v>
      </c>
      <c r="M1089" s="44">
        <v>0</v>
      </c>
      <c r="N1089" s="44">
        <f t="shared" si="16"/>
        <v>4191.09</v>
      </c>
      <c r="O1089" s="44">
        <v>4191.09</v>
      </c>
      <c r="P1089" s="40" t="s">
        <v>4496</v>
      </c>
      <c r="Q1089" s="40" t="s">
        <v>4497</v>
      </c>
      <c r="R1089" s="40" t="s">
        <v>494</v>
      </c>
      <c r="S1089" s="40" t="s">
        <v>502</v>
      </c>
      <c r="T1089" s="40" t="s">
        <v>282</v>
      </c>
      <c r="U1089" s="40" t="s">
        <v>1767</v>
      </c>
      <c r="V1089" s="40"/>
      <c r="W1089" s="40" t="s">
        <v>4498</v>
      </c>
    </row>
    <row r="1090" spans="1:23" ht="12" x14ac:dyDescent="0.2">
      <c r="A1090" s="39" t="s">
        <v>6313</v>
      </c>
      <c r="B1090" s="40" t="s">
        <v>6314</v>
      </c>
      <c r="C1090" s="40" t="s">
        <v>6315</v>
      </c>
      <c r="D1090" s="41">
        <v>46055</v>
      </c>
      <c r="E1090" s="41">
        <v>46085</v>
      </c>
      <c r="F1090" s="41">
        <v>46091</v>
      </c>
      <c r="G1090" s="42">
        <v>6</v>
      </c>
      <c r="H1090" s="40" t="s">
        <v>549</v>
      </c>
      <c r="I1090" s="39" t="s">
        <v>320</v>
      </c>
      <c r="J1090" s="43">
        <v>67500</v>
      </c>
      <c r="K1090" s="43">
        <v>0</v>
      </c>
      <c r="L1090" s="43">
        <v>67500</v>
      </c>
      <c r="M1090" s="44">
        <v>0</v>
      </c>
      <c r="N1090" s="44">
        <f t="shared" si="16"/>
        <v>67500</v>
      </c>
      <c r="O1090" s="44">
        <v>67500</v>
      </c>
      <c r="P1090" s="40" t="s">
        <v>6316</v>
      </c>
      <c r="Q1090" s="40" t="s">
        <v>6317</v>
      </c>
      <c r="R1090" s="40" t="s">
        <v>494</v>
      </c>
      <c r="S1090" s="40" t="s">
        <v>502</v>
      </c>
      <c r="T1090" s="40" t="s">
        <v>289</v>
      </c>
      <c r="U1090" s="40" t="s">
        <v>1041</v>
      </c>
      <c r="V1090" s="40"/>
      <c r="W1090" s="40" t="s">
        <v>6318</v>
      </c>
    </row>
    <row r="1091" spans="1:23" ht="12" x14ac:dyDescent="0.2">
      <c r="A1091" s="39" t="s">
        <v>3477</v>
      </c>
      <c r="B1091" s="40" t="s">
        <v>3478</v>
      </c>
      <c r="C1091" s="40" t="s">
        <v>6319</v>
      </c>
      <c r="D1091" s="41">
        <v>46055</v>
      </c>
      <c r="E1091" s="41">
        <v>46085</v>
      </c>
      <c r="F1091" s="41">
        <v>46091</v>
      </c>
      <c r="G1091" s="42">
        <v>6</v>
      </c>
      <c r="H1091" s="40" t="s">
        <v>549</v>
      </c>
      <c r="I1091" s="39" t="s">
        <v>320</v>
      </c>
      <c r="J1091" s="43">
        <v>84465.600000000006</v>
      </c>
      <c r="K1091" s="43">
        <v>14077.6</v>
      </c>
      <c r="L1091" s="43">
        <v>84465.600000000006</v>
      </c>
      <c r="M1091" s="44">
        <v>14077.6</v>
      </c>
      <c r="N1091" s="44">
        <f t="shared" ref="N1091:N1154" si="17">IF(I1091="GBP",L1091-K1091,O1091-K1091)</f>
        <v>70388</v>
      </c>
      <c r="O1091" s="44">
        <v>84465.600000000006</v>
      </c>
      <c r="P1091" s="40" t="s">
        <v>3479</v>
      </c>
      <c r="Q1091" s="40" t="s">
        <v>3480</v>
      </c>
      <c r="R1091" s="40" t="s">
        <v>494</v>
      </c>
      <c r="S1091" s="40" t="s">
        <v>502</v>
      </c>
      <c r="T1091" s="40" t="s">
        <v>218</v>
      </c>
      <c r="U1091" s="40" t="s">
        <v>3481</v>
      </c>
      <c r="V1091" s="40"/>
      <c r="W1091" s="40" t="s">
        <v>321</v>
      </c>
    </row>
    <row r="1092" spans="1:23" ht="12" x14ac:dyDescent="0.2">
      <c r="A1092" s="39" t="s">
        <v>39</v>
      </c>
      <c r="B1092" s="40" t="s">
        <v>752</v>
      </c>
      <c r="C1092" s="40" t="s">
        <v>6320</v>
      </c>
      <c r="D1092" s="41">
        <v>46055</v>
      </c>
      <c r="E1092" s="41">
        <v>46085</v>
      </c>
      <c r="F1092" s="41">
        <v>46091</v>
      </c>
      <c r="G1092" s="42">
        <v>6</v>
      </c>
      <c r="H1092" s="40" t="s">
        <v>549</v>
      </c>
      <c r="I1092" s="39" t="s">
        <v>320</v>
      </c>
      <c r="J1092" s="43">
        <v>198212.68</v>
      </c>
      <c r="K1092" s="43">
        <v>0</v>
      </c>
      <c r="L1092" s="43">
        <v>198212.68</v>
      </c>
      <c r="M1092" s="44">
        <v>0</v>
      </c>
      <c r="N1092" s="44">
        <f t="shared" si="17"/>
        <v>198212.68</v>
      </c>
      <c r="O1092" s="44">
        <v>198212.68</v>
      </c>
      <c r="P1092" s="40" t="s">
        <v>6321</v>
      </c>
      <c r="Q1092" s="40" t="s">
        <v>6322</v>
      </c>
      <c r="R1092" s="40" t="s">
        <v>494</v>
      </c>
      <c r="S1092" s="40" t="s">
        <v>502</v>
      </c>
      <c r="T1092" s="40" t="s">
        <v>221</v>
      </c>
      <c r="U1092" s="40" t="s">
        <v>1842</v>
      </c>
      <c r="V1092" s="40"/>
      <c r="W1092" s="40" t="s">
        <v>6323</v>
      </c>
    </row>
    <row r="1093" spans="1:23" ht="12" x14ac:dyDescent="0.2">
      <c r="A1093" s="39" t="s">
        <v>943</v>
      </c>
      <c r="B1093" s="40" t="s">
        <v>944</v>
      </c>
      <c r="C1093" s="40" t="s">
        <v>6324</v>
      </c>
      <c r="D1093" s="41">
        <v>46055</v>
      </c>
      <c r="E1093" s="41">
        <v>46085</v>
      </c>
      <c r="F1093" s="41">
        <v>46091</v>
      </c>
      <c r="G1093" s="42">
        <v>6</v>
      </c>
      <c r="H1093" s="40" t="s">
        <v>549</v>
      </c>
      <c r="I1093" s="39" t="s">
        <v>320</v>
      </c>
      <c r="J1093" s="43">
        <v>34013.96</v>
      </c>
      <c r="K1093" s="43">
        <v>0</v>
      </c>
      <c r="L1093" s="43">
        <v>34013.96</v>
      </c>
      <c r="M1093" s="44">
        <v>0</v>
      </c>
      <c r="N1093" s="44">
        <f t="shared" si="17"/>
        <v>34013.96</v>
      </c>
      <c r="O1093" s="44">
        <v>34013.96</v>
      </c>
      <c r="P1093" s="40" t="s">
        <v>6325</v>
      </c>
      <c r="Q1093" s="40" t="s">
        <v>6326</v>
      </c>
      <c r="R1093" s="40" t="s">
        <v>494</v>
      </c>
      <c r="S1093" s="40" t="s">
        <v>502</v>
      </c>
      <c r="T1093" s="40" t="s">
        <v>218</v>
      </c>
      <c r="U1093" s="40" t="s">
        <v>6327</v>
      </c>
      <c r="V1093" s="40" t="s">
        <v>6328</v>
      </c>
      <c r="W1093" s="40" t="s">
        <v>6329</v>
      </c>
    </row>
    <row r="1094" spans="1:23" ht="12" x14ac:dyDescent="0.2">
      <c r="A1094" s="39" t="s">
        <v>467</v>
      </c>
      <c r="B1094" s="40" t="s">
        <v>466</v>
      </c>
      <c r="C1094" s="40" t="s">
        <v>6330</v>
      </c>
      <c r="D1094" s="41">
        <v>46055</v>
      </c>
      <c r="E1094" s="41">
        <v>46085</v>
      </c>
      <c r="F1094" s="41">
        <v>46091</v>
      </c>
      <c r="G1094" s="42">
        <v>6</v>
      </c>
      <c r="H1094" s="40" t="s">
        <v>549</v>
      </c>
      <c r="I1094" s="39" t="s">
        <v>320</v>
      </c>
      <c r="J1094" s="43">
        <v>1269.1099999999999</v>
      </c>
      <c r="K1094" s="43">
        <v>0</v>
      </c>
      <c r="L1094" s="43">
        <v>1269.1099999999999</v>
      </c>
      <c r="M1094" s="44">
        <v>0</v>
      </c>
      <c r="N1094" s="44">
        <f t="shared" si="17"/>
        <v>1269.1099999999999</v>
      </c>
      <c r="O1094" s="44">
        <v>1269.1099999999999</v>
      </c>
      <c r="P1094" s="40" t="s">
        <v>6331</v>
      </c>
      <c r="Q1094" s="40" t="s">
        <v>6332</v>
      </c>
      <c r="R1094" s="40" t="s">
        <v>494</v>
      </c>
      <c r="S1094" s="40" t="s">
        <v>502</v>
      </c>
      <c r="T1094" s="40" t="s">
        <v>343</v>
      </c>
      <c r="U1094" s="40" t="s">
        <v>2653</v>
      </c>
      <c r="V1094" s="40"/>
      <c r="W1094" s="40" t="s">
        <v>6333</v>
      </c>
    </row>
    <row r="1095" spans="1:23" ht="12" x14ac:dyDescent="0.2">
      <c r="A1095" s="39" t="s">
        <v>6334</v>
      </c>
      <c r="B1095" s="40" t="s">
        <v>6335</v>
      </c>
      <c r="C1095" s="40" t="s">
        <v>6336</v>
      </c>
      <c r="D1095" s="41">
        <v>46055</v>
      </c>
      <c r="E1095" s="41">
        <v>46085</v>
      </c>
      <c r="F1095" s="41">
        <v>46091</v>
      </c>
      <c r="G1095" s="42">
        <v>6</v>
      </c>
      <c r="H1095" s="40" t="s">
        <v>549</v>
      </c>
      <c r="I1095" s="39" t="s">
        <v>320</v>
      </c>
      <c r="J1095" s="43">
        <v>13500</v>
      </c>
      <c r="K1095" s="43">
        <v>2250</v>
      </c>
      <c r="L1095" s="43">
        <v>13500</v>
      </c>
      <c r="M1095" s="44">
        <v>2250</v>
      </c>
      <c r="N1095" s="44">
        <f t="shared" si="17"/>
        <v>11250</v>
      </c>
      <c r="O1095" s="44">
        <v>13500</v>
      </c>
      <c r="P1095" s="40" t="s">
        <v>6337</v>
      </c>
      <c r="Q1095" s="40" t="s">
        <v>6338</v>
      </c>
      <c r="R1095" s="40" t="s">
        <v>494</v>
      </c>
      <c r="S1095" s="40" t="s">
        <v>502</v>
      </c>
      <c r="T1095" s="40" t="s">
        <v>538</v>
      </c>
      <c r="U1095" s="40" t="s">
        <v>863</v>
      </c>
      <c r="V1095" s="40"/>
      <c r="W1095" s="40" t="s">
        <v>322</v>
      </c>
    </row>
    <row r="1096" spans="1:23" ht="12" x14ac:dyDescent="0.2">
      <c r="A1096" s="39" t="s">
        <v>6339</v>
      </c>
      <c r="B1096" s="40" t="s">
        <v>6340</v>
      </c>
      <c r="C1096" s="40" t="s">
        <v>6341</v>
      </c>
      <c r="D1096" s="41">
        <v>46055</v>
      </c>
      <c r="E1096" s="41">
        <v>46085</v>
      </c>
      <c r="F1096" s="41">
        <v>46091</v>
      </c>
      <c r="G1096" s="42">
        <v>6</v>
      </c>
      <c r="H1096" s="40" t="s">
        <v>549</v>
      </c>
      <c r="I1096" s="39" t="s">
        <v>320</v>
      </c>
      <c r="J1096" s="43">
        <v>143762.18</v>
      </c>
      <c r="K1096" s="43">
        <v>0</v>
      </c>
      <c r="L1096" s="43">
        <v>143762.18</v>
      </c>
      <c r="M1096" s="44">
        <v>0</v>
      </c>
      <c r="N1096" s="44">
        <f t="shared" si="17"/>
        <v>143762.18</v>
      </c>
      <c r="O1096" s="44">
        <v>143762.18</v>
      </c>
      <c r="P1096" s="40" t="s">
        <v>6342</v>
      </c>
      <c r="Q1096" s="40" t="s">
        <v>6343</v>
      </c>
      <c r="R1096" s="40" t="s">
        <v>494</v>
      </c>
      <c r="S1096" s="40" t="s">
        <v>502</v>
      </c>
      <c r="T1096" s="40" t="s">
        <v>218</v>
      </c>
      <c r="U1096" s="40" t="s">
        <v>2395</v>
      </c>
      <c r="V1096" s="40"/>
      <c r="W1096" s="40" t="s">
        <v>6344</v>
      </c>
    </row>
    <row r="1097" spans="1:23" ht="12" x14ac:dyDescent="0.2">
      <c r="A1097" s="39" t="s">
        <v>6345</v>
      </c>
      <c r="B1097" s="40" t="s">
        <v>6346</v>
      </c>
      <c r="C1097" s="40" t="s">
        <v>6347</v>
      </c>
      <c r="D1097" s="41">
        <v>46055</v>
      </c>
      <c r="E1097" s="41">
        <v>46085</v>
      </c>
      <c r="F1097" s="41">
        <v>46091</v>
      </c>
      <c r="G1097" s="42">
        <v>6</v>
      </c>
      <c r="H1097" s="40" t="s">
        <v>549</v>
      </c>
      <c r="I1097" s="39" t="s">
        <v>320</v>
      </c>
      <c r="J1097" s="43">
        <v>1171.56</v>
      </c>
      <c r="K1097" s="43">
        <v>0</v>
      </c>
      <c r="L1097" s="43">
        <v>1171.56</v>
      </c>
      <c r="M1097" s="44">
        <v>0</v>
      </c>
      <c r="N1097" s="44">
        <f t="shared" si="17"/>
        <v>1171.56</v>
      </c>
      <c r="O1097" s="44">
        <v>1171.56</v>
      </c>
      <c r="P1097" s="40" t="s">
        <v>6348</v>
      </c>
      <c r="Q1097" s="40" t="s">
        <v>6349</v>
      </c>
      <c r="R1097" s="40" t="s">
        <v>494</v>
      </c>
      <c r="S1097" s="40" t="s">
        <v>495</v>
      </c>
      <c r="T1097" s="40" t="s">
        <v>813</v>
      </c>
      <c r="U1097" s="40" t="s">
        <v>6350</v>
      </c>
      <c r="V1097" s="40"/>
      <c r="W1097" s="40" t="s">
        <v>6351</v>
      </c>
    </row>
    <row r="1098" spans="1:23" ht="12" x14ac:dyDescent="0.2">
      <c r="A1098" s="39" t="s">
        <v>2178</v>
      </c>
      <c r="B1098" s="40" t="s">
        <v>2179</v>
      </c>
      <c r="C1098" s="40" t="s">
        <v>6352</v>
      </c>
      <c r="D1098" s="41">
        <v>46055</v>
      </c>
      <c r="E1098" s="41">
        <v>46085</v>
      </c>
      <c r="F1098" s="41">
        <v>46091</v>
      </c>
      <c r="G1098" s="42">
        <v>6</v>
      </c>
      <c r="H1098" s="40" t="s">
        <v>549</v>
      </c>
      <c r="I1098" s="39" t="s">
        <v>320</v>
      </c>
      <c r="J1098" s="43">
        <v>464.08</v>
      </c>
      <c r="K1098" s="43">
        <v>0</v>
      </c>
      <c r="L1098" s="43">
        <v>464.08</v>
      </c>
      <c r="M1098" s="44">
        <v>0</v>
      </c>
      <c r="N1098" s="44">
        <f t="shared" si="17"/>
        <v>464.08</v>
      </c>
      <c r="O1098" s="44">
        <v>464.08</v>
      </c>
      <c r="P1098" s="40" t="s">
        <v>5778</v>
      </c>
      <c r="Q1098" s="40" t="s">
        <v>5779</v>
      </c>
      <c r="R1098" s="40" t="s">
        <v>494</v>
      </c>
      <c r="S1098" s="40" t="s">
        <v>502</v>
      </c>
      <c r="T1098" s="40" t="s">
        <v>363</v>
      </c>
      <c r="U1098" s="40" t="s">
        <v>5780</v>
      </c>
      <c r="V1098" s="40"/>
      <c r="W1098" s="40" t="s">
        <v>5781</v>
      </c>
    </row>
    <row r="1099" spans="1:23" ht="12" x14ac:dyDescent="0.2">
      <c r="A1099" s="39" t="s">
        <v>2064</v>
      </c>
      <c r="B1099" s="40" t="s">
        <v>6353</v>
      </c>
      <c r="C1099" s="40" t="s">
        <v>6354</v>
      </c>
      <c r="D1099" s="41">
        <v>46055</v>
      </c>
      <c r="E1099" s="41">
        <v>46085</v>
      </c>
      <c r="F1099" s="41">
        <v>46091</v>
      </c>
      <c r="G1099" s="42">
        <v>6</v>
      </c>
      <c r="H1099" s="40" t="s">
        <v>549</v>
      </c>
      <c r="I1099" s="39" t="s">
        <v>320</v>
      </c>
      <c r="J1099" s="43">
        <v>730634.76</v>
      </c>
      <c r="K1099" s="43">
        <v>121772.46</v>
      </c>
      <c r="L1099" s="43">
        <v>730634.76</v>
      </c>
      <c r="M1099" s="44">
        <v>121772.46</v>
      </c>
      <c r="N1099" s="44">
        <f t="shared" si="17"/>
        <v>608862.30000000005</v>
      </c>
      <c r="O1099" s="44">
        <v>730634.76</v>
      </c>
      <c r="P1099" s="40" t="s">
        <v>2063</v>
      </c>
      <c r="Q1099" s="40" t="s">
        <v>6355</v>
      </c>
      <c r="R1099" s="40" t="s">
        <v>494</v>
      </c>
      <c r="S1099" s="40" t="s">
        <v>502</v>
      </c>
      <c r="T1099" s="40" t="s">
        <v>280</v>
      </c>
      <c r="U1099" s="40" t="s">
        <v>6356</v>
      </c>
      <c r="V1099" s="40"/>
      <c r="W1099" s="40" t="s">
        <v>6357</v>
      </c>
    </row>
    <row r="1100" spans="1:23" ht="12" x14ac:dyDescent="0.2">
      <c r="A1100" s="39" t="s">
        <v>1596</v>
      </c>
      <c r="B1100" s="40" t="s">
        <v>3375</v>
      </c>
      <c r="C1100" s="40" t="s">
        <v>6358</v>
      </c>
      <c r="D1100" s="41">
        <v>46055</v>
      </c>
      <c r="E1100" s="41">
        <v>46085</v>
      </c>
      <c r="F1100" s="41">
        <v>46091</v>
      </c>
      <c r="G1100" s="42">
        <v>6</v>
      </c>
      <c r="H1100" s="40" t="s">
        <v>549</v>
      </c>
      <c r="I1100" s="39" t="s">
        <v>320</v>
      </c>
      <c r="J1100" s="43">
        <v>82500</v>
      </c>
      <c r="K1100" s="43">
        <v>0</v>
      </c>
      <c r="L1100" s="43">
        <v>82500</v>
      </c>
      <c r="M1100" s="44">
        <v>0</v>
      </c>
      <c r="N1100" s="44">
        <f t="shared" si="17"/>
        <v>82500</v>
      </c>
      <c r="O1100" s="44">
        <v>82500</v>
      </c>
      <c r="P1100" s="40" t="s">
        <v>3376</v>
      </c>
      <c r="Q1100" s="40" t="s">
        <v>3377</v>
      </c>
      <c r="R1100" s="40" t="s">
        <v>494</v>
      </c>
      <c r="S1100" s="40" t="s">
        <v>502</v>
      </c>
      <c r="T1100" s="40" t="s">
        <v>218</v>
      </c>
      <c r="U1100" s="40" t="s">
        <v>3378</v>
      </c>
      <c r="V1100" s="40"/>
      <c r="W1100" s="40" t="s">
        <v>6359</v>
      </c>
    </row>
    <row r="1101" spans="1:23" ht="12" x14ac:dyDescent="0.2">
      <c r="A1101" s="39" t="s">
        <v>1596</v>
      </c>
      <c r="B1101" s="40" t="s">
        <v>3375</v>
      </c>
      <c r="C1101" s="40" t="s">
        <v>6360</v>
      </c>
      <c r="D1101" s="41">
        <v>46055</v>
      </c>
      <c r="E1101" s="41">
        <v>46085</v>
      </c>
      <c r="F1101" s="41">
        <v>46091</v>
      </c>
      <c r="G1101" s="42">
        <v>6</v>
      </c>
      <c r="H1101" s="40" t="s">
        <v>549</v>
      </c>
      <c r="I1101" s="39" t="s">
        <v>320</v>
      </c>
      <c r="J1101" s="43">
        <v>32356</v>
      </c>
      <c r="K1101" s="43">
        <v>0</v>
      </c>
      <c r="L1101" s="43">
        <v>32356</v>
      </c>
      <c r="M1101" s="44">
        <v>0</v>
      </c>
      <c r="N1101" s="44">
        <f t="shared" si="17"/>
        <v>32356</v>
      </c>
      <c r="O1101" s="44">
        <v>32356</v>
      </c>
      <c r="P1101" s="40" t="s">
        <v>1595</v>
      </c>
      <c r="Q1101" s="40" t="s">
        <v>6361</v>
      </c>
      <c r="R1101" s="40" t="s">
        <v>494</v>
      </c>
      <c r="S1101" s="40" t="s">
        <v>502</v>
      </c>
      <c r="T1101" s="40" t="s">
        <v>218</v>
      </c>
      <c r="U1101" s="40" t="s">
        <v>6362</v>
      </c>
      <c r="V1101" s="40"/>
      <c r="W1101" s="40" t="s">
        <v>6363</v>
      </c>
    </row>
    <row r="1102" spans="1:23" ht="12" x14ac:dyDescent="0.2">
      <c r="A1102" s="39" t="s">
        <v>39</v>
      </c>
      <c r="B1102" s="40" t="s">
        <v>752</v>
      </c>
      <c r="C1102" s="40" t="s">
        <v>6364</v>
      </c>
      <c r="D1102" s="41">
        <v>46055</v>
      </c>
      <c r="E1102" s="41">
        <v>46085</v>
      </c>
      <c r="F1102" s="41">
        <v>46091</v>
      </c>
      <c r="G1102" s="42">
        <v>6</v>
      </c>
      <c r="H1102" s="40" t="s">
        <v>549</v>
      </c>
      <c r="I1102" s="39" t="s">
        <v>320</v>
      </c>
      <c r="J1102" s="43">
        <v>843686.97</v>
      </c>
      <c r="K1102" s="43">
        <v>0</v>
      </c>
      <c r="L1102" s="43">
        <v>843686.97</v>
      </c>
      <c r="M1102" s="44">
        <v>0</v>
      </c>
      <c r="N1102" s="44">
        <f t="shared" si="17"/>
        <v>843686.97</v>
      </c>
      <c r="O1102" s="44">
        <v>843686.97</v>
      </c>
      <c r="P1102" s="40" t="s">
        <v>6365</v>
      </c>
      <c r="Q1102" s="40" t="s">
        <v>6366</v>
      </c>
      <c r="R1102" s="40" t="s">
        <v>494</v>
      </c>
      <c r="S1102" s="40" t="s">
        <v>502</v>
      </c>
      <c r="T1102" s="40" t="s">
        <v>221</v>
      </c>
      <c r="U1102" s="40" t="s">
        <v>3002</v>
      </c>
      <c r="V1102" s="40"/>
      <c r="W1102" s="40" t="s">
        <v>6367</v>
      </c>
    </row>
    <row r="1103" spans="1:23" ht="12" x14ac:dyDescent="0.2">
      <c r="A1103" s="39" t="s">
        <v>337</v>
      </c>
      <c r="B1103" s="40" t="s">
        <v>336</v>
      </c>
      <c r="C1103" s="40" t="s">
        <v>6368</v>
      </c>
      <c r="D1103" s="41">
        <v>46055</v>
      </c>
      <c r="E1103" s="41">
        <v>46085</v>
      </c>
      <c r="F1103" s="41">
        <v>46091</v>
      </c>
      <c r="G1103" s="42">
        <v>6</v>
      </c>
      <c r="H1103" s="40" t="s">
        <v>549</v>
      </c>
      <c r="I1103" s="39" t="s">
        <v>320</v>
      </c>
      <c r="J1103" s="43">
        <v>10875.65</v>
      </c>
      <c r="K1103" s="43">
        <v>0</v>
      </c>
      <c r="L1103" s="43">
        <v>10875.65</v>
      </c>
      <c r="M1103" s="44">
        <v>0</v>
      </c>
      <c r="N1103" s="44">
        <f t="shared" si="17"/>
        <v>10875.65</v>
      </c>
      <c r="O1103" s="44">
        <v>10875.65</v>
      </c>
      <c r="P1103" s="40" t="s">
        <v>6369</v>
      </c>
      <c r="Q1103" s="40" t="s">
        <v>6370</v>
      </c>
      <c r="R1103" s="40" t="s">
        <v>494</v>
      </c>
      <c r="S1103" s="40" t="s">
        <v>502</v>
      </c>
      <c r="T1103" s="40" t="s">
        <v>289</v>
      </c>
      <c r="U1103" s="40" t="s">
        <v>637</v>
      </c>
      <c r="V1103" s="40"/>
      <c r="W1103" s="40" t="s">
        <v>6371</v>
      </c>
    </row>
    <row r="1104" spans="1:23" ht="12" x14ac:dyDescent="0.2">
      <c r="A1104" s="39" t="s">
        <v>2042</v>
      </c>
      <c r="B1104" s="40" t="s">
        <v>6372</v>
      </c>
      <c r="C1104" s="40" t="s">
        <v>6373</v>
      </c>
      <c r="D1104" s="41">
        <v>46055</v>
      </c>
      <c r="E1104" s="41">
        <v>46085</v>
      </c>
      <c r="F1104" s="41">
        <v>46091</v>
      </c>
      <c r="G1104" s="42">
        <v>6</v>
      </c>
      <c r="H1104" s="40" t="s">
        <v>549</v>
      </c>
      <c r="I1104" s="39" t="s">
        <v>320</v>
      </c>
      <c r="J1104" s="43">
        <v>75000</v>
      </c>
      <c r="K1104" s="43">
        <v>0</v>
      </c>
      <c r="L1104" s="43">
        <v>75000</v>
      </c>
      <c r="M1104" s="44">
        <v>0</v>
      </c>
      <c r="N1104" s="44">
        <f t="shared" si="17"/>
        <v>75000</v>
      </c>
      <c r="O1104" s="44">
        <v>75000</v>
      </c>
      <c r="P1104" s="40" t="s">
        <v>2041</v>
      </c>
      <c r="Q1104" s="40" t="s">
        <v>6374</v>
      </c>
      <c r="R1104" s="40" t="s">
        <v>494</v>
      </c>
      <c r="S1104" s="40" t="s">
        <v>502</v>
      </c>
      <c r="T1104" s="40" t="s">
        <v>197</v>
      </c>
      <c r="U1104" s="40" t="s">
        <v>1895</v>
      </c>
      <c r="V1104" s="40"/>
      <c r="W1104" s="40" t="s">
        <v>1150</v>
      </c>
    </row>
    <row r="1105" spans="1:23" ht="12" x14ac:dyDescent="0.2">
      <c r="A1105" s="39" t="s">
        <v>337</v>
      </c>
      <c r="B1105" s="40" t="s">
        <v>336</v>
      </c>
      <c r="C1105" s="40" t="s">
        <v>6375</v>
      </c>
      <c r="D1105" s="41">
        <v>46055</v>
      </c>
      <c r="E1105" s="41">
        <v>46085</v>
      </c>
      <c r="F1105" s="41">
        <v>46091</v>
      </c>
      <c r="G1105" s="42">
        <v>6</v>
      </c>
      <c r="H1105" s="40" t="s">
        <v>549</v>
      </c>
      <c r="I1105" s="39" t="s">
        <v>320</v>
      </c>
      <c r="J1105" s="43">
        <v>34283.94</v>
      </c>
      <c r="K1105" s="43">
        <v>0</v>
      </c>
      <c r="L1105" s="43">
        <v>34283.94</v>
      </c>
      <c r="M1105" s="44">
        <v>0</v>
      </c>
      <c r="N1105" s="44">
        <f t="shared" si="17"/>
        <v>34283.94</v>
      </c>
      <c r="O1105" s="44">
        <v>34283.94</v>
      </c>
      <c r="P1105" s="40" t="s">
        <v>6376</v>
      </c>
      <c r="Q1105" s="40" t="s">
        <v>6377</v>
      </c>
      <c r="R1105" s="40" t="s">
        <v>494</v>
      </c>
      <c r="S1105" s="40" t="s">
        <v>502</v>
      </c>
      <c r="T1105" s="40" t="s">
        <v>289</v>
      </c>
      <c r="U1105" s="40" t="s">
        <v>6378</v>
      </c>
      <c r="V1105" s="40"/>
      <c r="W1105" s="40" t="s">
        <v>6379</v>
      </c>
    </row>
    <row r="1106" spans="1:23" ht="12" x14ac:dyDescent="0.2">
      <c r="A1106" s="39" t="s">
        <v>2178</v>
      </c>
      <c r="B1106" s="40" t="s">
        <v>2179</v>
      </c>
      <c r="C1106" s="40" t="s">
        <v>6380</v>
      </c>
      <c r="D1106" s="41">
        <v>46055</v>
      </c>
      <c r="E1106" s="41">
        <v>46085</v>
      </c>
      <c r="F1106" s="41">
        <v>46091</v>
      </c>
      <c r="G1106" s="42">
        <v>6</v>
      </c>
      <c r="H1106" s="40" t="s">
        <v>549</v>
      </c>
      <c r="I1106" s="39" t="s">
        <v>320</v>
      </c>
      <c r="J1106" s="43">
        <v>486387.07</v>
      </c>
      <c r="K1106" s="43">
        <v>0</v>
      </c>
      <c r="L1106" s="43">
        <v>257683.06</v>
      </c>
      <c r="M1106" s="44">
        <v>0</v>
      </c>
      <c r="N1106" s="44">
        <f t="shared" si="17"/>
        <v>257683.06</v>
      </c>
      <c r="O1106" s="44">
        <v>257683.06</v>
      </c>
      <c r="P1106" s="40" t="s">
        <v>2331</v>
      </c>
      <c r="Q1106" s="40" t="s">
        <v>2332</v>
      </c>
      <c r="R1106" s="40" t="s">
        <v>494</v>
      </c>
      <c r="S1106" s="40" t="s">
        <v>502</v>
      </c>
      <c r="T1106" s="40" t="s">
        <v>284</v>
      </c>
      <c r="U1106" s="40" t="s">
        <v>1505</v>
      </c>
      <c r="V1106" s="40"/>
      <c r="W1106" s="40" t="s">
        <v>2333</v>
      </c>
    </row>
    <row r="1107" spans="1:23" ht="12" x14ac:dyDescent="0.2">
      <c r="A1107" s="39" t="s">
        <v>337</v>
      </c>
      <c r="B1107" s="40" t="s">
        <v>336</v>
      </c>
      <c r="C1107" s="40" t="s">
        <v>6381</v>
      </c>
      <c r="D1107" s="41">
        <v>46055</v>
      </c>
      <c r="E1107" s="41">
        <v>46085</v>
      </c>
      <c r="F1107" s="41">
        <v>46091</v>
      </c>
      <c r="G1107" s="42">
        <v>6</v>
      </c>
      <c r="H1107" s="40" t="s">
        <v>549</v>
      </c>
      <c r="I1107" s="39" t="s">
        <v>320</v>
      </c>
      <c r="J1107" s="43">
        <v>46631.38</v>
      </c>
      <c r="K1107" s="43">
        <v>0</v>
      </c>
      <c r="L1107" s="43">
        <v>46631.38</v>
      </c>
      <c r="M1107" s="44">
        <v>0</v>
      </c>
      <c r="N1107" s="44">
        <f t="shared" si="17"/>
        <v>46631.38</v>
      </c>
      <c r="O1107" s="44">
        <v>46631.38</v>
      </c>
      <c r="P1107" s="40" t="s">
        <v>1651</v>
      </c>
      <c r="Q1107" s="40" t="s">
        <v>1652</v>
      </c>
      <c r="R1107" s="40" t="s">
        <v>494</v>
      </c>
      <c r="S1107" s="40" t="s">
        <v>502</v>
      </c>
      <c r="T1107" s="40" t="s">
        <v>289</v>
      </c>
      <c r="U1107" s="40" t="s">
        <v>637</v>
      </c>
      <c r="V1107" s="40"/>
      <c r="W1107" s="40" t="s">
        <v>1653</v>
      </c>
    </row>
    <row r="1108" spans="1:23" ht="12" x14ac:dyDescent="0.2">
      <c r="A1108" s="39" t="s">
        <v>2178</v>
      </c>
      <c r="B1108" s="40" t="s">
        <v>2179</v>
      </c>
      <c r="C1108" s="40" t="s">
        <v>6382</v>
      </c>
      <c r="D1108" s="41">
        <v>46055</v>
      </c>
      <c r="E1108" s="41">
        <v>46085</v>
      </c>
      <c r="F1108" s="41">
        <v>46091</v>
      </c>
      <c r="G1108" s="42">
        <v>6</v>
      </c>
      <c r="H1108" s="40" t="s">
        <v>549</v>
      </c>
      <c r="I1108" s="39" t="s">
        <v>320</v>
      </c>
      <c r="J1108" s="43">
        <v>29284.53</v>
      </c>
      <c r="K1108" s="43">
        <v>0</v>
      </c>
      <c r="L1108" s="43">
        <v>29284.53</v>
      </c>
      <c r="M1108" s="44">
        <v>0</v>
      </c>
      <c r="N1108" s="44">
        <f t="shared" si="17"/>
        <v>29284.53</v>
      </c>
      <c r="O1108" s="44">
        <v>29284.53</v>
      </c>
      <c r="P1108" s="40" t="s">
        <v>6383</v>
      </c>
      <c r="Q1108" s="40" t="s">
        <v>6384</v>
      </c>
      <c r="R1108" s="40" t="s">
        <v>494</v>
      </c>
      <c r="S1108" s="40" t="s">
        <v>502</v>
      </c>
      <c r="T1108" s="40" t="s">
        <v>1372</v>
      </c>
      <c r="U1108" s="40" t="s">
        <v>1822</v>
      </c>
      <c r="V1108" s="40"/>
      <c r="W1108" s="40" t="s">
        <v>6385</v>
      </c>
    </row>
    <row r="1109" spans="1:23" ht="12" x14ac:dyDescent="0.2">
      <c r="A1109" s="39" t="s">
        <v>48</v>
      </c>
      <c r="B1109" s="40" t="s">
        <v>389</v>
      </c>
      <c r="C1109" s="40" t="s">
        <v>6386</v>
      </c>
      <c r="D1109" s="41">
        <v>46055</v>
      </c>
      <c r="E1109" s="41">
        <v>46085</v>
      </c>
      <c r="F1109" s="41">
        <v>46091</v>
      </c>
      <c r="G1109" s="42">
        <v>6</v>
      </c>
      <c r="H1109" s="40" t="s">
        <v>549</v>
      </c>
      <c r="I1109" s="39" t="s">
        <v>341</v>
      </c>
      <c r="J1109" s="43">
        <v>272320.26</v>
      </c>
      <c r="K1109" s="43">
        <v>0</v>
      </c>
      <c r="L1109" s="43">
        <v>272320.26</v>
      </c>
      <c r="M1109" s="44">
        <v>0</v>
      </c>
      <c r="N1109" s="44">
        <f t="shared" si="17"/>
        <v>229167.94</v>
      </c>
      <c r="O1109" s="44">
        <v>229167.94</v>
      </c>
      <c r="P1109" s="40" t="s">
        <v>6387</v>
      </c>
      <c r="Q1109" s="40" t="s">
        <v>6388</v>
      </c>
      <c r="R1109" s="40" t="s">
        <v>494</v>
      </c>
      <c r="S1109" s="40" t="s">
        <v>495</v>
      </c>
      <c r="T1109" s="40" t="s">
        <v>278</v>
      </c>
      <c r="U1109" s="40" t="s">
        <v>564</v>
      </c>
      <c r="V1109" s="40"/>
      <c r="W1109" s="40" t="s">
        <v>1328</v>
      </c>
    </row>
    <row r="1110" spans="1:23" ht="12" x14ac:dyDescent="0.2">
      <c r="A1110" s="39" t="s">
        <v>337</v>
      </c>
      <c r="B1110" s="40" t="s">
        <v>336</v>
      </c>
      <c r="C1110" s="40" t="s">
        <v>6389</v>
      </c>
      <c r="D1110" s="41">
        <v>46055</v>
      </c>
      <c r="E1110" s="41">
        <v>46085</v>
      </c>
      <c r="F1110" s="41">
        <v>46091</v>
      </c>
      <c r="G1110" s="42">
        <v>6</v>
      </c>
      <c r="H1110" s="40" t="s">
        <v>549</v>
      </c>
      <c r="I1110" s="39" t="s">
        <v>320</v>
      </c>
      <c r="J1110" s="43">
        <v>40926.160000000003</v>
      </c>
      <c r="K1110" s="43">
        <v>0</v>
      </c>
      <c r="L1110" s="43">
        <v>40926.160000000003</v>
      </c>
      <c r="M1110" s="44">
        <v>0</v>
      </c>
      <c r="N1110" s="44">
        <f t="shared" si="17"/>
        <v>40926.160000000003</v>
      </c>
      <c r="O1110" s="44">
        <v>40926.160000000003</v>
      </c>
      <c r="P1110" s="40" t="s">
        <v>1177</v>
      </c>
      <c r="Q1110" s="40" t="s">
        <v>1178</v>
      </c>
      <c r="R1110" s="40" t="s">
        <v>494</v>
      </c>
      <c r="S1110" s="40" t="s">
        <v>502</v>
      </c>
      <c r="T1110" s="40" t="s">
        <v>289</v>
      </c>
      <c r="U1110" s="40" t="s">
        <v>1179</v>
      </c>
      <c r="V1110" s="40"/>
      <c r="W1110" s="40" t="s">
        <v>1180</v>
      </c>
    </row>
    <row r="1111" spans="1:23" ht="12" x14ac:dyDescent="0.2">
      <c r="A1111" s="39" t="s">
        <v>12</v>
      </c>
      <c r="B1111" s="40" t="s">
        <v>6390</v>
      </c>
      <c r="C1111" s="40" t="s">
        <v>6391</v>
      </c>
      <c r="D1111" s="41">
        <v>46055</v>
      </c>
      <c r="E1111" s="41">
        <v>46085</v>
      </c>
      <c r="F1111" s="41">
        <v>46091</v>
      </c>
      <c r="G1111" s="42">
        <v>6</v>
      </c>
      <c r="H1111" s="40" t="s">
        <v>549</v>
      </c>
      <c r="I1111" s="39" t="s">
        <v>320</v>
      </c>
      <c r="J1111" s="43">
        <v>22730.87</v>
      </c>
      <c r="K1111" s="43">
        <v>0</v>
      </c>
      <c r="L1111" s="43">
        <v>22730.87</v>
      </c>
      <c r="M1111" s="44">
        <v>0</v>
      </c>
      <c r="N1111" s="44">
        <f t="shared" si="17"/>
        <v>22730.87</v>
      </c>
      <c r="O1111" s="44">
        <v>22730.87</v>
      </c>
      <c r="P1111" s="40" t="s">
        <v>801</v>
      </c>
      <c r="Q1111" s="40" t="s">
        <v>6392</v>
      </c>
      <c r="R1111" s="40" t="s">
        <v>494</v>
      </c>
      <c r="S1111" s="40" t="s">
        <v>502</v>
      </c>
      <c r="T1111" s="40" t="s">
        <v>330</v>
      </c>
      <c r="U1111" s="40" t="s">
        <v>4096</v>
      </c>
      <c r="V1111" s="40"/>
      <c r="W1111" s="40" t="s">
        <v>6393</v>
      </c>
    </row>
    <row r="1112" spans="1:23" ht="12" x14ac:dyDescent="0.2">
      <c r="A1112" s="39" t="s">
        <v>34</v>
      </c>
      <c r="B1112" s="40" t="s">
        <v>465</v>
      </c>
      <c r="C1112" s="40" t="s">
        <v>6394</v>
      </c>
      <c r="D1112" s="41">
        <v>46055</v>
      </c>
      <c r="E1112" s="41">
        <v>46085</v>
      </c>
      <c r="F1112" s="41">
        <v>46091</v>
      </c>
      <c r="G1112" s="42">
        <v>6</v>
      </c>
      <c r="H1112" s="40" t="s">
        <v>549</v>
      </c>
      <c r="I1112" s="39" t="s">
        <v>320</v>
      </c>
      <c r="J1112" s="43">
        <v>110488.17</v>
      </c>
      <c r="K1112" s="43">
        <v>0</v>
      </c>
      <c r="L1112" s="43">
        <v>110488.17</v>
      </c>
      <c r="M1112" s="44">
        <v>0</v>
      </c>
      <c r="N1112" s="44">
        <f t="shared" si="17"/>
        <v>110488.17</v>
      </c>
      <c r="O1112" s="44">
        <v>110488.17</v>
      </c>
      <c r="P1112" s="40" t="s">
        <v>3016</v>
      </c>
      <c r="Q1112" s="40" t="s">
        <v>3017</v>
      </c>
      <c r="R1112" s="40" t="s">
        <v>494</v>
      </c>
      <c r="S1112" s="40" t="s">
        <v>502</v>
      </c>
      <c r="T1112" s="40" t="s">
        <v>221</v>
      </c>
      <c r="U1112" s="40" t="s">
        <v>3018</v>
      </c>
      <c r="V1112" s="40"/>
      <c r="W1112" s="40" t="s">
        <v>3019</v>
      </c>
    </row>
    <row r="1113" spans="1:23" ht="12" x14ac:dyDescent="0.2">
      <c r="A1113" s="39" t="s">
        <v>54</v>
      </c>
      <c r="B1113" s="40" t="s">
        <v>455</v>
      </c>
      <c r="C1113" s="40" t="s">
        <v>6395</v>
      </c>
      <c r="D1113" s="41">
        <v>46055</v>
      </c>
      <c r="E1113" s="41">
        <v>46085</v>
      </c>
      <c r="F1113" s="41">
        <v>46091</v>
      </c>
      <c r="G1113" s="42">
        <v>6</v>
      </c>
      <c r="H1113" s="40" t="s">
        <v>549</v>
      </c>
      <c r="I1113" s="39" t="s">
        <v>320</v>
      </c>
      <c r="J1113" s="43">
        <v>104264.15</v>
      </c>
      <c r="K1113" s="43">
        <v>0</v>
      </c>
      <c r="L1113" s="43">
        <v>104264.15</v>
      </c>
      <c r="M1113" s="44">
        <v>0</v>
      </c>
      <c r="N1113" s="44">
        <f t="shared" si="17"/>
        <v>104264.15</v>
      </c>
      <c r="O1113" s="44">
        <v>104264.15</v>
      </c>
      <c r="P1113" s="40" t="s">
        <v>1122</v>
      </c>
      <c r="Q1113" s="40" t="s">
        <v>1123</v>
      </c>
      <c r="R1113" s="40" t="s">
        <v>494</v>
      </c>
      <c r="S1113" s="40" t="s">
        <v>502</v>
      </c>
      <c r="T1113" s="40" t="s">
        <v>330</v>
      </c>
      <c r="U1113" s="40" t="s">
        <v>642</v>
      </c>
      <c r="V1113" s="40" t="s">
        <v>6396</v>
      </c>
      <c r="W1113" s="40" t="s">
        <v>1124</v>
      </c>
    </row>
    <row r="1114" spans="1:23" ht="12" x14ac:dyDescent="0.2">
      <c r="A1114" s="39" t="s">
        <v>67</v>
      </c>
      <c r="B1114" s="40" t="s">
        <v>372</v>
      </c>
      <c r="C1114" s="40" t="s">
        <v>6397</v>
      </c>
      <c r="D1114" s="41">
        <v>46055</v>
      </c>
      <c r="E1114" s="41">
        <v>46085</v>
      </c>
      <c r="F1114" s="41">
        <v>46091</v>
      </c>
      <c r="G1114" s="42">
        <v>6</v>
      </c>
      <c r="H1114" s="40" t="s">
        <v>549</v>
      </c>
      <c r="I1114" s="39" t="s">
        <v>320</v>
      </c>
      <c r="J1114" s="43">
        <v>44239.66</v>
      </c>
      <c r="K1114" s="43">
        <v>0</v>
      </c>
      <c r="L1114" s="43">
        <v>44239.66</v>
      </c>
      <c r="M1114" s="44">
        <v>0</v>
      </c>
      <c r="N1114" s="44">
        <f t="shared" si="17"/>
        <v>44239.66</v>
      </c>
      <c r="O1114" s="44">
        <v>44239.66</v>
      </c>
      <c r="P1114" s="40" t="s">
        <v>6398</v>
      </c>
      <c r="Q1114" s="40" t="s">
        <v>6399</v>
      </c>
      <c r="R1114" s="40" t="s">
        <v>494</v>
      </c>
      <c r="S1114" s="40" t="s">
        <v>495</v>
      </c>
      <c r="T1114" s="40" t="s">
        <v>169</v>
      </c>
      <c r="U1114" s="40" t="s">
        <v>6400</v>
      </c>
      <c r="V1114" s="40"/>
      <c r="W1114" s="40" t="s">
        <v>6401</v>
      </c>
    </row>
    <row r="1115" spans="1:23" ht="12" x14ac:dyDescent="0.2">
      <c r="A1115" s="39" t="s">
        <v>1027</v>
      </c>
      <c r="B1115" s="40" t="s">
        <v>6402</v>
      </c>
      <c r="C1115" s="40" t="s">
        <v>6403</v>
      </c>
      <c r="D1115" s="41">
        <v>46055</v>
      </c>
      <c r="E1115" s="41">
        <v>46085</v>
      </c>
      <c r="F1115" s="41">
        <v>46091</v>
      </c>
      <c r="G1115" s="42">
        <v>6</v>
      </c>
      <c r="H1115" s="40" t="s">
        <v>549</v>
      </c>
      <c r="I1115" s="39" t="s">
        <v>320</v>
      </c>
      <c r="J1115" s="43">
        <v>36000</v>
      </c>
      <c r="K1115" s="43">
        <v>6000</v>
      </c>
      <c r="L1115" s="43">
        <v>36000</v>
      </c>
      <c r="M1115" s="44">
        <v>6000</v>
      </c>
      <c r="N1115" s="44">
        <f t="shared" si="17"/>
        <v>30000</v>
      </c>
      <c r="O1115" s="44">
        <v>36000</v>
      </c>
      <c r="P1115" s="40" t="s">
        <v>6404</v>
      </c>
      <c r="Q1115" s="40" t="s">
        <v>6405</v>
      </c>
      <c r="R1115" s="40" t="s">
        <v>494</v>
      </c>
      <c r="S1115" s="40" t="s">
        <v>502</v>
      </c>
      <c r="T1115" s="40" t="s">
        <v>514</v>
      </c>
      <c r="U1115" s="40" t="s">
        <v>3535</v>
      </c>
      <c r="V1115" s="40"/>
      <c r="W1115" s="40" t="s">
        <v>6406</v>
      </c>
    </row>
    <row r="1116" spans="1:23" ht="12" x14ac:dyDescent="0.2">
      <c r="A1116" s="39" t="s">
        <v>2408</v>
      </c>
      <c r="B1116" s="40" t="s">
        <v>2409</v>
      </c>
      <c r="C1116" s="40" t="s">
        <v>6407</v>
      </c>
      <c r="D1116" s="41">
        <v>46056</v>
      </c>
      <c r="E1116" s="41">
        <v>46086</v>
      </c>
      <c r="F1116" s="41">
        <v>46091</v>
      </c>
      <c r="G1116" s="42">
        <v>5</v>
      </c>
      <c r="H1116" s="40" t="s">
        <v>549</v>
      </c>
      <c r="I1116" s="39" t="s">
        <v>320</v>
      </c>
      <c r="J1116" s="43">
        <v>2096851</v>
      </c>
      <c r="K1116" s="43">
        <v>0</v>
      </c>
      <c r="L1116" s="43">
        <v>2096851</v>
      </c>
      <c r="M1116" s="44">
        <v>0</v>
      </c>
      <c r="N1116" s="44">
        <f t="shared" si="17"/>
        <v>2096851</v>
      </c>
      <c r="O1116" s="44">
        <v>2096851</v>
      </c>
      <c r="P1116" s="40" t="s">
        <v>2688</v>
      </c>
      <c r="Q1116" s="40" t="s">
        <v>2689</v>
      </c>
      <c r="R1116" s="40" t="s">
        <v>494</v>
      </c>
      <c r="S1116" s="40" t="s">
        <v>502</v>
      </c>
      <c r="T1116" s="40" t="s">
        <v>273</v>
      </c>
      <c r="U1116" s="40" t="s">
        <v>812</v>
      </c>
      <c r="V1116" s="40" t="s">
        <v>4853</v>
      </c>
      <c r="W1116" s="40" t="s">
        <v>2690</v>
      </c>
    </row>
    <row r="1117" spans="1:23" ht="12" x14ac:dyDescent="0.2">
      <c r="A1117" s="39" t="s">
        <v>1835</v>
      </c>
      <c r="B1117" s="40" t="s">
        <v>1836</v>
      </c>
      <c r="C1117" s="40" t="s">
        <v>6408</v>
      </c>
      <c r="D1117" s="41">
        <v>46056</v>
      </c>
      <c r="E1117" s="41">
        <v>46086</v>
      </c>
      <c r="F1117" s="41">
        <v>46091</v>
      </c>
      <c r="G1117" s="42">
        <v>5</v>
      </c>
      <c r="H1117" s="40" t="s">
        <v>549</v>
      </c>
      <c r="I1117" s="39" t="s">
        <v>320</v>
      </c>
      <c r="J1117" s="43">
        <v>72000</v>
      </c>
      <c r="K1117" s="43">
        <v>0</v>
      </c>
      <c r="L1117" s="43">
        <v>72000</v>
      </c>
      <c r="M1117" s="44">
        <v>0</v>
      </c>
      <c r="N1117" s="44">
        <f t="shared" si="17"/>
        <v>72000</v>
      </c>
      <c r="O1117" s="44">
        <v>72000</v>
      </c>
      <c r="P1117" s="40" t="s">
        <v>1837</v>
      </c>
      <c r="Q1117" s="40" t="s">
        <v>1838</v>
      </c>
      <c r="R1117" s="40" t="s">
        <v>494</v>
      </c>
      <c r="S1117" s="40" t="s">
        <v>495</v>
      </c>
      <c r="T1117" s="40" t="s">
        <v>512</v>
      </c>
      <c r="U1117" s="40" t="s">
        <v>970</v>
      </c>
      <c r="V1117" s="40"/>
      <c r="W1117" s="40" t="s">
        <v>321</v>
      </c>
    </row>
    <row r="1118" spans="1:23" ht="12" x14ac:dyDescent="0.2">
      <c r="A1118" s="39" t="s">
        <v>11</v>
      </c>
      <c r="B1118" s="40" t="s">
        <v>1204</v>
      </c>
      <c r="C1118" s="40" t="s">
        <v>6409</v>
      </c>
      <c r="D1118" s="41">
        <v>46056</v>
      </c>
      <c r="E1118" s="41">
        <v>46086</v>
      </c>
      <c r="F1118" s="41">
        <v>46091</v>
      </c>
      <c r="G1118" s="42">
        <v>5</v>
      </c>
      <c r="H1118" s="40" t="s">
        <v>549</v>
      </c>
      <c r="I1118" s="39" t="s">
        <v>320</v>
      </c>
      <c r="J1118" s="43">
        <v>-74.62</v>
      </c>
      <c r="K1118" s="43">
        <v>0</v>
      </c>
      <c r="L1118" s="43">
        <v>-74.62</v>
      </c>
      <c r="M1118" s="44">
        <v>0</v>
      </c>
      <c r="N1118" s="44">
        <f t="shared" si="17"/>
        <v>-74.62</v>
      </c>
      <c r="O1118" s="44">
        <v>-74.62</v>
      </c>
      <c r="P1118" s="40" t="s">
        <v>6410</v>
      </c>
      <c r="Q1118" s="40" t="s">
        <v>6411</v>
      </c>
      <c r="R1118" s="40" t="s">
        <v>494</v>
      </c>
      <c r="S1118" s="40" t="s">
        <v>495</v>
      </c>
      <c r="T1118" s="40" t="s">
        <v>282</v>
      </c>
      <c r="U1118" s="40" t="s">
        <v>5986</v>
      </c>
      <c r="V1118" s="40"/>
      <c r="W1118" s="40" t="s">
        <v>6412</v>
      </c>
    </row>
    <row r="1119" spans="1:23" ht="12" x14ac:dyDescent="0.2">
      <c r="A1119" s="39" t="s">
        <v>333</v>
      </c>
      <c r="B1119" s="40" t="s">
        <v>332</v>
      </c>
      <c r="C1119" s="40" t="s">
        <v>6413</v>
      </c>
      <c r="D1119" s="41">
        <v>46056</v>
      </c>
      <c r="E1119" s="41">
        <v>46086</v>
      </c>
      <c r="F1119" s="41">
        <v>46091</v>
      </c>
      <c r="G1119" s="42">
        <v>5</v>
      </c>
      <c r="H1119" s="40" t="s">
        <v>549</v>
      </c>
      <c r="I1119" s="39" t="s">
        <v>320</v>
      </c>
      <c r="J1119" s="43">
        <v>1113790.01</v>
      </c>
      <c r="K1119" s="43">
        <v>0</v>
      </c>
      <c r="L1119" s="43">
        <v>1113790.01</v>
      </c>
      <c r="M1119" s="44">
        <v>0</v>
      </c>
      <c r="N1119" s="44">
        <f t="shared" si="17"/>
        <v>1113790.01</v>
      </c>
      <c r="O1119" s="44">
        <v>1113790.01</v>
      </c>
      <c r="P1119" s="40" t="s">
        <v>6414</v>
      </c>
      <c r="Q1119" s="40" t="s">
        <v>6415</v>
      </c>
      <c r="R1119" s="40" t="s">
        <v>494</v>
      </c>
      <c r="S1119" s="40" t="s">
        <v>502</v>
      </c>
      <c r="T1119" s="40" t="s">
        <v>273</v>
      </c>
      <c r="U1119" s="40" t="s">
        <v>3256</v>
      </c>
      <c r="V1119" s="40"/>
      <c r="W1119" s="40" t="s">
        <v>6416</v>
      </c>
    </row>
    <row r="1120" spans="1:23" ht="12" x14ac:dyDescent="0.2">
      <c r="A1120" s="39" t="s">
        <v>333</v>
      </c>
      <c r="B1120" s="40" t="s">
        <v>332</v>
      </c>
      <c r="C1120" s="40" t="s">
        <v>6417</v>
      </c>
      <c r="D1120" s="41">
        <v>46056</v>
      </c>
      <c r="E1120" s="41">
        <v>46086</v>
      </c>
      <c r="F1120" s="41">
        <v>46091</v>
      </c>
      <c r="G1120" s="42">
        <v>5</v>
      </c>
      <c r="H1120" s="40" t="s">
        <v>549</v>
      </c>
      <c r="I1120" s="39" t="s">
        <v>320</v>
      </c>
      <c r="J1120" s="43">
        <v>1732325.46</v>
      </c>
      <c r="K1120" s="43">
        <v>0</v>
      </c>
      <c r="L1120" s="43">
        <v>1732325.46</v>
      </c>
      <c r="M1120" s="44">
        <v>0</v>
      </c>
      <c r="N1120" s="44">
        <f t="shared" si="17"/>
        <v>1732325.46</v>
      </c>
      <c r="O1120" s="44">
        <v>1732325.46</v>
      </c>
      <c r="P1120" s="40" t="s">
        <v>6414</v>
      </c>
      <c r="Q1120" s="40" t="s">
        <v>6415</v>
      </c>
      <c r="R1120" s="40" t="s">
        <v>494</v>
      </c>
      <c r="S1120" s="40" t="s">
        <v>502</v>
      </c>
      <c r="T1120" s="40" t="s">
        <v>273</v>
      </c>
      <c r="U1120" s="40" t="s">
        <v>3256</v>
      </c>
      <c r="V1120" s="40"/>
      <c r="W1120" s="40" t="s">
        <v>6416</v>
      </c>
    </row>
    <row r="1121" spans="1:23" ht="12" x14ac:dyDescent="0.2">
      <c r="A1121" s="39" t="s">
        <v>333</v>
      </c>
      <c r="B1121" s="40" t="s">
        <v>332</v>
      </c>
      <c r="C1121" s="40" t="s">
        <v>6418</v>
      </c>
      <c r="D1121" s="41">
        <v>46056</v>
      </c>
      <c r="E1121" s="41">
        <v>46086</v>
      </c>
      <c r="F1121" s="41">
        <v>46091</v>
      </c>
      <c r="G1121" s="42">
        <v>5</v>
      </c>
      <c r="H1121" s="40" t="s">
        <v>549</v>
      </c>
      <c r="I1121" s="39" t="s">
        <v>320</v>
      </c>
      <c r="J1121" s="43">
        <v>5015831</v>
      </c>
      <c r="K1121" s="43">
        <v>0</v>
      </c>
      <c r="L1121" s="43">
        <v>5015831</v>
      </c>
      <c r="M1121" s="44">
        <v>0</v>
      </c>
      <c r="N1121" s="44">
        <f t="shared" si="17"/>
        <v>5015831</v>
      </c>
      <c r="O1121" s="44">
        <v>5015831</v>
      </c>
      <c r="P1121" s="40" t="s">
        <v>6414</v>
      </c>
      <c r="Q1121" s="40" t="s">
        <v>6415</v>
      </c>
      <c r="R1121" s="40" t="s">
        <v>494</v>
      </c>
      <c r="S1121" s="40" t="s">
        <v>502</v>
      </c>
      <c r="T1121" s="40" t="s">
        <v>273</v>
      </c>
      <c r="U1121" s="40" t="s">
        <v>3256</v>
      </c>
      <c r="V1121" s="40"/>
      <c r="W1121" s="40" t="s">
        <v>6416</v>
      </c>
    </row>
    <row r="1122" spans="1:23" ht="12" x14ac:dyDescent="0.2">
      <c r="A1122" s="39" t="s">
        <v>333</v>
      </c>
      <c r="B1122" s="40" t="s">
        <v>332</v>
      </c>
      <c r="C1122" s="40" t="s">
        <v>6419</v>
      </c>
      <c r="D1122" s="41">
        <v>46056</v>
      </c>
      <c r="E1122" s="41">
        <v>46086</v>
      </c>
      <c r="F1122" s="41">
        <v>46091</v>
      </c>
      <c r="G1122" s="42">
        <v>5</v>
      </c>
      <c r="H1122" s="40" t="s">
        <v>549</v>
      </c>
      <c r="I1122" s="39" t="s">
        <v>320</v>
      </c>
      <c r="J1122" s="43">
        <v>1500000</v>
      </c>
      <c r="K1122" s="43">
        <v>0</v>
      </c>
      <c r="L1122" s="43">
        <v>1500000</v>
      </c>
      <c r="M1122" s="44">
        <v>0</v>
      </c>
      <c r="N1122" s="44">
        <f t="shared" si="17"/>
        <v>1500000</v>
      </c>
      <c r="O1122" s="44">
        <v>1500000</v>
      </c>
      <c r="P1122" s="40" t="s">
        <v>6414</v>
      </c>
      <c r="Q1122" s="40" t="s">
        <v>6415</v>
      </c>
      <c r="R1122" s="40" t="s">
        <v>494</v>
      </c>
      <c r="S1122" s="40" t="s">
        <v>502</v>
      </c>
      <c r="T1122" s="40" t="s">
        <v>273</v>
      </c>
      <c r="U1122" s="40" t="s">
        <v>3256</v>
      </c>
      <c r="V1122" s="40"/>
      <c r="W1122" s="40" t="s">
        <v>6416</v>
      </c>
    </row>
    <row r="1123" spans="1:23" ht="12" x14ac:dyDescent="0.2">
      <c r="A1123" s="39" t="s">
        <v>6420</v>
      </c>
      <c r="B1123" s="40" t="s">
        <v>6421</v>
      </c>
      <c r="C1123" s="40" t="s">
        <v>6422</v>
      </c>
      <c r="D1123" s="41">
        <v>46056</v>
      </c>
      <c r="E1123" s="41">
        <v>46086</v>
      </c>
      <c r="F1123" s="41">
        <v>46091</v>
      </c>
      <c r="G1123" s="42">
        <v>5</v>
      </c>
      <c r="H1123" s="40" t="s">
        <v>549</v>
      </c>
      <c r="I1123" s="39" t="s">
        <v>320</v>
      </c>
      <c r="J1123" s="43">
        <v>97959.34</v>
      </c>
      <c r="K1123" s="43">
        <v>0</v>
      </c>
      <c r="L1123" s="43">
        <v>97959.34</v>
      </c>
      <c r="M1123" s="44">
        <v>0</v>
      </c>
      <c r="N1123" s="44">
        <f t="shared" si="17"/>
        <v>97959.34</v>
      </c>
      <c r="O1123" s="44">
        <v>97959.34</v>
      </c>
      <c r="P1123" s="40" t="s">
        <v>6423</v>
      </c>
      <c r="Q1123" s="40" t="s">
        <v>6424</v>
      </c>
      <c r="R1123" s="40" t="s">
        <v>494</v>
      </c>
      <c r="S1123" s="40" t="s">
        <v>502</v>
      </c>
      <c r="T1123" s="40" t="s">
        <v>327</v>
      </c>
      <c r="U1123" s="40" t="s">
        <v>1762</v>
      </c>
      <c r="V1123" s="40"/>
      <c r="W1123" s="40" t="s">
        <v>6425</v>
      </c>
    </row>
    <row r="1124" spans="1:23" ht="12" x14ac:dyDescent="0.2">
      <c r="A1124" s="39" t="s">
        <v>651</v>
      </c>
      <c r="B1124" s="40" t="s">
        <v>652</v>
      </c>
      <c r="C1124" s="40" t="s">
        <v>6426</v>
      </c>
      <c r="D1124" s="41">
        <v>46056</v>
      </c>
      <c r="E1124" s="41">
        <v>46086</v>
      </c>
      <c r="F1124" s="41">
        <v>46091</v>
      </c>
      <c r="G1124" s="42">
        <v>5</v>
      </c>
      <c r="H1124" s="40" t="s">
        <v>549</v>
      </c>
      <c r="I1124" s="39" t="s">
        <v>320</v>
      </c>
      <c r="J1124" s="43">
        <v>75077.850000000006</v>
      </c>
      <c r="K1124" s="43">
        <v>0</v>
      </c>
      <c r="L1124" s="43">
        <v>75077.850000000006</v>
      </c>
      <c r="M1124" s="44">
        <v>0</v>
      </c>
      <c r="N1124" s="44">
        <f t="shared" si="17"/>
        <v>75077.850000000006</v>
      </c>
      <c r="O1124" s="44">
        <v>75077.850000000006</v>
      </c>
      <c r="P1124" s="40" t="s">
        <v>3431</v>
      </c>
      <c r="Q1124" s="40" t="s">
        <v>3432</v>
      </c>
      <c r="R1124" s="40" t="s">
        <v>494</v>
      </c>
      <c r="S1124" s="40" t="s">
        <v>495</v>
      </c>
      <c r="T1124" s="40" t="s">
        <v>363</v>
      </c>
      <c r="U1124" s="40" t="s">
        <v>3433</v>
      </c>
      <c r="V1124" s="40"/>
      <c r="W1124" s="40" t="s">
        <v>3434</v>
      </c>
    </row>
    <row r="1125" spans="1:23" ht="12" x14ac:dyDescent="0.2">
      <c r="A1125" s="39" t="s">
        <v>1299</v>
      </c>
      <c r="B1125" s="40" t="s">
        <v>1300</v>
      </c>
      <c r="C1125" s="40" t="s">
        <v>6427</v>
      </c>
      <c r="D1125" s="41">
        <v>46056</v>
      </c>
      <c r="E1125" s="41">
        <v>46086</v>
      </c>
      <c r="F1125" s="41">
        <v>46091</v>
      </c>
      <c r="G1125" s="42">
        <v>5</v>
      </c>
      <c r="H1125" s="40" t="s">
        <v>549</v>
      </c>
      <c r="I1125" s="39" t="s">
        <v>323</v>
      </c>
      <c r="J1125" s="43">
        <v>64762.6</v>
      </c>
      <c r="K1125" s="43">
        <v>0</v>
      </c>
      <c r="L1125" s="43">
        <v>64762.6</v>
      </c>
      <c r="M1125" s="44">
        <v>0</v>
      </c>
      <c r="N1125" s="44">
        <f t="shared" si="17"/>
        <v>51810.080000000002</v>
      </c>
      <c r="O1125" s="44">
        <v>51810.080000000002</v>
      </c>
      <c r="P1125" s="40" t="s">
        <v>1301</v>
      </c>
      <c r="Q1125" s="40" t="s">
        <v>1302</v>
      </c>
      <c r="R1125" s="40" t="s">
        <v>494</v>
      </c>
      <c r="S1125" s="40" t="s">
        <v>502</v>
      </c>
      <c r="T1125" s="40" t="s">
        <v>178</v>
      </c>
      <c r="U1125" s="40" t="s">
        <v>1303</v>
      </c>
      <c r="V1125" s="40"/>
      <c r="W1125" s="40" t="s">
        <v>1304</v>
      </c>
    </row>
    <row r="1126" spans="1:23" ht="12" x14ac:dyDescent="0.2">
      <c r="A1126" s="39" t="s">
        <v>1613</v>
      </c>
      <c r="B1126" s="40" t="s">
        <v>6428</v>
      </c>
      <c r="C1126" s="40" t="s">
        <v>6429</v>
      </c>
      <c r="D1126" s="41">
        <v>46056</v>
      </c>
      <c r="E1126" s="41">
        <v>46086</v>
      </c>
      <c r="F1126" s="41">
        <v>46091</v>
      </c>
      <c r="G1126" s="42">
        <v>5</v>
      </c>
      <c r="H1126" s="40" t="s">
        <v>549</v>
      </c>
      <c r="I1126" s="39" t="s">
        <v>320</v>
      </c>
      <c r="J1126" s="43">
        <v>212154.39</v>
      </c>
      <c r="K1126" s="43">
        <v>35359.07</v>
      </c>
      <c r="L1126" s="43">
        <v>212154.39</v>
      </c>
      <c r="M1126" s="44">
        <v>35359.07</v>
      </c>
      <c r="N1126" s="44">
        <f t="shared" si="17"/>
        <v>176795.32</v>
      </c>
      <c r="O1126" s="44">
        <v>212154.39</v>
      </c>
      <c r="P1126" s="40" t="s">
        <v>6430</v>
      </c>
      <c r="Q1126" s="40" t="s">
        <v>6431</v>
      </c>
      <c r="R1126" s="40" t="s">
        <v>494</v>
      </c>
      <c r="S1126" s="40" t="s">
        <v>502</v>
      </c>
      <c r="T1126" s="40" t="s">
        <v>189</v>
      </c>
      <c r="U1126" s="40" t="s">
        <v>6432</v>
      </c>
      <c r="V1126" s="40"/>
      <c r="W1126" s="40" t="s">
        <v>6433</v>
      </c>
    </row>
    <row r="1127" spans="1:23" ht="12" x14ac:dyDescent="0.2">
      <c r="A1127" s="39" t="s">
        <v>48</v>
      </c>
      <c r="B1127" s="40" t="s">
        <v>389</v>
      </c>
      <c r="C1127" s="40" t="s">
        <v>6434</v>
      </c>
      <c r="D1127" s="41">
        <v>46056</v>
      </c>
      <c r="E1127" s="41">
        <v>46086</v>
      </c>
      <c r="F1127" s="41">
        <v>46091</v>
      </c>
      <c r="G1127" s="42">
        <v>5</v>
      </c>
      <c r="H1127" s="40" t="s">
        <v>549</v>
      </c>
      <c r="I1127" s="39" t="s">
        <v>320</v>
      </c>
      <c r="J1127" s="43">
        <v>70000</v>
      </c>
      <c r="K1127" s="43">
        <v>0</v>
      </c>
      <c r="L1127" s="43">
        <v>70000</v>
      </c>
      <c r="M1127" s="44">
        <v>0</v>
      </c>
      <c r="N1127" s="44">
        <f t="shared" si="17"/>
        <v>70000</v>
      </c>
      <c r="O1127" s="44">
        <v>70000</v>
      </c>
      <c r="P1127" s="40" t="s">
        <v>3665</v>
      </c>
      <c r="Q1127" s="40" t="s">
        <v>3666</v>
      </c>
      <c r="R1127" s="40" t="s">
        <v>494</v>
      </c>
      <c r="S1127" s="40" t="s">
        <v>502</v>
      </c>
      <c r="T1127" s="40" t="s">
        <v>178</v>
      </c>
      <c r="U1127" s="40" t="s">
        <v>603</v>
      </c>
      <c r="V1127" s="40"/>
      <c r="W1127" s="40" t="s">
        <v>3667</v>
      </c>
    </row>
    <row r="1128" spans="1:23" ht="12" x14ac:dyDescent="0.2">
      <c r="A1128" s="39" t="s">
        <v>41</v>
      </c>
      <c r="B1128" s="40" t="s">
        <v>459</v>
      </c>
      <c r="C1128" s="40" t="s">
        <v>6435</v>
      </c>
      <c r="D1128" s="41">
        <v>46056</v>
      </c>
      <c r="E1128" s="41">
        <v>46086</v>
      </c>
      <c r="F1128" s="41">
        <v>46091</v>
      </c>
      <c r="G1128" s="42">
        <v>5</v>
      </c>
      <c r="H1128" s="40" t="s">
        <v>549</v>
      </c>
      <c r="I1128" s="39" t="s">
        <v>320</v>
      </c>
      <c r="J1128" s="43">
        <v>154829.87</v>
      </c>
      <c r="K1128" s="43">
        <v>0</v>
      </c>
      <c r="L1128" s="43">
        <v>154829.87</v>
      </c>
      <c r="M1128" s="44">
        <v>0</v>
      </c>
      <c r="N1128" s="44">
        <f t="shared" si="17"/>
        <v>154829.87</v>
      </c>
      <c r="O1128" s="44">
        <v>154829.87</v>
      </c>
      <c r="P1128" s="40" t="s">
        <v>6436</v>
      </c>
      <c r="Q1128" s="40" t="s">
        <v>6437</v>
      </c>
      <c r="R1128" s="40" t="s">
        <v>494</v>
      </c>
      <c r="S1128" s="40" t="s">
        <v>502</v>
      </c>
      <c r="T1128" s="40" t="s">
        <v>538</v>
      </c>
      <c r="U1128" s="40" t="s">
        <v>3566</v>
      </c>
      <c r="V1128" s="40"/>
      <c r="W1128" s="40" t="s">
        <v>6438</v>
      </c>
    </row>
    <row r="1129" spans="1:23" ht="12" x14ac:dyDescent="0.2">
      <c r="A1129" s="39" t="s">
        <v>2079</v>
      </c>
      <c r="B1129" s="40" t="s">
        <v>329</v>
      </c>
      <c r="C1129" s="40" t="s">
        <v>6439</v>
      </c>
      <c r="D1129" s="41">
        <v>46056</v>
      </c>
      <c r="E1129" s="41">
        <v>46086</v>
      </c>
      <c r="F1129" s="41">
        <v>46091</v>
      </c>
      <c r="G1129" s="42">
        <v>5</v>
      </c>
      <c r="H1129" s="40" t="s">
        <v>549</v>
      </c>
      <c r="I1129" s="39" t="s">
        <v>323</v>
      </c>
      <c r="J1129" s="43">
        <v>2500000.0099999998</v>
      </c>
      <c r="K1129" s="43">
        <v>0</v>
      </c>
      <c r="L1129" s="43">
        <v>2500000.0099999998</v>
      </c>
      <c r="M1129" s="44">
        <v>0</v>
      </c>
      <c r="N1129" s="44">
        <f t="shared" si="17"/>
        <v>1785714.29</v>
      </c>
      <c r="O1129" s="44">
        <v>1785714.29</v>
      </c>
      <c r="P1129" s="40" t="s">
        <v>6440</v>
      </c>
      <c r="Q1129" s="40" t="s">
        <v>6441</v>
      </c>
      <c r="R1129" s="40" t="s">
        <v>494</v>
      </c>
      <c r="S1129" s="40" t="s">
        <v>502</v>
      </c>
      <c r="T1129" s="40" t="s">
        <v>198</v>
      </c>
      <c r="U1129" s="40" t="s">
        <v>6442</v>
      </c>
      <c r="V1129" s="40"/>
      <c r="W1129" s="40" t="s">
        <v>6443</v>
      </c>
    </row>
    <row r="1130" spans="1:23" ht="12" x14ac:dyDescent="0.2">
      <c r="A1130" s="39" t="s">
        <v>14</v>
      </c>
      <c r="B1130" s="40" t="s">
        <v>2525</v>
      </c>
      <c r="C1130" s="40" t="s">
        <v>6444</v>
      </c>
      <c r="D1130" s="41">
        <v>46056</v>
      </c>
      <c r="E1130" s="41">
        <v>46086</v>
      </c>
      <c r="F1130" s="41">
        <v>46091</v>
      </c>
      <c r="G1130" s="42">
        <v>5</v>
      </c>
      <c r="H1130" s="40" t="s">
        <v>549</v>
      </c>
      <c r="I1130" s="39" t="s">
        <v>320</v>
      </c>
      <c r="J1130" s="43">
        <v>68431.22</v>
      </c>
      <c r="K1130" s="43">
        <v>0</v>
      </c>
      <c r="L1130" s="43">
        <v>68431.22</v>
      </c>
      <c r="M1130" s="44">
        <v>0</v>
      </c>
      <c r="N1130" s="44">
        <f t="shared" si="17"/>
        <v>68431.22</v>
      </c>
      <c r="O1130" s="44">
        <v>68431.22</v>
      </c>
      <c r="P1130" s="40" t="s">
        <v>6445</v>
      </c>
      <c r="Q1130" s="40" t="s">
        <v>6446</v>
      </c>
      <c r="R1130" s="40" t="s">
        <v>494</v>
      </c>
      <c r="S1130" s="40" t="s">
        <v>502</v>
      </c>
      <c r="T1130" s="40" t="s">
        <v>218</v>
      </c>
      <c r="U1130" s="40" t="s">
        <v>1751</v>
      </c>
      <c r="V1130" s="40"/>
      <c r="W1130" s="40" t="s">
        <v>6447</v>
      </c>
    </row>
    <row r="1131" spans="1:23" ht="12" x14ac:dyDescent="0.2">
      <c r="A1131" s="39" t="s">
        <v>1070</v>
      </c>
      <c r="B1131" s="40" t="s">
        <v>364</v>
      </c>
      <c r="C1131" s="40" t="s">
        <v>6448</v>
      </c>
      <c r="D1131" s="41">
        <v>46056</v>
      </c>
      <c r="E1131" s="41">
        <v>46086</v>
      </c>
      <c r="F1131" s="41">
        <v>46091</v>
      </c>
      <c r="G1131" s="42">
        <v>5</v>
      </c>
      <c r="H1131" s="40" t="s">
        <v>549</v>
      </c>
      <c r="I1131" s="39" t="s">
        <v>320</v>
      </c>
      <c r="J1131" s="43">
        <v>68622.92</v>
      </c>
      <c r="K1131" s="43">
        <v>0</v>
      </c>
      <c r="L1131" s="43">
        <v>7946.15</v>
      </c>
      <c r="M1131" s="44">
        <v>0</v>
      </c>
      <c r="N1131" s="44">
        <f t="shared" si="17"/>
        <v>7946.15</v>
      </c>
      <c r="O1131" s="44">
        <v>7946.15</v>
      </c>
      <c r="P1131" s="40" t="s">
        <v>6449</v>
      </c>
      <c r="Q1131" s="40" t="s">
        <v>6450</v>
      </c>
      <c r="R1131" s="40" t="s">
        <v>494</v>
      </c>
      <c r="S1131" s="40" t="s">
        <v>502</v>
      </c>
      <c r="T1131" s="40" t="s">
        <v>225</v>
      </c>
      <c r="U1131" s="40" t="s">
        <v>6451</v>
      </c>
      <c r="V1131" s="40"/>
      <c r="W1131" s="40" t="s">
        <v>6452</v>
      </c>
    </row>
    <row r="1132" spans="1:23" ht="12" x14ac:dyDescent="0.2">
      <c r="A1132" s="39" t="s">
        <v>2321</v>
      </c>
      <c r="B1132" s="40" t="s">
        <v>2322</v>
      </c>
      <c r="C1132" s="40" t="s">
        <v>6453</v>
      </c>
      <c r="D1132" s="41">
        <v>46057</v>
      </c>
      <c r="E1132" s="41">
        <v>46087</v>
      </c>
      <c r="F1132" s="41">
        <v>46091</v>
      </c>
      <c r="G1132" s="42">
        <v>4</v>
      </c>
      <c r="H1132" s="40" t="s">
        <v>549</v>
      </c>
      <c r="I1132" s="39" t="s">
        <v>320</v>
      </c>
      <c r="J1132" s="43">
        <v>80243.08</v>
      </c>
      <c r="K1132" s="43">
        <v>0</v>
      </c>
      <c r="L1132" s="43">
        <v>80243.08</v>
      </c>
      <c r="M1132" s="44">
        <v>0</v>
      </c>
      <c r="N1132" s="44">
        <f t="shared" si="17"/>
        <v>80243.08</v>
      </c>
      <c r="O1132" s="44">
        <v>80243.08</v>
      </c>
      <c r="P1132" s="40" t="s">
        <v>3468</v>
      </c>
      <c r="Q1132" s="40" t="s">
        <v>3469</v>
      </c>
      <c r="R1132" s="40" t="s">
        <v>494</v>
      </c>
      <c r="S1132" s="40" t="s">
        <v>502</v>
      </c>
      <c r="T1132" s="40" t="s">
        <v>218</v>
      </c>
      <c r="U1132" s="40" t="s">
        <v>1722</v>
      </c>
      <c r="V1132" s="40"/>
      <c r="W1132" s="40" t="s">
        <v>3470</v>
      </c>
    </row>
    <row r="1133" spans="1:23" ht="12" x14ac:dyDescent="0.2">
      <c r="A1133" s="39" t="s">
        <v>40</v>
      </c>
      <c r="B1133" s="40" t="s">
        <v>456</v>
      </c>
      <c r="C1133" s="40" t="s">
        <v>6454</v>
      </c>
      <c r="D1133" s="41">
        <v>46057</v>
      </c>
      <c r="E1133" s="41">
        <v>46087</v>
      </c>
      <c r="F1133" s="41">
        <v>46091</v>
      </c>
      <c r="G1133" s="42">
        <v>4</v>
      </c>
      <c r="H1133" s="40" t="s">
        <v>549</v>
      </c>
      <c r="I1133" s="39" t="s">
        <v>320</v>
      </c>
      <c r="J1133" s="43">
        <v>43115.69</v>
      </c>
      <c r="K1133" s="43">
        <v>0</v>
      </c>
      <c r="L1133" s="43">
        <v>43115.69</v>
      </c>
      <c r="M1133" s="44">
        <v>0</v>
      </c>
      <c r="N1133" s="44">
        <f t="shared" si="17"/>
        <v>43115.69</v>
      </c>
      <c r="O1133" s="44">
        <v>43115.69</v>
      </c>
      <c r="P1133" s="40" t="s">
        <v>655</v>
      </c>
      <c r="Q1133" s="40" t="s">
        <v>3637</v>
      </c>
      <c r="R1133" s="40" t="s">
        <v>494</v>
      </c>
      <c r="S1133" s="40" t="s">
        <v>502</v>
      </c>
      <c r="T1133" s="40" t="s">
        <v>501</v>
      </c>
      <c r="U1133" s="40" t="s">
        <v>640</v>
      </c>
      <c r="V1133" s="40"/>
      <c r="W1133" s="40" t="s">
        <v>3638</v>
      </c>
    </row>
    <row r="1134" spans="1:23" ht="12" x14ac:dyDescent="0.2">
      <c r="A1134" s="39" t="s">
        <v>57</v>
      </c>
      <c r="B1134" s="40" t="s">
        <v>397</v>
      </c>
      <c r="C1134" s="40" t="s">
        <v>6455</v>
      </c>
      <c r="D1134" s="41">
        <v>46057</v>
      </c>
      <c r="E1134" s="41">
        <v>46087</v>
      </c>
      <c r="F1134" s="41">
        <v>46091</v>
      </c>
      <c r="G1134" s="42">
        <v>4</v>
      </c>
      <c r="H1134" s="40" t="s">
        <v>549</v>
      </c>
      <c r="I1134" s="39" t="s">
        <v>320</v>
      </c>
      <c r="J1134" s="43">
        <v>24195.56</v>
      </c>
      <c r="K1134" s="43">
        <v>0</v>
      </c>
      <c r="L1134" s="43">
        <v>24195.56</v>
      </c>
      <c r="M1134" s="44">
        <v>0</v>
      </c>
      <c r="N1134" s="44">
        <f t="shared" si="17"/>
        <v>24195.56</v>
      </c>
      <c r="O1134" s="44">
        <v>24195.56</v>
      </c>
      <c r="P1134" s="40" t="s">
        <v>6456</v>
      </c>
      <c r="Q1134" s="40" t="s">
        <v>6457</v>
      </c>
      <c r="R1134" s="40" t="s">
        <v>494</v>
      </c>
      <c r="S1134" s="40" t="s">
        <v>502</v>
      </c>
      <c r="T1134" s="40" t="s">
        <v>496</v>
      </c>
      <c r="U1134" s="40" t="s">
        <v>6458</v>
      </c>
      <c r="V1134" s="40"/>
      <c r="W1134" s="40" t="s">
        <v>6459</v>
      </c>
    </row>
    <row r="1135" spans="1:23" ht="12" x14ac:dyDescent="0.2">
      <c r="A1135" s="39" t="s">
        <v>2402</v>
      </c>
      <c r="B1135" s="40" t="s">
        <v>2403</v>
      </c>
      <c r="C1135" s="40" t="s">
        <v>6460</v>
      </c>
      <c r="D1135" s="41">
        <v>46057</v>
      </c>
      <c r="E1135" s="41">
        <v>46087</v>
      </c>
      <c r="F1135" s="41">
        <v>46091</v>
      </c>
      <c r="G1135" s="42">
        <v>4</v>
      </c>
      <c r="H1135" s="40" t="s">
        <v>549</v>
      </c>
      <c r="I1135" s="39" t="s">
        <v>320</v>
      </c>
      <c r="J1135" s="43">
        <v>8534.48</v>
      </c>
      <c r="K1135" s="43">
        <v>0</v>
      </c>
      <c r="L1135" s="43">
        <v>8534.48</v>
      </c>
      <c r="M1135" s="44">
        <v>0</v>
      </c>
      <c r="N1135" s="44">
        <f t="shared" si="17"/>
        <v>8534.48</v>
      </c>
      <c r="O1135" s="44">
        <v>8534.48</v>
      </c>
      <c r="P1135" s="40" t="s">
        <v>6461</v>
      </c>
      <c r="Q1135" s="40" t="s">
        <v>6462</v>
      </c>
      <c r="R1135" s="40" t="s">
        <v>494</v>
      </c>
      <c r="S1135" s="40" t="s">
        <v>502</v>
      </c>
      <c r="T1135" s="40" t="s">
        <v>512</v>
      </c>
      <c r="U1135" s="40" t="s">
        <v>6463</v>
      </c>
      <c r="V1135" s="40"/>
      <c r="W1135" s="40" t="s">
        <v>321</v>
      </c>
    </row>
    <row r="1136" spans="1:23" ht="12" x14ac:dyDescent="0.2">
      <c r="A1136" s="39" t="s">
        <v>1593</v>
      </c>
      <c r="B1136" s="40" t="s">
        <v>3400</v>
      </c>
      <c r="C1136" s="40" t="s">
        <v>6464</v>
      </c>
      <c r="D1136" s="41">
        <v>46057</v>
      </c>
      <c r="E1136" s="41">
        <v>46087</v>
      </c>
      <c r="F1136" s="41">
        <v>46091</v>
      </c>
      <c r="G1136" s="42">
        <v>4</v>
      </c>
      <c r="H1136" s="40" t="s">
        <v>549</v>
      </c>
      <c r="I1136" s="39" t="s">
        <v>320</v>
      </c>
      <c r="J1136" s="43">
        <v>20378.75</v>
      </c>
      <c r="K1136" s="43">
        <v>0</v>
      </c>
      <c r="L1136" s="43">
        <v>20378.75</v>
      </c>
      <c r="M1136" s="44">
        <v>0</v>
      </c>
      <c r="N1136" s="44">
        <f t="shared" si="17"/>
        <v>20378.75</v>
      </c>
      <c r="O1136" s="44">
        <v>20378.75</v>
      </c>
      <c r="P1136" s="40" t="s">
        <v>6465</v>
      </c>
      <c r="Q1136" s="40" t="s">
        <v>6466</v>
      </c>
      <c r="R1136" s="40" t="s">
        <v>494</v>
      </c>
      <c r="S1136" s="40" t="s">
        <v>502</v>
      </c>
      <c r="T1136" s="40" t="s">
        <v>218</v>
      </c>
      <c r="U1136" s="40" t="s">
        <v>6467</v>
      </c>
      <c r="V1136" s="40" t="s">
        <v>6468</v>
      </c>
      <c r="W1136" s="40" t="s">
        <v>6469</v>
      </c>
    </row>
    <row r="1137" spans="1:23" ht="12" x14ac:dyDescent="0.2">
      <c r="A1137" s="39" t="s">
        <v>16</v>
      </c>
      <c r="B1137" s="40" t="s">
        <v>414</v>
      </c>
      <c r="C1137" s="40" t="s">
        <v>6470</v>
      </c>
      <c r="D1137" s="41">
        <v>46057</v>
      </c>
      <c r="E1137" s="41">
        <v>46087</v>
      </c>
      <c r="F1137" s="41">
        <v>46091</v>
      </c>
      <c r="G1137" s="42">
        <v>4</v>
      </c>
      <c r="H1137" s="40" t="s">
        <v>549</v>
      </c>
      <c r="I1137" s="39" t="s">
        <v>320</v>
      </c>
      <c r="J1137" s="43">
        <v>19320</v>
      </c>
      <c r="K1137" s="43">
        <v>0</v>
      </c>
      <c r="L1137" s="43">
        <v>19320</v>
      </c>
      <c r="M1137" s="44">
        <v>0</v>
      </c>
      <c r="N1137" s="44">
        <f t="shared" si="17"/>
        <v>19320</v>
      </c>
      <c r="O1137" s="44">
        <v>19320</v>
      </c>
      <c r="P1137" s="40" t="s">
        <v>6471</v>
      </c>
      <c r="Q1137" s="40" t="s">
        <v>6472</v>
      </c>
      <c r="R1137" s="40" t="s">
        <v>494</v>
      </c>
      <c r="S1137" s="40" t="s">
        <v>502</v>
      </c>
      <c r="T1137" s="40" t="s">
        <v>508</v>
      </c>
      <c r="U1137" s="40" t="s">
        <v>2587</v>
      </c>
      <c r="V1137" s="40"/>
      <c r="W1137" s="40" t="s">
        <v>6473</v>
      </c>
    </row>
    <row r="1138" spans="1:23" ht="12" x14ac:dyDescent="0.2">
      <c r="A1138" s="39" t="s">
        <v>54</v>
      </c>
      <c r="B1138" s="40" t="s">
        <v>455</v>
      </c>
      <c r="C1138" s="40" t="s">
        <v>6474</v>
      </c>
      <c r="D1138" s="41">
        <v>46057</v>
      </c>
      <c r="E1138" s="41">
        <v>46087</v>
      </c>
      <c r="F1138" s="41">
        <v>46091</v>
      </c>
      <c r="G1138" s="42">
        <v>4</v>
      </c>
      <c r="H1138" s="40" t="s">
        <v>549</v>
      </c>
      <c r="I1138" s="39" t="s">
        <v>320</v>
      </c>
      <c r="J1138" s="43">
        <v>10820.77</v>
      </c>
      <c r="K1138" s="43">
        <v>0</v>
      </c>
      <c r="L1138" s="43">
        <v>10820.77</v>
      </c>
      <c r="M1138" s="44">
        <v>0</v>
      </c>
      <c r="N1138" s="44">
        <f t="shared" si="17"/>
        <v>10820.77</v>
      </c>
      <c r="O1138" s="44">
        <v>10820.77</v>
      </c>
      <c r="P1138" s="40" t="s">
        <v>6475</v>
      </c>
      <c r="Q1138" s="40" t="s">
        <v>6476</v>
      </c>
      <c r="R1138" s="40" t="s">
        <v>494</v>
      </c>
      <c r="S1138" s="40" t="s">
        <v>502</v>
      </c>
      <c r="T1138" s="40" t="s">
        <v>514</v>
      </c>
      <c r="U1138" s="40" t="s">
        <v>602</v>
      </c>
      <c r="V1138" s="40"/>
      <c r="W1138" s="40" t="s">
        <v>6477</v>
      </c>
    </row>
    <row r="1139" spans="1:23" ht="12" x14ac:dyDescent="0.2">
      <c r="A1139" s="39" t="s">
        <v>37</v>
      </c>
      <c r="B1139" s="40" t="s">
        <v>452</v>
      </c>
      <c r="C1139" s="40" t="s">
        <v>6478</v>
      </c>
      <c r="D1139" s="41">
        <v>46057</v>
      </c>
      <c r="E1139" s="41">
        <v>46087</v>
      </c>
      <c r="F1139" s="41">
        <v>46091</v>
      </c>
      <c r="G1139" s="42">
        <v>4</v>
      </c>
      <c r="H1139" s="40" t="s">
        <v>549</v>
      </c>
      <c r="I1139" s="39" t="s">
        <v>320</v>
      </c>
      <c r="J1139" s="43">
        <v>40081.85</v>
      </c>
      <c r="K1139" s="43">
        <v>0</v>
      </c>
      <c r="L1139" s="43">
        <v>40081.85</v>
      </c>
      <c r="M1139" s="44">
        <v>0</v>
      </c>
      <c r="N1139" s="44">
        <f t="shared" si="17"/>
        <v>40081.85</v>
      </c>
      <c r="O1139" s="44">
        <v>40081.85</v>
      </c>
      <c r="P1139" s="40" t="s">
        <v>2090</v>
      </c>
      <c r="Q1139" s="40" t="s">
        <v>3616</v>
      </c>
      <c r="R1139" s="40" t="s">
        <v>494</v>
      </c>
      <c r="S1139" s="40" t="s">
        <v>502</v>
      </c>
      <c r="T1139" s="40" t="s">
        <v>218</v>
      </c>
      <c r="U1139" s="40" t="s">
        <v>2631</v>
      </c>
      <c r="V1139" s="40"/>
      <c r="W1139" s="40" t="s">
        <v>3617</v>
      </c>
    </row>
    <row r="1140" spans="1:23" ht="12" x14ac:dyDescent="0.2">
      <c r="A1140" s="39" t="s">
        <v>54</v>
      </c>
      <c r="B1140" s="40" t="s">
        <v>455</v>
      </c>
      <c r="C1140" s="40" t="s">
        <v>6479</v>
      </c>
      <c r="D1140" s="41">
        <v>46057</v>
      </c>
      <c r="E1140" s="41">
        <v>46087</v>
      </c>
      <c r="F1140" s="41">
        <v>46091</v>
      </c>
      <c r="G1140" s="42">
        <v>4</v>
      </c>
      <c r="H1140" s="40" t="s">
        <v>549</v>
      </c>
      <c r="I1140" s="39" t="s">
        <v>320</v>
      </c>
      <c r="J1140" s="43">
        <v>52716.31</v>
      </c>
      <c r="K1140" s="43">
        <v>0</v>
      </c>
      <c r="L1140" s="43">
        <v>52716.31</v>
      </c>
      <c r="M1140" s="44">
        <v>0</v>
      </c>
      <c r="N1140" s="44">
        <f t="shared" si="17"/>
        <v>52716.31</v>
      </c>
      <c r="O1140" s="44">
        <v>52716.31</v>
      </c>
      <c r="P1140" s="40" t="s">
        <v>2243</v>
      </c>
      <c r="Q1140" s="40" t="s">
        <v>2244</v>
      </c>
      <c r="R1140" s="40" t="s">
        <v>494</v>
      </c>
      <c r="S1140" s="40" t="s">
        <v>502</v>
      </c>
      <c r="T1140" s="40" t="s">
        <v>221</v>
      </c>
      <c r="U1140" s="40" t="s">
        <v>1026</v>
      </c>
      <c r="V1140" s="40"/>
      <c r="W1140" s="40" t="s">
        <v>2973</v>
      </c>
    </row>
    <row r="1141" spans="1:23" ht="12" x14ac:dyDescent="0.2">
      <c r="A1141" s="39" t="s">
        <v>48</v>
      </c>
      <c r="B1141" s="40" t="s">
        <v>389</v>
      </c>
      <c r="C1141" s="40" t="s">
        <v>6480</v>
      </c>
      <c r="D1141" s="41">
        <v>46057</v>
      </c>
      <c r="E1141" s="41">
        <v>46087</v>
      </c>
      <c r="F1141" s="41">
        <v>46091</v>
      </c>
      <c r="G1141" s="42">
        <v>4</v>
      </c>
      <c r="H1141" s="40" t="s">
        <v>549</v>
      </c>
      <c r="I1141" s="39" t="s">
        <v>320</v>
      </c>
      <c r="J1141" s="43">
        <v>36665.910000000003</v>
      </c>
      <c r="K1141" s="43">
        <v>0</v>
      </c>
      <c r="L1141" s="43">
        <v>36665.910000000003</v>
      </c>
      <c r="M1141" s="44">
        <v>0</v>
      </c>
      <c r="N1141" s="44">
        <f t="shared" si="17"/>
        <v>36665.910000000003</v>
      </c>
      <c r="O1141" s="44">
        <v>36665.910000000003</v>
      </c>
      <c r="P1141" s="40" t="s">
        <v>6481</v>
      </c>
      <c r="Q1141" s="40" t="s">
        <v>6482</v>
      </c>
      <c r="R1141" s="40" t="s">
        <v>494</v>
      </c>
      <c r="S1141" s="40" t="s">
        <v>495</v>
      </c>
      <c r="T1141" s="40" t="s">
        <v>330</v>
      </c>
      <c r="U1141" s="40" t="s">
        <v>6483</v>
      </c>
      <c r="V1141" s="40"/>
      <c r="W1141" s="40" t="s">
        <v>6484</v>
      </c>
    </row>
    <row r="1142" spans="1:23" ht="12" x14ac:dyDescent="0.2">
      <c r="A1142" s="39" t="s">
        <v>54</v>
      </c>
      <c r="B1142" s="40" t="s">
        <v>455</v>
      </c>
      <c r="C1142" s="40" t="s">
        <v>6485</v>
      </c>
      <c r="D1142" s="41">
        <v>46057</v>
      </c>
      <c r="E1142" s="41">
        <v>46087</v>
      </c>
      <c r="F1142" s="41">
        <v>46091</v>
      </c>
      <c r="G1142" s="42">
        <v>4</v>
      </c>
      <c r="H1142" s="40" t="s">
        <v>549</v>
      </c>
      <c r="I1142" s="39" t="s">
        <v>320</v>
      </c>
      <c r="J1142" s="43">
        <v>29491.52</v>
      </c>
      <c r="K1142" s="43">
        <v>0</v>
      </c>
      <c r="L1142" s="43">
        <v>29491.52</v>
      </c>
      <c r="M1142" s="44">
        <v>0</v>
      </c>
      <c r="N1142" s="44">
        <f t="shared" si="17"/>
        <v>29491.52</v>
      </c>
      <c r="O1142" s="44">
        <v>29491.52</v>
      </c>
      <c r="P1142" s="40" t="s">
        <v>1603</v>
      </c>
      <c r="Q1142" s="40" t="s">
        <v>3613</v>
      </c>
      <c r="R1142" s="40" t="s">
        <v>494</v>
      </c>
      <c r="S1142" s="40" t="s">
        <v>502</v>
      </c>
      <c r="T1142" s="40" t="s">
        <v>303</v>
      </c>
      <c r="U1142" s="40" t="s">
        <v>3614</v>
      </c>
      <c r="V1142" s="40"/>
      <c r="W1142" s="40" t="s">
        <v>3615</v>
      </c>
    </row>
    <row r="1143" spans="1:23" ht="12" x14ac:dyDescent="0.2">
      <c r="A1143" s="39" t="s">
        <v>337</v>
      </c>
      <c r="B1143" s="40" t="s">
        <v>336</v>
      </c>
      <c r="C1143" s="40" t="s">
        <v>6486</v>
      </c>
      <c r="D1143" s="41">
        <v>46057</v>
      </c>
      <c r="E1143" s="41">
        <v>46087</v>
      </c>
      <c r="F1143" s="41">
        <v>46091</v>
      </c>
      <c r="G1143" s="42">
        <v>4</v>
      </c>
      <c r="H1143" s="40" t="s">
        <v>549</v>
      </c>
      <c r="I1143" s="39" t="s">
        <v>320</v>
      </c>
      <c r="J1143" s="43">
        <v>37786.81</v>
      </c>
      <c r="K1143" s="43">
        <v>0</v>
      </c>
      <c r="L1143" s="43">
        <v>37786.81</v>
      </c>
      <c r="M1143" s="44">
        <v>0</v>
      </c>
      <c r="N1143" s="44">
        <f t="shared" si="17"/>
        <v>37786.81</v>
      </c>
      <c r="O1143" s="44">
        <v>37786.81</v>
      </c>
      <c r="P1143" s="40" t="s">
        <v>1307</v>
      </c>
      <c r="Q1143" s="40" t="s">
        <v>1308</v>
      </c>
      <c r="R1143" s="40" t="s">
        <v>494</v>
      </c>
      <c r="S1143" s="40" t="s">
        <v>502</v>
      </c>
      <c r="T1143" s="40" t="s">
        <v>289</v>
      </c>
      <c r="U1143" s="40" t="s">
        <v>569</v>
      </c>
      <c r="V1143" s="40"/>
      <c r="W1143" s="40" t="s">
        <v>1309</v>
      </c>
    </row>
    <row r="1144" spans="1:23" ht="12" x14ac:dyDescent="0.2">
      <c r="A1144" s="39" t="s">
        <v>2580</v>
      </c>
      <c r="B1144" s="40" t="s">
        <v>2581</v>
      </c>
      <c r="C1144" s="40" t="s">
        <v>6487</v>
      </c>
      <c r="D1144" s="41">
        <v>46057</v>
      </c>
      <c r="E1144" s="41">
        <v>46087</v>
      </c>
      <c r="F1144" s="41">
        <v>46091</v>
      </c>
      <c r="G1144" s="42">
        <v>4</v>
      </c>
      <c r="H1144" s="40" t="s">
        <v>549</v>
      </c>
      <c r="I1144" s="39" t="s">
        <v>323</v>
      </c>
      <c r="J1144" s="43">
        <v>82189.759999999995</v>
      </c>
      <c r="K1144" s="43">
        <v>0</v>
      </c>
      <c r="L1144" s="43">
        <v>82189.759999999995</v>
      </c>
      <c r="M1144" s="44">
        <v>0</v>
      </c>
      <c r="N1144" s="44">
        <f t="shared" si="17"/>
        <v>54793.17</v>
      </c>
      <c r="O1144" s="44">
        <v>54793.17</v>
      </c>
      <c r="P1144" s="40" t="s">
        <v>6488</v>
      </c>
      <c r="Q1144" s="40" t="s">
        <v>6489</v>
      </c>
      <c r="R1144" s="40" t="s">
        <v>494</v>
      </c>
      <c r="S1144" s="40" t="s">
        <v>502</v>
      </c>
      <c r="T1144" s="40" t="s">
        <v>190</v>
      </c>
      <c r="U1144" s="40" t="s">
        <v>882</v>
      </c>
      <c r="V1144" s="40"/>
      <c r="W1144" s="40" t="s">
        <v>6490</v>
      </c>
    </row>
    <row r="1145" spans="1:23" ht="12" x14ac:dyDescent="0.2">
      <c r="A1145" s="39" t="s">
        <v>47</v>
      </c>
      <c r="B1145" s="40" t="s">
        <v>1222</v>
      </c>
      <c r="C1145" s="40" t="s">
        <v>6491</v>
      </c>
      <c r="D1145" s="41">
        <v>46057</v>
      </c>
      <c r="E1145" s="41">
        <v>46087</v>
      </c>
      <c r="F1145" s="41">
        <v>46091</v>
      </c>
      <c r="G1145" s="42">
        <v>4</v>
      </c>
      <c r="H1145" s="40" t="s">
        <v>549</v>
      </c>
      <c r="I1145" s="39" t="s">
        <v>320</v>
      </c>
      <c r="J1145" s="43">
        <v>18172.93</v>
      </c>
      <c r="K1145" s="43">
        <v>0</v>
      </c>
      <c r="L1145" s="43">
        <v>18172.93</v>
      </c>
      <c r="M1145" s="44">
        <v>0</v>
      </c>
      <c r="N1145" s="44">
        <f t="shared" si="17"/>
        <v>18172.93</v>
      </c>
      <c r="O1145" s="44">
        <v>18172.93</v>
      </c>
      <c r="P1145" s="40" t="s">
        <v>2051</v>
      </c>
      <c r="Q1145" s="40" t="s">
        <v>3639</v>
      </c>
      <c r="R1145" s="40" t="s">
        <v>494</v>
      </c>
      <c r="S1145" s="40" t="s">
        <v>502</v>
      </c>
      <c r="T1145" s="40" t="s">
        <v>215</v>
      </c>
      <c r="U1145" s="40" t="s">
        <v>2735</v>
      </c>
      <c r="V1145" s="40" t="s">
        <v>6492</v>
      </c>
      <c r="W1145" s="40" t="s">
        <v>3640</v>
      </c>
    </row>
    <row r="1146" spans="1:23" ht="12" x14ac:dyDescent="0.2">
      <c r="A1146" s="39" t="s">
        <v>54</v>
      </c>
      <c r="B1146" s="40" t="s">
        <v>455</v>
      </c>
      <c r="C1146" s="40" t="s">
        <v>6493</v>
      </c>
      <c r="D1146" s="41">
        <v>46057</v>
      </c>
      <c r="E1146" s="41">
        <v>46087</v>
      </c>
      <c r="F1146" s="41">
        <v>46091</v>
      </c>
      <c r="G1146" s="42">
        <v>4</v>
      </c>
      <c r="H1146" s="40" t="s">
        <v>549</v>
      </c>
      <c r="I1146" s="39" t="s">
        <v>320</v>
      </c>
      <c r="J1146" s="43">
        <v>25817.759999999998</v>
      </c>
      <c r="K1146" s="43">
        <v>0</v>
      </c>
      <c r="L1146" s="43">
        <v>25817.759999999998</v>
      </c>
      <c r="M1146" s="44">
        <v>0</v>
      </c>
      <c r="N1146" s="44">
        <f t="shared" si="17"/>
        <v>25817.759999999998</v>
      </c>
      <c r="O1146" s="44">
        <v>25817.759999999998</v>
      </c>
      <c r="P1146" s="40" t="s">
        <v>961</v>
      </c>
      <c r="Q1146" s="40" t="s">
        <v>3568</v>
      </c>
      <c r="R1146" s="40" t="s">
        <v>494</v>
      </c>
      <c r="S1146" s="40" t="s">
        <v>502</v>
      </c>
      <c r="T1146" s="40" t="s">
        <v>733</v>
      </c>
      <c r="U1146" s="40" t="s">
        <v>2155</v>
      </c>
      <c r="V1146" s="40"/>
      <c r="W1146" s="40" t="s">
        <v>3569</v>
      </c>
    </row>
    <row r="1147" spans="1:23" ht="12" x14ac:dyDescent="0.2">
      <c r="A1147" s="39" t="s">
        <v>719</v>
      </c>
      <c r="B1147" s="40" t="s">
        <v>782</v>
      </c>
      <c r="C1147" s="40" t="s">
        <v>6494</v>
      </c>
      <c r="D1147" s="41">
        <v>46057</v>
      </c>
      <c r="E1147" s="41">
        <v>46087</v>
      </c>
      <c r="F1147" s="41">
        <v>46091</v>
      </c>
      <c r="G1147" s="42">
        <v>4</v>
      </c>
      <c r="H1147" s="40" t="s">
        <v>549</v>
      </c>
      <c r="I1147" s="39" t="s">
        <v>320</v>
      </c>
      <c r="J1147" s="43">
        <v>114.14</v>
      </c>
      <c r="K1147" s="43">
        <v>0</v>
      </c>
      <c r="L1147" s="43">
        <v>114.14</v>
      </c>
      <c r="M1147" s="44">
        <v>0</v>
      </c>
      <c r="N1147" s="44">
        <f t="shared" si="17"/>
        <v>114.14</v>
      </c>
      <c r="O1147" s="44">
        <v>114.14</v>
      </c>
      <c r="P1147" s="40" t="s">
        <v>3685</v>
      </c>
      <c r="Q1147" s="40" t="s">
        <v>3686</v>
      </c>
      <c r="R1147" s="40" t="s">
        <v>494</v>
      </c>
      <c r="S1147" s="40" t="s">
        <v>502</v>
      </c>
      <c r="T1147" s="40" t="s">
        <v>330</v>
      </c>
      <c r="U1147" s="40" t="s">
        <v>3687</v>
      </c>
      <c r="V1147" s="40"/>
      <c r="W1147" s="40" t="s">
        <v>3221</v>
      </c>
    </row>
    <row r="1148" spans="1:23" ht="12" x14ac:dyDescent="0.2">
      <c r="A1148" s="39" t="s">
        <v>318</v>
      </c>
      <c r="B1148" s="40" t="s">
        <v>317</v>
      </c>
      <c r="C1148" s="40" t="s">
        <v>6495</v>
      </c>
      <c r="D1148" s="41">
        <v>46057</v>
      </c>
      <c r="E1148" s="41">
        <v>46087</v>
      </c>
      <c r="F1148" s="41">
        <v>46091</v>
      </c>
      <c r="G1148" s="42">
        <v>4</v>
      </c>
      <c r="H1148" s="40" t="s">
        <v>549</v>
      </c>
      <c r="I1148" s="39" t="s">
        <v>320</v>
      </c>
      <c r="J1148" s="43">
        <v>30000</v>
      </c>
      <c r="K1148" s="43">
        <v>0</v>
      </c>
      <c r="L1148" s="43">
        <v>30000</v>
      </c>
      <c r="M1148" s="44">
        <v>0</v>
      </c>
      <c r="N1148" s="44">
        <f t="shared" si="17"/>
        <v>30000</v>
      </c>
      <c r="O1148" s="44">
        <v>30000</v>
      </c>
      <c r="P1148" s="40" t="s">
        <v>319</v>
      </c>
      <c r="Q1148" s="40" t="s">
        <v>546</v>
      </c>
      <c r="R1148" s="40" t="s">
        <v>494</v>
      </c>
      <c r="S1148" s="40" t="s">
        <v>502</v>
      </c>
      <c r="T1148" s="40" t="s">
        <v>547</v>
      </c>
      <c r="U1148" s="40" t="s">
        <v>5927</v>
      </c>
      <c r="V1148" s="40"/>
      <c r="W1148" s="40"/>
    </row>
    <row r="1149" spans="1:23" ht="12" x14ac:dyDescent="0.2">
      <c r="A1149" s="39" t="s">
        <v>318</v>
      </c>
      <c r="B1149" s="40" t="s">
        <v>317</v>
      </c>
      <c r="C1149" s="40" t="s">
        <v>6496</v>
      </c>
      <c r="D1149" s="41">
        <v>46057</v>
      </c>
      <c r="E1149" s="41">
        <v>46087</v>
      </c>
      <c r="F1149" s="41">
        <v>46091</v>
      </c>
      <c r="G1149" s="42">
        <v>4</v>
      </c>
      <c r="H1149" s="40" t="s">
        <v>549</v>
      </c>
      <c r="I1149" s="39" t="s">
        <v>323</v>
      </c>
      <c r="J1149" s="43">
        <v>45000</v>
      </c>
      <c r="K1149" s="43">
        <v>0</v>
      </c>
      <c r="L1149" s="43">
        <v>45000</v>
      </c>
      <c r="M1149" s="44">
        <v>0</v>
      </c>
      <c r="N1149" s="44">
        <f t="shared" si="17"/>
        <v>32142.86</v>
      </c>
      <c r="O1149" s="44">
        <v>32142.86</v>
      </c>
      <c r="P1149" s="40" t="s">
        <v>319</v>
      </c>
      <c r="Q1149" s="40" t="s">
        <v>546</v>
      </c>
      <c r="R1149" s="40" t="s">
        <v>494</v>
      </c>
      <c r="S1149" s="40" t="s">
        <v>502</v>
      </c>
      <c r="T1149" s="40" t="s">
        <v>547</v>
      </c>
      <c r="U1149" s="40" t="s">
        <v>5927</v>
      </c>
      <c r="V1149" s="40"/>
      <c r="W1149" s="40"/>
    </row>
    <row r="1150" spans="1:23" ht="12" x14ac:dyDescent="0.2">
      <c r="A1150" s="39" t="s">
        <v>27</v>
      </c>
      <c r="B1150" s="40" t="s">
        <v>476</v>
      </c>
      <c r="C1150" s="40" t="s">
        <v>6497</v>
      </c>
      <c r="D1150" s="41">
        <v>46057</v>
      </c>
      <c r="E1150" s="41">
        <v>46087</v>
      </c>
      <c r="F1150" s="41">
        <v>46091</v>
      </c>
      <c r="G1150" s="42">
        <v>4</v>
      </c>
      <c r="H1150" s="40" t="s">
        <v>549</v>
      </c>
      <c r="I1150" s="39" t="s">
        <v>320</v>
      </c>
      <c r="J1150" s="43">
        <v>206039.16</v>
      </c>
      <c r="K1150" s="43">
        <v>0</v>
      </c>
      <c r="L1150" s="43">
        <v>206039.16</v>
      </c>
      <c r="M1150" s="44">
        <v>0</v>
      </c>
      <c r="N1150" s="44">
        <f t="shared" si="17"/>
        <v>206039.16</v>
      </c>
      <c r="O1150" s="44">
        <v>206039.16</v>
      </c>
      <c r="P1150" s="40" t="s">
        <v>1388</v>
      </c>
      <c r="Q1150" s="40" t="s">
        <v>1389</v>
      </c>
      <c r="R1150" s="40" t="s">
        <v>494</v>
      </c>
      <c r="S1150" s="40" t="s">
        <v>495</v>
      </c>
      <c r="T1150" s="40" t="s">
        <v>327</v>
      </c>
      <c r="U1150" s="40" t="s">
        <v>627</v>
      </c>
      <c r="V1150" s="40"/>
      <c r="W1150" s="40" t="s">
        <v>1390</v>
      </c>
    </row>
    <row r="1151" spans="1:23" ht="12" x14ac:dyDescent="0.2">
      <c r="A1151" s="39" t="s">
        <v>1444</v>
      </c>
      <c r="B1151" s="40" t="s">
        <v>1445</v>
      </c>
      <c r="C1151" s="40" t="s">
        <v>6498</v>
      </c>
      <c r="D1151" s="41">
        <v>46057</v>
      </c>
      <c r="E1151" s="41">
        <v>46087</v>
      </c>
      <c r="F1151" s="41">
        <v>46091</v>
      </c>
      <c r="G1151" s="42">
        <v>4</v>
      </c>
      <c r="H1151" s="40" t="s">
        <v>549</v>
      </c>
      <c r="I1151" s="39" t="s">
        <v>320</v>
      </c>
      <c r="J1151" s="43">
        <v>18915.59</v>
      </c>
      <c r="K1151" s="43">
        <v>0</v>
      </c>
      <c r="L1151" s="43">
        <v>18915.59</v>
      </c>
      <c r="M1151" s="44">
        <v>0</v>
      </c>
      <c r="N1151" s="44">
        <f t="shared" si="17"/>
        <v>18915.59</v>
      </c>
      <c r="O1151" s="44">
        <v>18915.59</v>
      </c>
      <c r="P1151" s="40" t="s">
        <v>6499</v>
      </c>
      <c r="Q1151" s="40" t="s">
        <v>6500</v>
      </c>
      <c r="R1151" s="40" t="s">
        <v>494</v>
      </c>
      <c r="S1151" s="40" t="s">
        <v>502</v>
      </c>
      <c r="T1151" s="40" t="s">
        <v>287</v>
      </c>
      <c r="U1151" s="40" t="s">
        <v>6501</v>
      </c>
      <c r="V1151" s="40"/>
      <c r="W1151" s="40" t="s">
        <v>6502</v>
      </c>
    </row>
    <row r="1152" spans="1:23" ht="12" x14ac:dyDescent="0.2">
      <c r="A1152" s="39" t="s">
        <v>337</v>
      </c>
      <c r="B1152" s="40" t="s">
        <v>336</v>
      </c>
      <c r="C1152" s="40" t="s">
        <v>6503</v>
      </c>
      <c r="D1152" s="41">
        <v>46057</v>
      </c>
      <c r="E1152" s="41">
        <v>46087</v>
      </c>
      <c r="F1152" s="41">
        <v>46091</v>
      </c>
      <c r="G1152" s="42">
        <v>4</v>
      </c>
      <c r="H1152" s="40" t="s">
        <v>549</v>
      </c>
      <c r="I1152" s="39" t="s">
        <v>320</v>
      </c>
      <c r="J1152" s="43">
        <v>33359.599999999999</v>
      </c>
      <c r="K1152" s="43">
        <v>0</v>
      </c>
      <c r="L1152" s="43">
        <v>33359.599999999999</v>
      </c>
      <c r="M1152" s="44">
        <v>0</v>
      </c>
      <c r="N1152" s="44">
        <f t="shared" si="17"/>
        <v>33359.599999999999</v>
      </c>
      <c r="O1152" s="44">
        <v>33359.599999999999</v>
      </c>
      <c r="P1152" s="40" t="s">
        <v>1092</v>
      </c>
      <c r="Q1152" s="40" t="s">
        <v>1093</v>
      </c>
      <c r="R1152" s="40" t="s">
        <v>494</v>
      </c>
      <c r="S1152" s="40" t="s">
        <v>502</v>
      </c>
      <c r="T1152" s="40" t="s">
        <v>289</v>
      </c>
      <c r="U1152" s="40" t="s">
        <v>637</v>
      </c>
      <c r="V1152" s="40"/>
      <c r="W1152" s="40" t="s">
        <v>1094</v>
      </c>
    </row>
    <row r="1153" spans="1:23" ht="12" x14ac:dyDescent="0.2">
      <c r="A1153" s="39" t="s">
        <v>46</v>
      </c>
      <c r="B1153" s="40" t="s">
        <v>1391</v>
      </c>
      <c r="C1153" s="40" t="s">
        <v>6504</v>
      </c>
      <c r="D1153" s="41">
        <v>46057</v>
      </c>
      <c r="E1153" s="41">
        <v>46087</v>
      </c>
      <c r="F1153" s="41">
        <v>46091</v>
      </c>
      <c r="G1153" s="42">
        <v>4</v>
      </c>
      <c r="H1153" s="40" t="s">
        <v>549</v>
      </c>
      <c r="I1153" s="39" t="s">
        <v>320</v>
      </c>
      <c r="J1153" s="43">
        <v>180.88</v>
      </c>
      <c r="K1153" s="43">
        <v>0</v>
      </c>
      <c r="L1153" s="43">
        <v>180.88</v>
      </c>
      <c r="M1153" s="44">
        <v>0</v>
      </c>
      <c r="N1153" s="44">
        <f t="shared" si="17"/>
        <v>180.88</v>
      </c>
      <c r="O1153" s="44">
        <v>180.88</v>
      </c>
      <c r="P1153" s="40" t="s">
        <v>6505</v>
      </c>
      <c r="Q1153" s="40" t="s">
        <v>6506</v>
      </c>
      <c r="R1153" s="40" t="s">
        <v>494</v>
      </c>
      <c r="S1153" s="40" t="s">
        <v>502</v>
      </c>
      <c r="T1153" s="40" t="s">
        <v>165</v>
      </c>
      <c r="U1153" s="40" t="s">
        <v>5254</v>
      </c>
      <c r="V1153" s="40"/>
      <c r="W1153" s="40" t="s">
        <v>6507</v>
      </c>
    </row>
    <row r="1154" spans="1:23" ht="12" x14ac:dyDescent="0.2">
      <c r="A1154" s="39" t="s">
        <v>37</v>
      </c>
      <c r="B1154" s="40" t="s">
        <v>452</v>
      </c>
      <c r="C1154" s="40" t="s">
        <v>6508</v>
      </c>
      <c r="D1154" s="41">
        <v>46057</v>
      </c>
      <c r="E1154" s="41">
        <v>46087</v>
      </c>
      <c r="F1154" s="41">
        <v>46091</v>
      </c>
      <c r="G1154" s="42">
        <v>4</v>
      </c>
      <c r="H1154" s="40" t="s">
        <v>549</v>
      </c>
      <c r="I1154" s="39" t="s">
        <v>320</v>
      </c>
      <c r="J1154" s="43">
        <v>435.21</v>
      </c>
      <c r="K1154" s="43">
        <v>0</v>
      </c>
      <c r="L1154" s="43">
        <v>435.21</v>
      </c>
      <c r="M1154" s="44">
        <v>0</v>
      </c>
      <c r="N1154" s="44">
        <f t="shared" si="17"/>
        <v>435.21</v>
      </c>
      <c r="O1154" s="44">
        <v>435.21</v>
      </c>
      <c r="P1154" s="40" t="s">
        <v>3740</v>
      </c>
      <c r="Q1154" s="40" t="s">
        <v>3741</v>
      </c>
      <c r="R1154" s="40" t="s">
        <v>494</v>
      </c>
      <c r="S1154" s="40" t="s">
        <v>502</v>
      </c>
      <c r="T1154" s="40" t="s">
        <v>1669</v>
      </c>
      <c r="U1154" s="40" t="s">
        <v>1670</v>
      </c>
      <c r="V1154" s="40"/>
      <c r="W1154" s="40" t="s">
        <v>3742</v>
      </c>
    </row>
    <row r="1155" spans="1:23" ht="12" x14ac:dyDescent="0.2">
      <c r="A1155" s="39" t="s">
        <v>2559</v>
      </c>
      <c r="B1155" s="40" t="s">
        <v>2560</v>
      </c>
      <c r="C1155" s="40" t="s">
        <v>6509</v>
      </c>
      <c r="D1155" s="41">
        <v>46058</v>
      </c>
      <c r="E1155" s="41">
        <v>46088</v>
      </c>
      <c r="F1155" s="41">
        <v>46091</v>
      </c>
      <c r="G1155" s="42">
        <v>3</v>
      </c>
      <c r="H1155" s="40" t="s">
        <v>549</v>
      </c>
      <c r="I1155" s="39" t="s">
        <v>320</v>
      </c>
      <c r="J1155" s="43">
        <v>290000</v>
      </c>
      <c r="K1155" s="43">
        <v>0</v>
      </c>
      <c r="L1155" s="43">
        <v>290000</v>
      </c>
      <c r="M1155" s="44">
        <v>0</v>
      </c>
      <c r="N1155" s="44">
        <f t="shared" ref="N1155:N1218" si="18">IF(I1155="GBP",L1155-K1155,O1155-K1155)</f>
        <v>290000</v>
      </c>
      <c r="O1155" s="44">
        <v>290000</v>
      </c>
      <c r="P1155" s="40" t="s">
        <v>6510</v>
      </c>
      <c r="Q1155" s="40" t="s">
        <v>6511</v>
      </c>
      <c r="R1155" s="40" t="s">
        <v>494</v>
      </c>
      <c r="S1155" s="40" t="s">
        <v>502</v>
      </c>
      <c r="T1155" s="40" t="s">
        <v>514</v>
      </c>
      <c r="U1155" s="40" t="s">
        <v>602</v>
      </c>
      <c r="V1155" s="40"/>
      <c r="W1155" s="40" t="s">
        <v>6512</v>
      </c>
    </row>
    <row r="1156" spans="1:23" ht="12" x14ac:dyDescent="0.2">
      <c r="A1156" s="39" t="s">
        <v>357</v>
      </c>
      <c r="B1156" s="40" t="s">
        <v>356</v>
      </c>
      <c r="C1156" s="40" t="s">
        <v>6513</v>
      </c>
      <c r="D1156" s="41">
        <v>46058</v>
      </c>
      <c r="E1156" s="41">
        <v>46088</v>
      </c>
      <c r="F1156" s="41">
        <v>46091</v>
      </c>
      <c r="G1156" s="42">
        <v>3</v>
      </c>
      <c r="H1156" s="40" t="s">
        <v>549</v>
      </c>
      <c r="I1156" s="39" t="s">
        <v>341</v>
      </c>
      <c r="J1156" s="43">
        <v>12575.38</v>
      </c>
      <c r="K1156" s="43">
        <v>0</v>
      </c>
      <c r="L1156" s="43">
        <v>5580.7</v>
      </c>
      <c r="M1156" s="44">
        <v>0</v>
      </c>
      <c r="N1156" s="44">
        <f t="shared" si="18"/>
        <v>4841.42</v>
      </c>
      <c r="O1156" s="44">
        <v>4841.42</v>
      </c>
      <c r="P1156" s="40" t="s">
        <v>1637</v>
      </c>
      <c r="Q1156" s="40" t="s">
        <v>1638</v>
      </c>
      <c r="R1156" s="40" t="s">
        <v>494</v>
      </c>
      <c r="S1156" s="40" t="s">
        <v>502</v>
      </c>
      <c r="T1156" s="40" t="s">
        <v>185</v>
      </c>
      <c r="U1156" s="40" t="s">
        <v>646</v>
      </c>
      <c r="V1156" s="40"/>
      <c r="W1156" s="40" t="s">
        <v>1639</v>
      </c>
    </row>
    <row r="1157" spans="1:23" ht="12" x14ac:dyDescent="0.2">
      <c r="A1157" s="39" t="s">
        <v>10</v>
      </c>
      <c r="B1157" s="40" t="s">
        <v>393</v>
      </c>
      <c r="C1157" s="40" t="s">
        <v>6514</v>
      </c>
      <c r="D1157" s="41">
        <v>46058</v>
      </c>
      <c r="E1157" s="41">
        <v>46088</v>
      </c>
      <c r="F1157" s="41">
        <v>46091</v>
      </c>
      <c r="G1157" s="42">
        <v>3</v>
      </c>
      <c r="H1157" s="40" t="s">
        <v>549</v>
      </c>
      <c r="I1157" s="39" t="s">
        <v>320</v>
      </c>
      <c r="J1157" s="43">
        <v>9044.2800000000007</v>
      </c>
      <c r="K1157" s="43">
        <v>0</v>
      </c>
      <c r="L1157" s="43">
        <v>9044.2800000000007</v>
      </c>
      <c r="M1157" s="44">
        <v>0</v>
      </c>
      <c r="N1157" s="44">
        <f t="shared" si="18"/>
        <v>9044.2800000000007</v>
      </c>
      <c r="O1157" s="44">
        <v>9044.2800000000007</v>
      </c>
      <c r="P1157" s="40" t="s">
        <v>6515</v>
      </c>
      <c r="Q1157" s="40" t="s">
        <v>6516</v>
      </c>
      <c r="R1157" s="40" t="s">
        <v>494</v>
      </c>
      <c r="S1157" s="40" t="s">
        <v>502</v>
      </c>
      <c r="T1157" s="40" t="s">
        <v>284</v>
      </c>
      <c r="U1157" s="40" t="s">
        <v>803</v>
      </c>
      <c r="V1157" s="40" t="s">
        <v>6517</v>
      </c>
      <c r="W1157" s="40" t="s">
        <v>6518</v>
      </c>
    </row>
    <row r="1158" spans="1:23" ht="12" x14ac:dyDescent="0.2">
      <c r="A1158" s="39" t="s">
        <v>10</v>
      </c>
      <c r="B1158" s="40" t="s">
        <v>393</v>
      </c>
      <c r="C1158" s="40" t="s">
        <v>6519</v>
      </c>
      <c r="D1158" s="41">
        <v>46058</v>
      </c>
      <c r="E1158" s="41">
        <v>46088</v>
      </c>
      <c r="F1158" s="41">
        <v>46091</v>
      </c>
      <c r="G1158" s="42">
        <v>3</v>
      </c>
      <c r="H1158" s="40" t="s">
        <v>549</v>
      </c>
      <c r="I1158" s="39" t="s">
        <v>320</v>
      </c>
      <c r="J1158" s="43">
        <v>-188.75</v>
      </c>
      <c r="K1158" s="43">
        <v>0</v>
      </c>
      <c r="L1158" s="43">
        <v>-188.75</v>
      </c>
      <c r="M1158" s="44">
        <v>0</v>
      </c>
      <c r="N1158" s="44">
        <f t="shared" si="18"/>
        <v>-188.75</v>
      </c>
      <c r="O1158" s="44">
        <v>-188.75</v>
      </c>
      <c r="P1158" s="40" t="s">
        <v>6520</v>
      </c>
      <c r="Q1158" s="40" t="s">
        <v>6521</v>
      </c>
      <c r="R1158" s="40" t="s">
        <v>494</v>
      </c>
      <c r="S1158" s="40" t="s">
        <v>495</v>
      </c>
      <c r="T1158" s="40" t="s">
        <v>278</v>
      </c>
      <c r="U1158" s="40" t="s">
        <v>6522</v>
      </c>
      <c r="V1158" s="40" t="s">
        <v>6523</v>
      </c>
      <c r="W1158" s="40" t="s">
        <v>6521</v>
      </c>
    </row>
    <row r="1159" spans="1:23" ht="12" x14ac:dyDescent="0.2">
      <c r="A1159" s="39" t="s">
        <v>1299</v>
      </c>
      <c r="B1159" s="40" t="s">
        <v>1300</v>
      </c>
      <c r="C1159" s="40" t="s">
        <v>6524</v>
      </c>
      <c r="D1159" s="41">
        <v>46058</v>
      </c>
      <c r="E1159" s="41">
        <v>46088</v>
      </c>
      <c r="F1159" s="41">
        <v>46091</v>
      </c>
      <c r="G1159" s="42">
        <v>3</v>
      </c>
      <c r="H1159" s="40" t="s">
        <v>549</v>
      </c>
      <c r="I1159" s="39" t="s">
        <v>323</v>
      </c>
      <c r="J1159" s="43">
        <v>29660.01</v>
      </c>
      <c r="K1159" s="43">
        <v>0</v>
      </c>
      <c r="L1159" s="43">
        <v>29660.01</v>
      </c>
      <c r="M1159" s="44">
        <v>0</v>
      </c>
      <c r="N1159" s="44">
        <f t="shared" si="18"/>
        <v>23728.01</v>
      </c>
      <c r="O1159" s="44">
        <v>23728.01</v>
      </c>
      <c r="P1159" s="40" t="s">
        <v>1301</v>
      </c>
      <c r="Q1159" s="40" t="s">
        <v>1302</v>
      </c>
      <c r="R1159" s="40" t="s">
        <v>494</v>
      </c>
      <c r="S1159" s="40" t="s">
        <v>502</v>
      </c>
      <c r="T1159" s="40" t="s">
        <v>178</v>
      </c>
      <c r="U1159" s="40" t="s">
        <v>1303</v>
      </c>
      <c r="V1159" s="40"/>
      <c r="W1159" s="40" t="s">
        <v>1304</v>
      </c>
    </row>
    <row r="1160" spans="1:23" ht="12" x14ac:dyDescent="0.2">
      <c r="A1160" s="39" t="s">
        <v>1299</v>
      </c>
      <c r="B1160" s="40" t="s">
        <v>1300</v>
      </c>
      <c r="C1160" s="40" t="s">
        <v>6525</v>
      </c>
      <c r="D1160" s="41">
        <v>46058</v>
      </c>
      <c r="E1160" s="41">
        <v>46088</v>
      </c>
      <c r="F1160" s="41">
        <v>46091</v>
      </c>
      <c r="G1160" s="42">
        <v>3</v>
      </c>
      <c r="H1160" s="40" t="s">
        <v>549</v>
      </c>
      <c r="I1160" s="39" t="s">
        <v>323</v>
      </c>
      <c r="J1160" s="43">
        <v>48236.26</v>
      </c>
      <c r="K1160" s="43">
        <v>0</v>
      </c>
      <c r="L1160" s="43">
        <v>48236.26</v>
      </c>
      <c r="M1160" s="44">
        <v>0</v>
      </c>
      <c r="N1160" s="44">
        <f t="shared" si="18"/>
        <v>38589.01</v>
      </c>
      <c r="O1160" s="44">
        <v>38589.01</v>
      </c>
      <c r="P1160" s="40" t="s">
        <v>1301</v>
      </c>
      <c r="Q1160" s="40" t="s">
        <v>1302</v>
      </c>
      <c r="R1160" s="40" t="s">
        <v>494</v>
      </c>
      <c r="S1160" s="40" t="s">
        <v>502</v>
      </c>
      <c r="T1160" s="40" t="s">
        <v>178</v>
      </c>
      <c r="U1160" s="40" t="s">
        <v>1303</v>
      </c>
      <c r="V1160" s="40"/>
      <c r="W1160" s="40" t="s">
        <v>1304</v>
      </c>
    </row>
    <row r="1161" spans="1:23" ht="12" x14ac:dyDescent="0.2">
      <c r="A1161" s="39" t="s">
        <v>6526</v>
      </c>
      <c r="B1161" s="40" t="s">
        <v>6527</v>
      </c>
      <c r="C1161" s="40" t="s">
        <v>6528</v>
      </c>
      <c r="D1161" s="41">
        <v>46058</v>
      </c>
      <c r="E1161" s="41">
        <v>46088</v>
      </c>
      <c r="F1161" s="41">
        <v>46091</v>
      </c>
      <c r="G1161" s="42">
        <v>3</v>
      </c>
      <c r="H1161" s="40" t="s">
        <v>549</v>
      </c>
      <c r="I1161" s="39" t="s">
        <v>3651</v>
      </c>
      <c r="J1161" s="43">
        <v>79968.37</v>
      </c>
      <c r="K1161" s="43">
        <v>0</v>
      </c>
      <c r="L1161" s="43">
        <v>79968.37</v>
      </c>
      <c r="M1161" s="44">
        <v>0</v>
      </c>
      <c r="N1161" s="44">
        <f t="shared" si="18"/>
        <v>6125.31</v>
      </c>
      <c r="O1161" s="44">
        <v>6125.31</v>
      </c>
      <c r="P1161" s="40" t="s">
        <v>6529</v>
      </c>
      <c r="Q1161" s="40" t="s">
        <v>6530</v>
      </c>
      <c r="R1161" s="40" t="s">
        <v>494</v>
      </c>
      <c r="S1161" s="40" t="s">
        <v>502</v>
      </c>
      <c r="T1161" s="40" t="s">
        <v>178</v>
      </c>
      <c r="U1161" s="40" t="s">
        <v>6531</v>
      </c>
      <c r="V1161" s="40"/>
      <c r="W1161" s="40" t="s">
        <v>6532</v>
      </c>
    </row>
    <row r="1162" spans="1:23" ht="12" x14ac:dyDescent="0.2">
      <c r="A1162" s="39" t="s">
        <v>2178</v>
      </c>
      <c r="B1162" s="40" t="s">
        <v>2179</v>
      </c>
      <c r="C1162" s="40" t="s">
        <v>6533</v>
      </c>
      <c r="D1162" s="41">
        <v>46058</v>
      </c>
      <c r="E1162" s="41">
        <v>46088</v>
      </c>
      <c r="F1162" s="41">
        <v>46091</v>
      </c>
      <c r="G1162" s="42">
        <v>3</v>
      </c>
      <c r="H1162" s="40" t="s">
        <v>549</v>
      </c>
      <c r="I1162" s="39" t="s">
        <v>320</v>
      </c>
      <c r="J1162" s="43">
        <v>-1250.6400000000001</v>
      </c>
      <c r="K1162" s="43">
        <v>0</v>
      </c>
      <c r="L1162" s="43">
        <v>-1250.6400000000001</v>
      </c>
      <c r="M1162" s="44">
        <v>0</v>
      </c>
      <c r="N1162" s="44">
        <f t="shared" si="18"/>
        <v>-1250.6400000000001</v>
      </c>
      <c r="O1162" s="44">
        <v>-1250.6400000000001</v>
      </c>
      <c r="P1162" s="40" t="s">
        <v>6534</v>
      </c>
      <c r="Q1162" s="40" t="s">
        <v>6535</v>
      </c>
      <c r="R1162" s="40" t="s">
        <v>494</v>
      </c>
      <c r="S1162" s="40" t="s">
        <v>502</v>
      </c>
      <c r="T1162" s="40" t="s">
        <v>282</v>
      </c>
      <c r="U1162" s="40" t="s">
        <v>1452</v>
      </c>
      <c r="V1162" s="40"/>
      <c r="W1162" s="40" t="s">
        <v>6536</v>
      </c>
    </row>
    <row r="1163" spans="1:23" ht="12" x14ac:dyDescent="0.2">
      <c r="A1163" s="39" t="s">
        <v>2594</v>
      </c>
      <c r="B1163" s="40" t="s">
        <v>2595</v>
      </c>
      <c r="C1163" s="40" t="s">
        <v>6537</v>
      </c>
      <c r="D1163" s="41">
        <v>46058</v>
      </c>
      <c r="E1163" s="41">
        <v>46088</v>
      </c>
      <c r="F1163" s="41">
        <v>46091</v>
      </c>
      <c r="G1163" s="42">
        <v>3</v>
      </c>
      <c r="H1163" s="40" t="s">
        <v>549</v>
      </c>
      <c r="I1163" s="39" t="s">
        <v>320</v>
      </c>
      <c r="J1163" s="43">
        <v>3561182.25</v>
      </c>
      <c r="K1163" s="43">
        <v>0</v>
      </c>
      <c r="L1163" s="43">
        <v>3561182.25</v>
      </c>
      <c r="M1163" s="44">
        <v>0</v>
      </c>
      <c r="N1163" s="44">
        <f t="shared" si="18"/>
        <v>3561182.25</v>
      </c>
      <c r="O1163" s="44">
        <v>3561182.25</v>
      </c>
      <c r="P1163" s="40" t="s">
        <v>6538</v>
      </c>
      <c r="Q1163" s="40" t="s">
        <v>6539</v>
      </c>
      <c r="R1163" s="40" t="s">
        <v>494</v>
      </c>
      <c r="S1163" s="40" t="s">
        <v>502</v>
      </c>
      <c r="T1163" s="40" t="s">
        <v>181</v>
      </c>
      <c r="U1163" s="40" t="s">
        <v>6540</v>
      </c>
      <c r="V1163" s="40" t="s">
        <v>6541</v>
      </c>
      <c r="W1163" s="40" t="s">
        <v>321</v>
      </c>
    </row>
    <row r="1164" spans="1:23" ht="12" x14ac:dyDescent="0.2">
      <c r="A1164" s="39" t="s">
        <v>1818</v>
      </c>
      <c r="B1164" s="40" t="s">
        <v>1819</v>
      </c>
      <c r="C1164" s="40" t="s">
        <v>6542</v>
      </c>
      <c r="D1164" s="41">
        <v>46058</v>
      </c>
      <c r="E1164" s="41">
        <v>46088</v>
      </c>
      <c r="F1164" s="41">
        <v>46091</v>
      </c>
      <c r="G1164" s="42">
        <v>3</v>
      </c>
      <c r="H1164" s="40" t="s">
        <v>549</v>
      </c>
      <c r="I1164" s="39" t="s">
        <v>320</v>
      </c>
      <c r="J1164" s="43">
        <v>-8469.41</v>
      </c>
      <c r="K1164" s="43">
        <v>0</v>
      </c>
      <c r="L1164" s="43">
        <v>-8469.41</v>
      </c>
      <c r="M1164" s="44">
        <v>0</v>
      </c>
      <c r="N1164" s="44">
        <f t="shared" si="18"/>
        <v>-8469.41</v>
      </c>
      <c r="O1164" s="44">
        <v>-8469.41</v>
      </c>
      <c r="P1164" s="40" t="s">
        <v>6543</v>
      </c>
      <c r="Q1164" s="40" t="s">
        <v>6544</v>
      </c>
      <c r="R1164" s="40" t="s">
        <v>494</v>
      </c>
      <c r="S1164" s="40" t="s">
        <v>502</v>
      </c>
      <c r="T1164" s="40" t="s">
        <v>773</v>
      </c>
      <c r="U1164" s="40" t="s">
        <v>6545</v>
      </c>
      <c r="V1164" s="40" t="s">
        <v>6546</v>
      </c>
      <c r="W1164" s="40" t="s">
        <v>6547</v>
      </c>
    </row>
    <row r="1165" spans="1:23" ht="12" x14ac:dyDescent="0.2">
      <c r="A1165" s="39" t="s">
        <v>2092</v>
      </c>
      <c r="B1165" s="40" t="s">
        <v>3041</v>
      </c>
      <c r="C1165" s="40" t="s">
        <v>6548</v>
      </c>
      <c r="D1165" s="41">
        <v>46058</v>
      </c>
      <c r="E1165" s="41">
        <v>46088</v>
      </c>
      <c r="F1165" s="41">
        <v>46091</v>
      </c>
      <c r="G1165" s="42">
        <v>3</v>
      </c>
      <c r="H1165" s="40" t="s">
        <v>549</v>
      </c>
      <c r="I1165" s="39" t="s">
        <v>323</v>
      </c>
      <c r="J1165" s="43">
        <v>-32.08</v>
      </c>
      <c r="K1165" s="43">
        <v>0</v>
      </c>
      <c r="L1165" s="43">
        <v>-32.08</v>
      </c>
      <c r="M1165" s="44">
        <v>0</v>
      </c>
      <c r="N1165" s="44">
        <f t="shared" si="18"/>
        <v>-23.76</v>
      </c>
      <c r="O1165" s="44">
        <v>-23.76</v>
      </c>
      <c r="P1165" s="40" t="s">
        <v>2088</v>
      </c>
      <c r="Q1165" s="40" t="s">
        <v>3042</v>
      </c>
      <c r="R1165" s="40" t="s">
        <v>494</v>
      </c>
      <c r="S1165" s="40" t="s">
        <v>495</v>
      </c>
      <c r="T1165" s="40" t="s">
        <v>176</v>
      </c>
      <c r="U1165" s="40" t="s">
        <v>1259</v>
      </c>
      <c r="V1165" s="40" t="s">
        <v>6549</v>
      </c>
      <c r="W1165" s="40" t="s">
        <v>3043</v>
      </c>
    </row>
    <row r="1166" spans="1:23" ht="12" x14ac:dyDescent="0.2">
      <c r="A1166" s="39" t="s">
        <v>415</v>
      </c>
      <c r="B1166" s="40" t="s">
        <v>2934</v>
      </c>
      <c r="C1166" s="40" t="s">
        <v>6550</v>
      </c>
      <c r="D1166" s="41">
        <v>46058</v>
      </c>
      <c r="E1166" s="41">
        <v>46088</v>
      </c>
      <c r="F1166" s="41">
        <v>46091</v>
      </c>
      <c r="G1166" s="42">
        <v>3</v>
      </c>
      <c r="H1166" s="40" t="s">
        <v>549</v>
      </c>
      <c r="I1166" s="39" t="s">
        <v>320</v>
      </c>
      <c r="J1166" s="43">
        <v>7934.22</v>
      </c>
      <c r="K1166" s="43">
        <v>0</v>
      </c>
      <c r="L1166" s="43">
        <v>7925</v>
      </c>
      <c r="M1166" s="44">
        <v>0</v>
      </c>
      <c r="N1166" s="44">
        <f t="shared" si="18"/>
        <v>7925</v>
      </c>
      <c r="O1166" s="44">
        <v>7925</v>
      </c>
      <c r="P1166" s="40" t="s">
        <v>6551</v>
      </c>
      <c r="Q1166" s="40" t="s">
        <v>6552</v>
      </c>
      <c r="R1166" s="40" t="s">
        <v>494</v>
      </c>
      <c r="S1166" s="40" t="s">
        <v>502</v>
      </c>
      <c r="T1166" s="40" t="s">
        <v>362</v>
      </c>
      <c r="U1166" s="40" t="s">
        <v>6553</v>
      </c>
      <c r="V1166" s="40"/>
      <c r="W1166" s="40" t="s">
        <v>6554</v>
      </c>
    </row>
    <row r="1167" spans="1:23" ht="12" x14ac:dyDescent="0.2">
      <c r="A1167" s="39" t="s">
        <v>357</v>
      </c>
      <c r="B1167" s="40" t="s">
        <v>356</v>
      </c>
      <c r="C1167" s="40" t="s">
        <v>6555</v>
      </c>
      <c r="D1167" s="41">
        <v>46058</v>
      </c>
      <c r="E1167" s="41">
        <v>46088</v>
      </c>
      <c r="F1167" s="41">
        <v>46091</v>
      </c>
      <c r="G1167" s="42">
        <v>3</v>
      </c>
      <c r="H1167" s="40" t="s">
        <v>549</v>
      </c>
      <c r="I1167" s="39" t="s">
        <v>341</v>
      </c>
      <c r="J1167" s="43">
        <v>15588.43</v>
      </c>
      <c r="K1167" s="43">
        <v>0</v>
      </c>
      <c r="L1167" s="43">
        <v>2226.04</v>
      </c>
      <c r="M1167" s="44">
        <v>0</v>
      </c>
      <c r="N1167" s="44">
        <f t="shared" si="18"/>
        <v>1963.57</v>
      </c>
      <c r="O1167" s="44">
        <v>1963.57</v>
      </c>
      <c r="P1167" s="40" t="s">
        <v>6556</v>
      </c>
      <c r="Q1167" s="40" t="s">
        <v>6557</v>
      </c>
      <c r="R1167" s="40" t="s">
        <v>494</v>
      </c>
      <c r="S1167" s="40" t="s">
        <v>495</v>
      </c>
      <c r="T1167" s="40" t="s">
        <v>189</v>
      </c>
      <c r="U1167" s="40" t="s">
        <v>6558</v>
      </c>
      <c r="V1167" s="40"/>
      <c r="W1167" s="40" t="s">
        <v>6559</v>
      </c>
    </row>
    <row r="1168" spans="1:23" ht="12" x14ac:dyDescent="0.2">
      <c r="A1168" s="39" t="s">
        <v>27</v>
      </c>
      <c r="B1168" s="40" t="s">
        <v>476</v>
      </c>
      <c r="C1168" s="40" t="s">
        <v>6560</v>
      </c>
      <c r="D1168" s="41">
        <v>46058</v>
      </c>
      <c r="E1168" s="41">
        <v>46088</v>
      </c>
      <c r="F1168" s="41">
        <v>46091</v>
      </c>
      <c r="G1168" s="42">
        <v>3</v>
      </c>
      <c r="H1168" s="40" t="s">
        <v>549</v>
      </c>
      <c r="I1168" s="39" t="s">
        <v>320</v>
      </c>
      <c r="J1168" s="43">
        <v>1040000</v>
      </c>
      <c r="K1168" s="43">
        <v>0</v>
      </c>
      <c r="L1168" s="43">
        <v>1040000</v>
      </c>
      <c r="M1168" s="44">
        <v>0</v>
      </c>
      <c r="N1168" s="44">
        <f t="shared" si="18"/>
        <v>1040000</v>
      </c>
      <c r="O1168" s="44">
        <v>1040000</v>
      </c>
      <c r="P1168" s="40" t="s">
        <v>3078</v>
      </c>
      <c r="Q1168" s="40" t="s">
        <v>3079</v>
      </c>
      <c r="R1168" s="40" t="s">
        <v>494</v>
      </c>
      <c r="S1168" s="40" t="s">
        <v>502</v>
      </c>
      <c r="T1168" s="40" t="s">
        <v>278</v>
      </c>
      <c r="U1168" s="40" t="s">
        <v>564</v>
      </c>
      <c r="V1168" s="40"/>
      <c r="W1168" s="40" t="s">
        <v>3080</v>
      </c>
    </row>
    <row r="1169" spans="1:23" ht="12" x14ac:dyDescent="0.2">
      <c r="A1169" s="39" t="s">
        <v>39</v>
      </c>
      <c r="B1169" s="40" t="s">
        <v>752</v>
      </c>
      <c r="C1169" s="40" t="s">
        <v>6561</v>
      </c>
      <c r="D1169" s="41">
        <v>46058</v>
      </c>
      <c r="E1169" s="41">
        <v>46088</v>
      </c>
      <c r="F1169" s="41">
        <v>46091</v>
      </c>
      <c r="G1169" s="42">
        <v>3</v>
      </c>
      <c r="H1169" s="40" t="s">
        <v>549</v>
      </c>
      <c r="I1169" s="39" t="s">
        <v>320</v>
      </c>
      <c r="J1169" s="43">
        <v>485693.13</v>
      </c>
      <c r="K1169" s="43">
        <v>0</v>
      </c>
      <c r="L1169" s="43">
        <v>485693.13</v>
      </c>
      <c r="M1169" s="44">
        <v>0</v>
      </c>
      <c r="N1169" s="44">
        <f t="shared" si="18"/>
        <v>485693.13</v>
      </c>
      <c r="O1169" s="44">
        <v>485693.13</v>
      </c>
      <c r="P1169" s="40" t="s">
        <v>6562</v>
      </c>
      <c r="Q1169" s="40" t="s">
        <v>6563</v>
      </c>
      <c r="R1169" s="40" t="s">
        <v>494</v>
      </c>
      <c r="S1169" s="40" t="s">
        <v>502</v>
      </c>
      <c r="T1169" s="40" t="s">
        <v>218</v>
      </c>
      <c r="U1169" s="40" t="s">
        <v>1166</v>
      </c>
      <c r="V1169" s="40"/>
      <c r="W1169" s="40" t="s">
        <v>6564</v>
      </c>
    </row>
    <row r="1170" spans="1:23" ht="12" x14ac:dyDescent="0.2">
      <c r="A1170" s="39" t="s">
        <v>1070</v>
      </c>
      <c r="B1170" s="40" t="s">
        <v>364</v>
      </c>
      <c r="C1170" s="40" t="s">
        <v>6565</v>
      </c>
      <c r="D1170" s="41">
        <v>46059</v>
      </c>
      <c r="E1170" s="41">
        <v>46089</v>
      </c>
      <c r="F1170" s="41">
        <v>46091</v>
      </c>
      <c r="G1170" s="42">
        <v>2</v>
      </c>
      <c r="H1170" s="40" t="s">
        <v>549</v>
      </c>
      <c r="I1170" s="39" t="s">
        <v>320</v>
      </c>
      <c r="J1170" s="43">
        <v>14.69</v>
      </c>
      <c r="K1170" s="43">
        <v>0</v>
      </c>
      <c r="L1170" s="43">
        <v>14.69</v>
      </c>
      <c r="M1170" s="44">
        <v>0</v>
      </c>
      <c r="N1170" s="44">
        <f t="shared" si="18"/>
        <v>14.69</v>
      </c>
      <c r="O1170" s="44">
        <v>14.69</v>
      </c>
      <c r="P1170" s="40" t="s">
        <v>6566</v>
      </c>
      <c r="Q1170" s="40" t="s">
        <v>6567</v>
      </c>
      <c r="R1170" s="40" t="s">
        <v>494</v>
      </c>
      <c r="S1170" s="40" t="s">
        <v>495</v>
      </c>
      <c r="T1170" s="40" t="s">
        <v>1669</v>
      </c>
      <c r="U1170" s="40" t="s">
        <v>1670</v>
      </c>
      <c r="V1170" s="40"/>
      <c r="W1170" s="40" t="s">
        <v>6568</v>
      </c>
    </row>
    <row r="1171" spans="1:23" ht="12" x14ac:dyDescent="0.2">
      <c r="A1171" s="39" t="s">
        <v>337</v>
      </c>
      <c r="B1171" s="40" t="s">
        <v>336</v>
      </c>
      <c r="C1171" s="40" t="s">
        <v>6569</v>
      </c>
      <c r="D1171" s="41">
        <v>46059</v>
      </c>
      <c r="E1171" s="41">
        <v>46089</v>
      </c>
      <c r="F1171" s="41">
        <v>46091</v>
      </c>
      <c r="G1171" s="42">
        <v>2</v>
      </c>
      <c r="H1171" s="40" t="s">
        <v>549</v>
      </c>
      <c r="I1171" s="39" t="s">
        <v>320</v>
      </c>
      <c r="J1171" s="43">
        <v>41221.339999999997</v>
      </c>
      <c r="K1171" s="43">
        <v>0</v>
      </c>
      <c r="L1171" s="43">
        <v>41221.339999999997</v>
      </c>
      <c r="M1171" s="44">
        <v>0</v>
      </c>
      <c r="N1171" s="44">
        <f t="shared" si="18"/>
        <v>41221.339999999997</v>
      </c>
      <c r="O1171" s="44">
        <v>41221.339999999997</v>
      </c>
      <c r="P1171" s="40" t="s">
        <v>1092</v>
      </c>
      <c r="Q1171" s="40" t="s">
        <v>1093</v>
      </c>
      <c r="R1171" s="40" t="s">
        <v>494</v>
      </c>
      <c r="S1171" s="40" t="s">
        <v>502</v>
      </c>
      <c r="T1171" s="40" t="s">
        <v>289</v>
      </c>
      <c r="U1171" s="40" t="s">
        <v>637</v>
      </c>
      <c r="V1171" s="40"/>
      <c r="W1171" s="40" t="s">
        <v>1094</v>
      </c>
    </row>
    <row r="1172" spans="1:23" ht="12" x14ac:dyDescent="0.2">
      <c r="A1172" s="39" t="s">
        <v>2559</v>
      </c>
      <c r="B1172" s="40" t="s">
        <v>2560</v>
      </c>
      <c r="C1172" s="40" t="s">
        <v>6570</v>
      </c>
      <c r="D1172" s="41">
        <v>46059</v>
      </c>
      <c r="E1172" s="41">
        <v>46089</v>
      </c>
      <c r="F1172" s="41">
        <v>46091</v>
      </c>
      <c r="G1172" s="42">
        <v>2</v>
      </c>
      <c r="H1172" s="40" t="s">
        <v>549</v>
      </c>
      <c r="I1172" s="39" t="s">
        <v>320</v>
      </c>
      <c r="J1172" s="43">
        <v>350000</v>
      </c>
      <c r="K1172" s="43">
        <v>0</v>
      </c>
      <c r="L1172" s="43">
        <v>350000</v>
      </c>
      <c r="M1172" s="44">
        <v>0</v>
      </c>
      <c r="N1172" s="44">
        <f t="shared" si="18"/>
        <v>350000</v>
      </c>
      <c r="O1172" s="44">
        <v>350000</v>
      </c>
      <c r="P1172" s="40" t="s">
        <v>6571</v>
      </c>
      <c r="Q1172" s="40" t="s">
        <v>6572</v>
      </c>
      <c r="R1172" s="40" t="s">
        <v>494</v>
      </c>
      <c r="S1172" s="40" t="s">
        <v>502</v>
      </c>
      <c r="T1172" s="40" t="s">
        <v>514</v>
      </c>
      <c r="U1172" s="40" t="s">
        <v>602</v>
      </c>
      <c r="V1172" s="40"/>
      <c r="W1172" s="40" t="s">
        <v>6573</v>
      </c>
    </row>
    <row r="1173" spans="1:23" ht="12" x14ac:dyDescent="0.2">
      <c r="A1173" s="39" t="s">
        <v>1070</v>
      </c>
      <c r="B1173" s="40" t="s">
        <v>364</v>
      </c>
      <c r="C1173" s="40" t="s">
        <v>6574</v>
      </c>
      <c r="D1173" s="41">
        <v>46059</v>
      </c>
      <c r="E1173" s="41">
        <v>46089</v>
      </c>
      <c r="F1173" s="41">
        <v>46091</v>
      </c>
      <c r="G1173" s="42">
        <v>2</v>
      </c>
      <c r="H1173" s="40" t="s">
        <v>549</v>
      </c>
      <c r="I1173" s="39" t="s">
        <v>320</v>
      </c>
      <c r="J1173" s="43">
        <v>5643.74</v>
      </c>
      <c r="K1173" s="43">
        <v>0</v>
      </c>
      <c r="L1173" s="43">
        <v>5643.74</v>
      </c>
      <c r="M1173" s="44">
        <v>0</v>
      </c>
      <c r="N1173" s="44">
        <f t="shared" si="18"/>
        <v>5643.74</v>
      </c>
      <c r="O1173" s="44">
        <v>5643.74</v>
      </c>
      <c r="P1173" s="40" t="s">
        <v>1582</v>
      </c>
      <c r="Q1173" s="40" t="s">
        <v>6575</v>
      </c>
      <c r="R1173" s="40" t="s">
        <v>494</v>
      </c>
      <c r="S1173" s="40" t="s">
        <v>495</v>
      </c>
      <c r="T1173" s="40" t="s">
        <v>284</v>
      </c>
      <c r="U1173" s="40" t="s">
        <v>1505</v>
      </c>
      <c r="V1173" s="40"/>
      <c r="W1173" s="40" t="s">
        <v>6576</v>
      </c>
    </row>
    <row r="1174" spans="1:23" ht="12" x14ac:dyDescent="0.2">
      <c r="A1174" s="39" t="s">
        <v>415</v>
      </c>
      <c r="B1174" s="40" t="s">
        <v>2934</v>
      </c>
      <c r="C1174" s="40" t="s">
        <v>6577</v>
      </c>
      <c r="D1174" s="41">
        <v>46059</v>
      </c>
      <c r="E1174" s="41">
        <v>46089</v>
      </c>
      <c r="F1174" s="41">
        <v>46091</v>
      </c>
      <c r="G1174" s="42">
        <v>2</v>
      </c>
      <c r="H1174" s="40" t="s">
        <v>549</v>
      </c>
      <c r="I1174" s="39" t="s">
        <v>320</v>
      </c>
      <c r="J1174" s="43">
        <v>1050</v>
      </c>
      <c r="K1174" s="43">
        <v>0</v>
      </c>
      <c r="L1174" s="43">
        <v>1050</v>
      </c>
      <c r="M1174" s="44">
        <v>0</v>
      </c>
      <c r="N1174" s="44">
        <f t="shared" si="18"/>
        <v>1050</v>
      </c>
      <c r="O1174" s="44">
        <v>1050</v>
      </c>
      <c r="P1174" s="40" t="s">
        <v>3356</v>
      </c>
      <c r="Q1174" s="40" t="s">
        <v>3357</v>
      </c>
      <c r="R1174" s="40" t="s">
        <v>494</v>
      </c>
      <c r="S1174" s="40" t="s">
        <v>502</v>
      </c>
      <c r="T1174" s="40" t="s">
        <v>289</v>
      </c>
      <c r="U1174" s="40" t="s">
        <v>3358</v>
      </c>
      <c r="V1174" s="40" t="s">
        <v>6578</v>
      </c>
      <c r="W1174" s="40" t="s">
        <v>3359</v>
      </c>
    </row>
    <row r="1175" spans="1:23" ht="12" x14ac:dyDescent="0.2">
      <c r="A1175" s="39" t="s">
        <v>6579</v>
      </c>
      <c r="B1175" s="40" t="s">
        <v>6580</v>
      </c>
      <c r="C1175" s="40" t="s">
        <v>6581</v>
      </c>
      <c r="D1175" s="41">
        <v>46059</v>
      </c>
      <c r="E1175" s="41">
        <v>46089</v>
      </c>
      <c r="F1175" s="41">
        <v>46091</v>
      </c>
      <c r="G1175" s="42">
        <v>2</v>
      </c>
      <c r="H1175" s="40" t="s">
        <v>549</v>
      </c>
      <c r="I1175" s="39" t="s">
        <v>320</v>
      </c>
      <c r="J1175" s="43">
        <v>36743.599999999999</v>
      </c>
      <c r="K1175" s="43">
        <v>0</v>
      </c>
      <c r="L1175" s="43">
        <v>36743.599999999999</v>
      </c>
      <c r="M1175" s="44">
        <v>0</v>
      </c>
      <c r="N1175" s="44">
        <f t="shared" si="18"/>
        <v>36743.599999999999</v>
      </c>
      <c r="O1175" s="44">
        <v>36743.599999999999</v>
      </c>
      <c r="P1175" s="40" t="s">
        <v>6582</v>
      </c>
      <c r="Q1175" s="40" t="s">
        <v>6583</v>
      </c>
      <c r="R1175" s="40" t="s">
        <v>494</v>
      </c>
      <c r="S1175" s="40" t="s">
        <v>502</v>
      </c>
      <c r="T1175" s="40" t="s">
        <v>343</v>
      </c>
      <c r="U1175" s="40" t="s">
        <v>1231</v>
      </c>
      <c r="V1175" s="40"/>
      <c r="W1175" s="40" t="s">
        <v>6584</v>
      </c>
    </row>
    <row r="1176" spans="1:23" ht="12" x14ac:dyDescent="0.2">
      <c r="A1176" s="39" t="s">
        <v>6585</v>
      </c>
      <c r="B1176" s="40" t="s">
        <v>6586</v>
      </c>
      <c r="C1176" s="40" t="s">
        <v>6587</v>
      </c>
      <c r="D1176" s="41">
        <v>46059</v>
      </c>
      <c r="E1176" s="41">
        <v>46089</v>
      </c>
      <c r="F1176" s="41">
        <v>46091</v>
      </c>
      <c r="G1176" s="42">
        <v>2</v>
      </c>
      <c r="H1176" s="40" t="s">
        <v>549</v>
      </c>
      <c r="I1176" s="39" t="s">
        <v>323</v>
      </c>
      <c r="J1176" s="43">
        <v>-4400.1899999999996</v>
      </c>
      <c r="K1176" s="43">
        <v>0</v>
      </c>
      <c r="L1176" s="43">
        <v>-4400.1899999999996</v>
      </c>
      <c r="M1176" s="44">
        <v>0</v>
      </c>
      <c r="N1176" s="44">
        <f t="shared" si="18"/>
        <v>-3259.4</v>
      </c>
      <c r="O1176" s="44">
        <v>-3259.4</v>
      </c>
      <c r="P1176" s="40" t="s">
        <v>6588</v>
      </c>
      <c r="Q1176" s="40" t="s">
        <v>6589</v>
      </c>
      <c r="R1176" s="40" t="s">
        <v>494</v>
      </c>
      <c r="S1176" s="40" t="s">
        <v>495</v>
      </c>
      <c r="T1176" s="40" t="s">
        <v>733</v>
      </c>
      <c r="U1176" s="40" t="s">
        <v>1220</v>
      </c>
      <c r="V1176" s="40" t="s">
        <v>6590</v>
      </c>
      <c r="W1176" s="40" t="s">
        <v>6591</v>
      </c>
    </row>
    <row r="1177" spans="1:23" ht="12" x14ac:dyDescent="0.2">
      <c r="A1177" s="39" t="s">
        <v>2178</v>
      </c>
      <c r="B1177" s="40" t="s">
        <v>2179</v>
      </c>
      <c r="C1177" s="40" t="s">
        <v>6592</v>
      </c>
      <c r="D1177" s="41">
        <v>46059</v>
      </c>
      <c r="E1177" s="41">
        <v>46089</v>
      </c>
      <c r="F1177" s="41">
        <v>46091</v>
      </c>
      <c r="G1177" s="42">
        <v>2</v>
      </c>
      <c r="H1177" s="40" t="s">
        <v>549</v>
      </c>
      <c r="I1177" s="39" t="s">
        <v>320</v>
      </c>
      <c r="J1177" s="43">
        <v>13614.7</v>
      </c>
      <c r="K1177" s="43">
        <v>0</v>
      </c>
      <c r="L1177" s="43">
        <v>13614.7</v>
      </c>
      <c r="M1177" s="44">
        <v>0</v>
      </c>
      <c r="N1177" s="44">
        <f t="shared" si="18"/>
        <v>13614.7</v>
      </c>
      <c r="O1177" s="44">
        <v>13614.7</v>
      </c>
      <c r="P1177" s="40" t="s">
        <v>5113</v>
      </c>
      <c r="Q1177" s="40" t="s">
        <v>5114</v>
      </c>
      <c r="R1177" s="40" t="s">
        <v>494</v>
      </c>
      <c r="S1177" s="40" t="s">
        <v>502</v>
      </c>
      <c r="T1177" s="40" t="s">
        <v>185</v>
      </c>
      <c r="U1177" s="40" t="s">
        <v>1103</v>
      </c>
      <c r="V1177" s="40"/>
      <c r="W1177" s="40" t="s">
        <v>5115</v>
      </c>
    </row>
    <row r="1178" spans="1:23" ht="12" x14ac:dyDescent="0.2">
      <c r="A1178" s="39" t="s">
        <v>2036</v>
      </c>
      <c r="B1178" s="40" t="s">
        <v>6593</v>
      </c>
      <c r="C1178" s="40" t="s">
        <v>6594</v>
      </c>
      <c r="D1178" s="41">
        <v>46059</v>
      </c>
      <c r="E1178" s="41">
        <v>46089</v>
      </c>
      <c r="F1178" s="41">
        <v>46091</v>
      </c>
      <c r="G1178" s="42">
        <v>2</v>
      </c>
      <c r="H1178" s="40" t="s">
        <v>549</v>
      </c>
      <c r="I1178" s="39" t="s">
        <v>320</v>
      </c>
      <c r="J1178" s="43">
        <v>9271.91</v>
      </c>
      <c r="K1178" s="43">
        <v>0</v>
      </c>
      <c r="L1178" s="43">
        <v>9271.91</v>
      </c>
      <c r="M1178" s="44">
        <v>0</v>
      </c>
      <c r="N1178" s="44">
        <f t="shared" si="18"/>
        <v>9271.91</v>
      </c>
      <c r="O1178" s="44">
        <v>9271.91</v>
      </c>
      <c r="P1178" s="40" t="s">
        <v>6595</v>
      </c>
      <c r="Q1178" s="40" t="s">
        <v>6596</v>
      </c>
      <c r="R1178" s="40" t="s">
        <v>494</v>
      </c>
      <c r="S1178" s="40" t="s">
        <v>495</v>
      </c>
      <c r="T1178" s="40" t="s">
        <v>289</v>
      </c>
      <c r="U1178" s="40" t="s">
        <v>637</v>
      </c>
      <c r="V1178" s="40"/>
      <c r="W1178" s="40"/>
    </row>
    <row r="1179" spans="1:23" ht="12" x14ac:dyDescent="0.2">
      <c r="A1179" s="39" t="s">
        <v>6597</v>
      </c>
      <c r="B1179" s="40" t="s">
        <v>6598</v>
      </c>
      <c r="C1179" s="40" t="s">
        <v>6599</v>
      </c>
      <c r="D1179" s="41">
        <v>46059</v>
      </c>
      <c r="E1179" s="41">
        <v>46089</v>
      </c>
      <c r="F1179" s="41">
        <v>46091</v>
      </c>
      <c r="G1179" s="42">
        <v>2</v>
      </c>
      <c r="H1179" s="40" t="s">
        <v>549</v>
      </c>
      <c r="I1179" s="39" t="s">
        <v>320</v>
      </c>
      <c r="J1179" s="43">
        <v>235516.79999999999</v>
      </c>
      <c r="K1179" s="43">
        <v>39252.800000000003</v>
      </c>
      <c r="L1179" s="43">
        <v>235516.79999999999</v>
      </c>
      <c r="M1179" s="44">
        <v>39252.800000000003</v>
      </c>
      <c r="N1179" s="44">
        <f t="shared" si="18"/>
        <v>196264</v>
      </c>
      <c r="O1179" s="44">
        <v>235516.79999999999</v>
      </c>
      <c r="P1179" s="40" t="s">
        <v>3752</v>
      </c>
      <c r="Q1179" s="40" t="s">
        <v>6600</v>
      </c>
      <c r="R1179" s="40" t="s">
        <v>494</v>
      </c>
      <c r="S1179" s="40" t="s">
        <v>502</v>
      </c>
      <c r="T1179" s="40" t="s">
        <v>218</v>
      </c>
      <c r="U1179" s="40" t="s">
        <v>6601</v>
      </c>
      <c r="V1179" s="40"/>
      <c r="W1179" s="40" t="s">
        <v>6602</v>
      </c>
    </row>
    <row r="1180" spans="1:23" ht="12" x14ac:dyDescent="0.2">
      <c r="A1180" s="39" t="s">
        <v>2303</v>
      </c>
      <c r="B1180" s="40" t="s">
        <v>2304</v>
      </c>
      <c r="C1180" s="40" t="s">
        <v>6603</v>
      </c>
      <c r="D1180" s="41">
        <v>46059</v>
      </c>
      <c r="E1180" s="41">
        <v>46089</v>
      </c>
      <c r="F1180" s="41">
        <v>46091</v>
      </c>
      <c r="G1180" s="42">
        <v>2</v>
      </c>
      <c r="H1180" s="40" t="s">
        <v>549</v>
      </c>
      <c r="I1180" s="39" t="s">
        <v>320</v>
      </c>
      <c r="J1180" s="43">
        <v>441024.43</v>
      </c>
      <c r="K1180" s="43">
        <v>0</v>
      </c>
      <c r="L1180" s="43">
        <v>441024.43</v>
      </c>
      <c r="M1180" s="44">
        <v>0</v>
      </c>
      <c r="N1180" s="44">
        <f t="shared" si="18"/>
        <v>441024.43</v>
      </c>
      <c r="O1180" s="44">
        <v>441024.43</v>
      </c>
      <c r="P1180" s="40" t="s">
        <v>6604</v>
      </c>
      <c r="Q1180" s="40" t="s">
        <v>6605</v>
      </c>
      <c r="R1180" s="40" t="s">
        <v>494</v>
      </c>
      <c r="S1180" s="40" t="s">
        <v>502</v>
      </c>
      <c r="T1180" s="40" t="s">
        <v>218</v>
      </c>
      <c r="U1180" s="40" t="s">
        <v>4988</v>
      </c>
      <c r="V1180" s="40"/>
      <c r="W1180" s="40" t="s">
        <v>6606</v>
      </c>
    </row>
    <row r="1181" spans="1:23" ht="12" x14ac:dyDescent="0.2">
      <c r="A1181" s="39" t="s">
        <v>2103</v>
      </c>
      <c r="B1181" s="40" t="s">
        <v>6607</v>
      </c>
      <c r="C1181" s="40" t="s">
        <v>6608</v>
      </c>
      <c r="D1181" s="41">
        <v>46059</v>
      </c>
      <c r="E1181" s="41">
        <v>46089</v>
      </c>
      <c r="F1181" s="41">
        <v>46091</v>
      </c>
      <c r="G1181" s="42">
        <v>2</v>
      </c>
      <c r="H1181" s="40" t="s">
        <v>549</v>
      </c>
      <c r="I1181" s="39" t="s">
        <v>323</v>
      </c>
      <c r="J1181" s="43">
        <v>139295.96</v>
      </c>
      <c r="K1181" s="43">
        <v>0</v>
      </c>
      <c r="L1181" s="43">
        <v>139295.96</v>
      </c>
      <c r="M1181" s="44">
        <v>0</v>
      </c>
      <c r="N1181" s="44">
        <f t="shared" si="18"/>
        <v>92863.97</v>
      </c>
      <c r="O1181" s="44">
        <v>92863.97</v>
      </c>
      <c r="P1181" s="40" t="s">
        <v>2102</v>
      </c>
      <c r="Q1181" s="40" t="s">
        <v>6609</v>
      </c>
      <c r="R1181" s="40" t="s">
        <v>494</v>
      </c>
      <c r="S1181" s="40" t="s">
        <v>502</v>
      </c>
      <c r="T1181" s="40" t="s">
        <v>514</v>
      </c>
      <c r="U1181" s="40" t="s">
        <v>1491</v>
      </c>
      <c r="V1181" s="40" t="s">
        <v>6610</v>
      </c>
      <c r="W1181" s="40" t="s">
        <v>6611</v>
      </c>
    </row>
    <row r="1182" spans="1:23" ht="12" x14ac:dyDescent="0.2">
      <c r="A1182" s="39" t="s">
        <v>48</v>
      </c>
      <c r="B1182" s="40" t="s">
        <v>389</v>
      </c>
      <c r="C1182" s="40" t="s">
        <v>6612</v>
      </c>
      <c r="D1182" s="41">
        <v>46059</v>
      </c>
      <c r="E1182" s="41">
        <v>46089</v>
      </c>
      <c r="F1182" s="41">
        <v>46091</v>
      </c>
      <c r="G1182" s="42">
        <v>2</v>
      </c>
      <c r="H1182" s="40" t="s">
        <v>549</v>
      </c>
      <c r="I1182" s="39" t="s">
        <v>320</v>
      </c>
      <c r="J1182" s="43">
        <v>-52750</v>
      </c>
      <c r="K1182" s="43">
        <v>0</v>
      </c>
      <c r="L1182" s="43">
        <v>-52750</v>
      </c>
      <c r="M1182" s="44">
        <v>0</v>
      </c>
      <c r="N1182" s="44">
        <f t="shared" si="18"/>
        <v>-52750</v>
      </c>
      <c r="O1182" s="44">
        <v>-52750</v>
      </c>
      <c r="P1182" s="40" t="s">
        <v>6613</v>
      </c>
      <c r="Q1182" s="40" t="s">
        <v>6614</v>
      </c>
      <c r="R1182" s="40" t="s">
        <v>494</v>
      </c>
      <c r="S1182" s="40" t="s">
        <v>502</v>
      </c>
      <c r="T1182" s="40" t="s">
        <v>3715</v>
      </c>
      <c r="U1182" s="40" t="s">
        <v>1282</v>
      </c>
      <c r="V1182" s="40"/>
      <c r="W1182" s="40" t="s">
        <v>6615</v>
      </c>
    </row>
    <row r="1183" spans="1:23" ht="12" x14ac:dyDescent="0.2">
      <c r="A1183" s="39" t="s">
        <v>27</v>
      </c>
      <c r="B1183" s="40" t="s">
        <v>476</v>
      </c>
      <c r="C1183" s="40" t="s">
        <v>6616</v>
      </c>
      <c r="D1183" s="41">
        <v>46059</v>
      </c>
      <c r="E1183" s="41">
        <v>46089</v>
      </c>
      <c r="F1183" s="41">
        <v>46091</v>
      </c>
      <c r="G1183" s="42">
        <v>2</v>
      </c>
      <c r="H1183" s="40" t="s">
        <v>549</v>
      </c>
      <c r="I1183" s="39" t="s">
        <v>320</v>
      </c>
      <c r="J1183" s="43">
        <v>43695.54</v>
      </c>
      <c r="K1183" s="43">
        <v>0</v>
      </c>
      <c r="L1183" s="43">
        <v>43695.54</v>
      </c>
      <c r="M1183" s="44">
        <v>0</v>
      </c>
      <c r="N1183" s="44">
        <f t="shared" si="18"/>
        <v>43695.54</v>
      </c>
      <c r="O1183" s="44">
        <v>43695.54</v>
      </c>
      <c r="P1183" s="40" t="s">
        <v>1018</v>
      </c>
      <c r="Q1183" s="40" t="s">
        <v>1019</v>
      </c>
      <c r="R1183" s="40" t="s">
        <v>494</v>
      </c>
      <c r="S1183" s="40" t="s">
        <v>495</v>
      </c>
      <c r="T1183" s="40" t="s">
        <v>507</v>
      </c>
      <c r="U1183" s="40" t="s">
        <v>582</v>
      </c>
      <c r="V1183" s="40"/>
      <c r="W1183" s="40" t="s">
        <v>1020</v>
      </c>
    </row>
    <row r="1184" spans="1:23" ht="12" x14ac:dyDescent="0.2">
      <c r="A1184" s="39" t="s">
        <v>814</v>
      </c>
      <c r="B1184" s="40" t="s">
        <v>834</v>
      </c>
      <c r="C1184" s="40" t="s">
        <v>6617</v>
      </c>
      <c r="D1184" s="41">
        <v>46059</v>
      </c>
      <c r="E1184" s="41">
        <v>46089</v>
      </c>
      <c r="F1184" s="41">
        <v>46091</v>
      </c>
      <c r="G1184" s="42">
        <v>2</v>
      </c>
      <c r="H1184" s="40" t="s">
        <v>549</v>
      </c>
      <c r="I1184" s="39" t="s">
        <v>320</v>
      </c>
      <c r="J1184" s="43">
        <v>4789.21</v>
      </c>
      <c r="K1184" s="43">
        <v>0</v>
      </c>
      <c r="L1184" s="43">
        <v>4789.21</v>
      </c>
      <c r="M1184" s="44">
        <v>0</v>
      </c>
      <c r="N1184" s="44">
        <f t="shared" si="18"/>
        <v>4789.21</v>
      </c>
      <c r="O1184" s="44">
        <v>4789.21</v>
      </c>
      <c r="P1184" s="40" t="s">
        <v>6618</v>
      </c>
      <c r="Q1184" s="40" t="s">
        <v>6619</v>
      </c>
      <c r="R1184" s="40" t="s">
        <v>494</v>
      </c>
      <c r="S1184" s="40" t="s">
        <v>502</v>
      </c>
      <c r="T1184" s="40" t="s">
        <v>218</v>
      </c>
      <c r="U1184" s="40" t="s">
        <v>6620</v>
      </c>
      <c r="V1184" s="40"/>
      <c r="W1184" s="40" t="s">
        <v>6621</v>
      </c>
    </row>
    <row r="1185" spans="1:23" ht="12" x14ac:dyDescent="0.2">
      <c r="A1185" s="39" t="s">
        <v>6622</v>
      </c>
      <c r="B1185" s="40" t="s">
        <v>6623</v>
      </c>
      <c r="C1185" s="40" t="s">
        <v>6624</v>
      </c>
      <c r="D1185" s="41">
        <v>46061</v>
      </c>
      <c r="E1185" s="41">
        <v>46091</v>
      </c>
      <c r="F1185" s="41">
        <v>46091</v>
      </c>
      <c r="G1185" s="42">
        <v>0</v>
      </c>
      <c r="H1185" s="40" t="s">
        <v>556</v>
      </c>
      <c r="I1185" s="39" t="s">
        <v>320</v>
      </c>
      <c r="J1185" s="43">
        <v>21709.8</v>
      </c>
      <c r="K1185" s="43">
        <v>3618.3</v>
      </c>
      <c r="L1185" s="43">
        <v>21709.8</v>
      </c>
      <c r="M1185" s="44">
        <v>3618.3</v>
      </c>
      <c r="N1185" s="44">
        <f t="shared" si="18"/>
        <v>18091.5</v>
      </c>
      <c r="O1185" s="44">
        <v>21709.8</v>
      </c>
      <c r="P1185" s="40" t="s">
        <v>6625</v>
      </c>
      <c r="Q1185" s="40" t="s">
        <v>6626</v>
      </c>
      <c r="R1185" s="40" t="s">
        <v>494</v>
      </c>
      <c r="S1185" s="40" t="s">
        <v>502</v>
      </c>
      <c r="T1185" s="40" t="s">
        <v>163</v>
      </c>
      <c r="U1185" s="40" t="s">
        <v>2335</v>
      </c>
      <c r="V1185" s="40" t="s">
        <v>6627</v>
      </c>
      <c r="W1185" s="40"/>
    </row>
    <row r="1186" spans="1:23" ht="12" x14ac:dyDescent="0.2">
      <c r="A1186" s="39" t="s">
        <v>34</v>
      </c>
      <c r="B1186" s="40" t="s">
        <v>465</v>
      </c>
      <c r="C1186" s="40" t="s">
        <v>6628</v>
      </c>
      <c r="D1186" s="41">
        <v>46062</v>
      </c>
      <c r="E1186" s="41">
        <v>46092</v>
      </c>
      <c r="F1186" s="41">
        <v>46091</v>
      </c>
      <c r="G1186" s="42">
        <v>-1</v>
      </c>
      <c r="H1186" s="40" t="s">
        <v>556</v>
      </c>
      <c r="I1186" s="39" t="s">
        <v>320</v>
      </c>
      <c r="J1186" s="43">
        <v>153911.32999999999</v>
      </c>
      <c r="K1186" s="43">
        <v>0</v>
      </c>
      <c r="L1186" s="43">
        <v>153911.32999999999</v>
      </c>
      <c r="M1186" s="44">
        <v>0</v>
      </c>
      <c r="N1186" s="44">
        <f t="shared" si="18"/>
        <v>153911.32999999999</v>
      </c>
      <c r="O1186" s="44">
        <v>153911.32999999999</v>
      </c>
      <c r="P1186" s="40" t="s">
        <v>6629</v>
      </c>
      <c r="Q1186" s="40" t="s">
        <v>6630</v>
      </c>
      <c r="R1186" s="40" t="s">
        <v>494</v>
      </c>
      <c r="S1186" s="40" t="s">
        <v>502</v>
      </c>
      <c r="T1186" s="40" t="s">
        <v>221</v>
      </c>
      <c r="U1186" s="40" t="s">
        <v>3018</v>
      </c>
      <c r="V1186" s="40"/>
      <c r="W1186" s="40" t="s">
        <v>6631</v>
      </c>
    </row>
    <row r="1187" spans="1:23" ht="12" x14ac:dyDescent="0.2">
      <c r="A1187" s="39" t="s">
        <v>28</v>
      </c>
      <c r="B1187" s="40" t="s">
        <v>2578</v>
      </c>
      <c r="C1187" s="40" t="s">
        <v>6632</v>
      </c>
      <c r="D1187" s="41">
        <v>46062</v>
      </c>
      <c r="E1187" s="41">
        <v>46092</v>
      </c>
      <c r="F1187" s="41">
        <v>46091</v>
      </c>
      <c r="G1187" s="42">
        <v>-1</v>
      </c>
      <c r="H1187" s="40" t="s">
        <v>556</v>
      </c>
      <c r="I1187" s="39" t="s">
        <v>323</v>
      </c>
      <c r="J1187" s="43">
        <v>-43077.86</v>
      </c>
      <c r="K1187" s="43">
        <v>0</v>
      </c>
      <c r="L1187" s="43">
        <v>-43077.86</v>
      </c>
      <c r="M1187" s="44">
        <v>0</v>
      </c>
      <c r="N1187" s="44">
        <f t="shared" si="18"/>
        <v>-34462.29</v>
      </c>
      <c r="O1187" s="44">
        <v>-34462.29</v>
      </c>
      <c r="P1187" s="40" t="s">
        <v>3003</v>
      </c>
      <c r="Q1187" s="40" t="s">
        <v>3004</v>
      </c>
      <c r="R1187" s="40" t="s">
        <v>494</v>
      </c>
      <c r="S1187" s="40" t="s">
        <v>495</v>
      </c>
      <c r="T1187" s="40" t="s">
        <v>813</v>
      </c>
      <c r="U1187" s="40" t="s">
        <v>623</v>
      </c>
      <c r="V1187" s="40"/>
      <c r="W1187" s="40" t="s">
        <v>3005</v>
      </c>
    </row>
    <row r="1188" spans="1:23" ht="12" x14ac:dyDescent="0.2">
      <c r="A1188" s="39" t="s">
        <v>1402</v>
      </c>
      <c r="B1188" s="40" t="s">
        <v>1403</v>
      </c>
      <c r="C1188" s="40" t="s">
        <v>6633</v>
      </c>
      <c r="D1188" s="41">
        <v>46062</v>
      </c>
      <c r="E1188" s="41">
        <v>46092</v>
      </c>
      <c r="F1188" s="41">
        <v>46091</v>
      </c>
      <c r="G1188" s="42">
        <v>-1</v>
      </c>
      <c r="H1188" s="40" t="s">
        <v>556</v>
      </c>
      <c r="I1188" s="39" t="s">
        <v>323</v>
      </c>
      <c r="J1188" s="43">
        <v>85122.89</v>
      </c>
      <c r="K1188" s="43">
        <v>0</v>
      </c>
      <c r="L1188" s="43">
        <v>85122.89</v>
      </c>
      <c r="M1188" s="44">
        <v>0</v>
      </c>
      <c r="N1188" s="44">
        <f t="shared" si="18"/>
        <v>63053.99</v>
      </c>
      <c r="O1188" s="44">
        <v>63053.99</v>
      </c>
      <c r="P1188" s="40" t="s">
        <v>3181</v>
      </c>
      <c r="Q1188" s="40" t="s">
        <v>3182</v>
      </c>
      <c r="R1188" s="40" t="s">
        <v>494</v>
      </c>
      <c r="S1188" s="40" t="s">
        <v>502</v>
      </c>
      <c r="T1188" s="40" t="s">
        <v>176</v>
      </c>
      <c r="U1188" s="40" t="s">
        <v>1259</v>
      </c>
      <c r="V1188" s="40"/>
      <c r="W1188" s="40" t="s">
        <v>6634</v>
      </c>
    </row>
    <row r="1189" spans="1:23" ht="12" x14ac:dyDescent="0.2">
      <c r="A1189" s="39" t="s">
        <v>48</v>
      </c>
      <c r="B1189" s="40" t="s">
        <v>389</v>
      </c>
      <c r="C1189" s="40" t="s">
        <v>6635</v>
      </c>
      <c r="D1189" s="41">
        <v>46062</v>
      </c>
      <c r="E1189" s="41">
        <v>46092</v>
      </c>
      <c r="F1189" s="41">
        <v>46091</v>
      </c>
      <c r="G1189" s="42">
        <v>-1</v>
      </c>
      <c r="H1189" s="40" t="s">
        <v>556</v>
      </c>
      <c r="I1189" s="39" t="s">
        <v>320</v>
      </c>
      <c r="J1189" s="43">
        <v>529000</v>
      </c>
      <c r="K1189" s="43">
        <v>0</v>
      </c>
      <c r="L1189" s="43">
        <v>529000</v>
      </c>
      <c r="M1189" s="44">
        <v>0</v>
      </c>
      <c r="N1189" s="44">
        <f t="shared" si="18"/>
        <v>529000</v>
      </c>
      <c r="O1189" s="44">
        <v>529000</v>
      </c>
      <c r="P1189" s="40" t="s">
        <v>6636</v>
      </c>
      <c r="Q1189" s="40" t="s">
        <v>6637</v>
      </c>
      <c r="R1189" s="40" t="s">
        <v>494</v>
      </c>
      <c r="S1189" s="40" t="s">
        <v>502</v>
      </c>
      <c r="T1189" s="40" t="s">
        <v>330</v>
      </c>
      <c r="U1189" s="40" t="s">
        <v>6638</v>
      </c>
      <c r="V1189" s="40"/>
      <c r="W1189" s="40" t="s">
        <v>6639</v>
      </c>
    </row>
    <row r="1190" spans="1:23" ht="12" x14ac:dyDescent="0.2">
      <c r="A1190" s="39" t="s">
        <v>6640</v>
      </c>
      <c r="B1190" s="40" t="s">
        <v>6641</v>
      </c>
      <c r="C1190" s="40" t="s">
        <v>6642</v>
      </c>
      <c r="D1190" s="41">
        <v>46062</v>
      </c>
      <c r="E1190" s="41">
        <v>46092</v>
      </c>
      <c r="F1190" s="41">
        <v>46091</v>
      </c>
      <c r="G1190" s="42">
        <v>-1</v>
      </c>
      <c r="H1190" s="40" t="s">
        <v>556</v>
      </c>
      <c r="I1190" s="39" t="s">
        <v>320</v>
      </c>
      <c r="J1190" s="43">
        <v>-3205.15</v>
      </c>
      <c r="K1190" s="43">
        <v>0</v>
      </c>
      <c r="L1190" s="43">
        <v>-3205.15</v>
      </c>
      <c r="M1190" s="44">
        <v>0</v>
      </c>
      <c r="N1190" s="44">
        <f t="shared" si="18"/>
        <v>-3205.15</v>
      </c>
      <c r="O1190" s="44">
        <v>-3205.15</v>
      </c>
      <c r="P1190" s="40" t="s">
        <v>6643</v>
      </c>
      <c r="Q1190" s="40" t="s">
        <v>6640</v>
      </c>
      <c r="R1190" s="40" t="s">
        <v>494</v>
      </c>
      <c r="S1190" s="40" t="s">
        <v>502</v>
      </c>
      <c r="T1190" s="40" t="s">
        <v>289</v>
      </c>
      <c r="U1190" s="40" t="s">
        <v>3463</v>
      </c>
      <c r="V1190" s="40" t="s">
        <v>6644</v>
      </c>
      <c r="W1190" s="40" t="s">
        <v>6645</v>
      </c>
    </row>
    <row r="1191" spans="1:23" ht="12" x14ac:dyDescent="0.2">
      <c r="A1191" s="39" t="s">
        <v>467</v>
      </c>
      <c r="B1191" s="40" t="s">
        <v>466</v>
      </c>
      <c r="C1191" s="40" t="s">
        <v>6646</v>
      </c>
      <c r="D1191" s="41">
        <v>46062</v>
      </c>
      <c r="E1191" s="41">
        <v>46092</v>
      </c>
      <c r="F1191" s="41">
        <v>46091</v>
      </c>
      <c r="G1191" s="42">
        <v>-1</v>
      </c>
      <c r="H1191" s="40" t="s">
        <v>556</v>
      </c>
      <c r="I1191" s="39" t="s">
        <v>320</v>
      </c>
      <c r="J1191" s="43">
        <v>51343.360000000001</v>
      </c>
      <c r="K1191" s="43">
        <v>0</v>
      </c>
      <c r="L1191" s="43">
        <v>51343.360000000001</v>
      </c>
      <c r="M1191" s="44">
        <v>0</v>
      </c>
      <c r="N1191" s="44">
        <f t="shared" si="18"/>
        <v>51343.360000000001</v>
      </c>
      <c r="O1191" s="44">
        <v>51343.360000000001</v>
      </c>
      <c r="P1191" s="40" t="s">
        <v>1295</v>
      </c>
      <c r="Q1191" s="40" t="s">
        <v>1296</v>
      </c>
      <c r="R1191" s="40" t="s">
        <v>494</v>
      </c>
      <c r="S1191" s="40" t="s">
        <v>502</v>
      </c>
      <c r="T1191" s="40" t="s">
        <v>178</v>
      </c>
      <c r="U1191" s="40" t="s">
        <v>568</v>
      </c>
      <c r="V1191" s="40" t="s">
        <v>6647</v>
      </c>
      <c r="W1191" s="40" t="s">
        <v>1297</v>
      </c>
    </row>
    <row r="1192" spans="1:23" ht="12" x14ac:dyDescent="0.2">
      <c r="A1192" s="39" t="s">
        <v>6648</v>
      </c>
      <c r="B1192" s="40" t="s">
        <v>6649</v>
      </c>
      <c r="C1192" s="40" t="s">
        <v>6650</v>
      </c>
      <c r="D1192" s="41">
        <v>46062</v>
      </c>
      <c r="E1192" s="41">
        <v>46092</v>
      </c>
      <c r="F1192" s="41">
        <v>46091</v>
      </c>
      <c r="G1192" s="42">
        <v>-1</v>
      </c>
      <c r="H1192" s="40" t="s">
        <v>556</v>
      </c>
      <c r="I1192" s="39" t="s">
        <v>320</v>
      </c>
      <c r="J1192" s="43">
        <v>-18619</v>
      </c>
      <c r="K1192" s="43">
        <v>0</v>
      </c>
      <c r="L1192" s="43">
        <v>-18619</v>
      </c>
      <c r="M1192" s="44">
        <v>0</v>
      </c>
      <c r="N1192" s="44">
        <f t="shared" si="18"/>
        <v>-18619</v>
      </c>
      <c r="O1192" s="44">
        <v>-18619</v>
      </c>
      <c r="P1192" s="40" t="s">
        <v>6651</v>
      </c>
      <c r="Q1192" s="40" t="s">
        <v>6652</v>
      </c>
      <c r="R1192" s="40" t="s">
        <v>494</v>
      </c>
      <c r="S1192" s="40" t="s">
        <v>495</v>
      </c>
      <c r="T1192" s="40" t="s">
        <v>309</v>
      </c>
      <c r="U1192" s="40" t="s">
        <v>6653</v>
      </c>
      <c r="V1192" s="40" t="s">
        <v>4017</v>
      </c>
      <c r="W1192" s="40" t="s">
        <v>6654</v>
      </c>
    </row>
    <row r="1193" spans="1:23" ht="12" x14ac:dyDescent="0.2">
      <c r="A1193" s="39" t="s">
        <v>47</v>
      </c>
      <c r="B1193" s="40" t="s">
        <v>1222</v>
      </c>
      <c r="C1193" s="40" t="s">
        <v>6655</v>
      </c>
      <c r="D1193" s="41">
        <v>46062</v>
      </c>
      <c r="E1193" s="41">
        <v>46092</v>
      </c>
      <c r="F1193" s="41">
        <v>46091</v>
      </c>
      <c r="G1193" s="42">
        <v>-1</v>
      </c>
      <c r="H1193" s="40" t="s">
        <v>556</v>
      </c>
      <c r="I1193" s="39" t="s">
        <v>320</v>
      </c>
      <c r="J1193" s="43">
        <v>28825.78</v>
      </c>
      <c r="K1193" s="43">
        <v>0</v>
      </c>
      <c r="L1193" s="43">
        <v>28825.78</v>
      </c>
      <c r="M1193" s="44">
        <v>0</v>
      </c>
      <c r="N1193" s="44">
        <f t="shared" si="18"/>
        <v>28825.78</v>
      </c>
      <c r="O1193" s="44">
        <v>28825.78</v>
      </c>
      <c r="P1193" s="40" t="s">
        <v>6656</v>
      </c>
      <c r="Q1193" s="40" t="s">
        <v>6657</v>
      </c>
      <c r="R1193" s="40" t="s">
        <v>494</v>
      </c>
      <c r="S1193" s="40" t="s">
        <v>502</v>
      </c>
      <c r="T1193" s="40" t="s">
        <v>218</v>
      </c>
      <c r="U1193" s="40" t="s">
        <v>1751</v>
      </c>
      <c r="V1193" s="40"/>
      <c r="W1193" s="40" t="s">
        <v>6658</v>
      </c>
    </row>
    <row r="1194" spans="1:23" ht="12" x14ac:dyDescent="0.2">
      <c r="A1194" s="39" t="s">
        <v>45</v>
      </c>
      <c r="B1194" s="40" t="s">
        <v>6659</v>
      </c>
      <c r="C1194" s="40" t="s">
        <v>6660</v>
      </c>
      <c r="D1194" s="41">
        <v>46062</v>
      </c>
      <c r="E1194" s="41">
        <v>46092</v>
      </c>
      <c r="F1194" s="41">
        <v>46091</v>
      </c>
      <c r="G1194" s="42">
        <v>-1</v>
      </c>
      <c r="H1194" s="40" t="s">
        <v>556</v>
      </c>
      <c r="I1194" s="39" t="s">
        <v>320</v>
      </c>
      <c r="J1194" s="43">
        <v>9330.58</v>
      </c>
      <c r="K1194" s="43">
        <v>0</v>
      </c>
      <c r="L1194" s="43">
        <v>8834.99</v>
      </c>
      <c r="M1194" s="44">
        <v>0</v>
      </c>
      <c r="N1194" s="44">
        <f t="shared" si="18"/>
        <v>8834.99</v>
      </c>
      <c r="O1194" s="44">
        <v>8834.99</v>
      </c>
      <c r="P1194" s="40" t="s">
        <v>6661</v>
      </c>
      <c r="Q1194" s="40" t="s">
        <v>6662</v>
      </c>
      <c r="R1194" s="40" t="s">
        <v>494</v>
      </c>
      <c r="S1194" s="40" t="s">
        <v>502</v>
      </c>
      <c r="T1194" s="40" t="s">
        <v>330</v>
      </c>
      <c r="U1194" s="40" t="s">
        <v>6663</v>
      </c>
      <c r="V1194" s="40"/>
      <c r="W1194" s="40"/>
    </row>
    <row r="1195" spans="1:23" ht="12" x14ac:dyDescent="0.2">
      <c r="A1195" s="39" t="s">
        <v>1718</v>
      </c>
      <c r="B1195" s="40" t="s">
        <v>1394</v>
      </c>
      <c r="C1195" s="40" t="s">
        <v>6664</v>
      </c>
      <c r="D1195" s="41">
        <v>46062</v>
      </c>
      <c r="E1195" s="41">
        <v>46092</v>
      </c>
      <c r="F1195" s="41">
        <v>46091</v>
      </c>
      <c r="G1195" s="42">
        <v>-1</v>
      </c>
      <c r="H1195" s="40" t="s">
        <v>556</v>
      </c>
      <c r="I1195" s="39" t="s">
        <v>323</v>
      </c>
      <c r="J1195" s="43">
        <v>27327.18</v>
      </c>
      <c r="K1195" s="43">
        <v>0</v>
      </c>
      <c r="L1195" s="43">
        <v>27327.18</v>
      </c>
      <c r="M1195" s="44">
        <v>0</v>
      </c>
      <c r="N1195" s="44">
        <f t="shared" si="18"/>
        <v>18846.330000000002</v>
      </c>
      <c r="O1195" s="44">
        <v>18846.330000000002</v>
      </c>
      <c r="P1195" s="40" t="s">
        <v>6665</v>
      </c>
      <c r="Q1195" s="40" t="s">
        <v>6666</v>
      </c>
      <c r="R1195" s="40" t="s">
        <v>494</v>
      </c>
      <c r="S1195" s="40" t="s">
        <v>495</v>
      </c>
      <c r="T1195" s="40" t="s">
        <v>178</v>
      </c>
      <c r="U1195" s="40" t="s">
        <v>4624</v>
      </c>
      <c r="V1195" s="40"/>
      <c r="W1195" s="40" t="s">
        <v>6667</v>
      </c>
    </row>
    <row r="1196" spans="1:23" ht="12" x14ac:dyDescent="0.2">
      <c r="A1196" s="39" t="s">
        <v>26</v>
      </c>
      <c r="B1196" s="40" t="s">
        <v>457</v>
      </c>
      <c r="C1196" s="40" t="s">
        <v>6668</v>
      </c>
      <c r="D1196" s="41">
        <v>46062</v>
      </c>
      <c r="E1196" s="41">
        <v>46092</v>
      </c>
      <c r="F1196" s="41">
        <v>46091</v>
      </c>
      <c r="G1196" s="42">
        <v>-1</v>
      </c>
      <c r="H1196" s="40" t="s">
        <v>556</v>
      </c>
      <c r="I1196" s="39" t="s">
        <v>320</v>
      </c>
      <c r="J1196" s="43">
        <v>18961.61</v>
      </c>
      <c r="K1196" s="43">
        <v>0</v>
      </c>
      <c r="L1196" s="43">
        <v>18961.61</v>
      </c>
      <c r="M1196" s="44">
        <v>0</v>
      </c>
      <c r="N1196" s="44">
        <f t="shared" si="18"/>
        <v>18961.61</v>
      </c>
      <c r="O1196" s="44">
        <v>18961.61</v>
      </c>
      <c r="P1196" s="40" t="s">
        <v>6669</v>
      </c>
      <c r="Q1196" s="40" t="s">
        <v>6670</v>
      </c>
      <c r="R1196" s="40" t="s">
        <v>494</v>
      </c>
      <c r="S1196" s="40" t="s">
        <v>502</v>
      </c>
      <c r="T1196" s="40" t="s">
        <v>178</v>
      </c>
      <c r="U1196" s="40" t="s">
        <v>615</v>
      </c>
      <c r="V1196" s="40"/>
      <c r="W1196" s="40" t="s">
        <v>6671</v>
      </c>
    </row>
    <row r="1197" spans="1:23" ht="12" x14ac:dyDescent="0.2">
      <c r="A1197" s="39" t="s">
        <v>337</v>
      </c>
      <c r="B1197" s="40" t="s">
        <v>336</v>
      </c>
      <c r="C1197" s="40" t="s">
        <v>6672</v>
      </c>
      <c r="D1197" s="41">
        <v>46062</v>
      </c>
      <c r="E1197" s="41">
        <v>46092</v>
      </c>
      <c r="F1197" s="41">
        <v>46091</v>
      </c>
      <c r="G1197" s="42">
        <v>-1</v>
      </c>
      <c r="H1197" s="40" t="s">
        <v>556</v>
      </c>
      <c r="I1197" s="39" t="s">
        <v>320</v>
      </c>
      <c r="J1197" s="43">
        <v>104475.4</v>
      </c>
      <c r="K1197" s="43">
        <v>0</v>
      </c>
      <c r="L1197" s="43">
        <v>104475.4</v>
      </c>
      <c r="M1197" s="44">
        <v>0</v>
      </c>
      <c r="N1197" s="44">
        <f t="shared" si="18"/>
        <v>104475.4</v>
      </c>
      <c r="O1197" s="44">
        <v>104475.4</v>
      </c>
      <c r="P1197" s="40" t="s">
        <v>1005</v>
      </c>
      <c r="Q1197" s="40" t="s">
        <v>1006</v>
      </c>
      <c r="R1197" s="40" t="s">
        <v>494</v>
      </c>
      <c r="S1197" s="40" t="s">
        <v>502</v>
      </c>
      <c r="T1197" s="40" t="s">
        <v>289</v>
      </c>
      <c r="U1197" s="40" t="s">
        <v>571</v>
      </c>
      <c r="V1197" s="40"/>
      <c r="W1197" s="40" t="s">
        <v>1007</v>
      </c>
    </row>
    <row r="1198" spans="1:23" ht="12" x14ac:dyDescent="0.2">
      <c r="A1198" s="39" t="s">
        <v>16</v>
      </c>
      <c r="B1198" s="40" t="s">
        <v>414</v>
      </c>
      <c r="C1198" s="40" t="s">
        <v>6673</v>
      </c>
      <c r="D1198" s="41">
        <v>46062</v>
      </c>
      <c r="E1198" s="41">
        <v>46092</v>
      </c>
      <c r="F1198" s="41">
        <v>46091</v>
      </c>
      <c r="G1198" s="42">
        <v>-1</v>
      </c>
      <c r="H1198" s="40" t="s">
        <v>556</v>
      </c>
      <c r="I1198" s="39" t="s">
        <v>320</v>
      </c>
      <c r="J1198" s="43">
        <v>60194.76</v>
      </c>
      <c r="K1198" s="43">
        <v>10032.459999999999</v>
      </c>
      <c r="L1198" s="43">
        <v>60194.76</v>
      </c>
      <c r="M1198" s="44">
        <v>10032.459999999999</v>
      </c>
      <c r="N1198" s="44">
        <f t="shared" si="18"/>
        <v>50162.3</v>
      </c>
      <c r="O1198" s="44">
        <v>60194.76</v>
      </c>
      <c r="P1198" s="40" t="s">
        <v>1834</v>
      </c>
      <c r="Q1198" s="40" t="s">
        <v>6674</v>
      </c>
      <c r="R1198" s="40" t="s">
        <v>494</v>
      </c>
      <c r="S1198" s="40" t="s">
        <v>502</v>
      </c>
      <c r="T1198" s="40" t="s">
        <v>330</v>
      </c>
      <c r="U1198" s="40" t="s">
        <v>633</v>
      </c>
      <c r="V1198" s="40"/>
      <c r="W1198" s="40" t="s">
        <v>6675</v>
      </c>
    </row>
    <row r="1199" spans="1:23" ht="12" x14ac:dyDescent="0.2">
      <c r="A1199" s="39" t="s">
        <v>442</v>
      </c>
      <c r="B1199" s="40" t="s">
        <v>441</v>
      </c>
      <c r="C1199" s="40" t="s">
        <v>6676</v>
      </c>
      <c r="D1199" s="41">
        <v>46063</v>
      </c>
      <c r="E1199" s="41">
        <v>46093</v>
      </c>
      <c r="F1199" s="41">
        <v>46091</v>
      </c>
      <c r="G1199" s="42">
        <v>-2</v>
      </c>
      <c r="H1199" s="40" t="s">
        <v>556</v>
      </c>
      <c r="I1199" s="39" t="s">
        <v>320</v>
      </c>
      <c r="J1199" s="43">
        <v>11000</v>
      </c>
      <c r="K1199" s="43">
        <v>0</v>
      </c>
      <c r="L1199" s="43">
        <v>11000</v>
      </c>
      <c r="M1199" s="44">
        <v>0</v>
      </c>
      <c r="N1199" s="44">
        <f t="shared" si="18"/>
        <v>11000</v>
      </c>
      <c r="O1199" s="44">
        <v>11000</v>
      </c>
      <c r="P1199" s="40" t="s">
        <v>6677</v>
      </c>
      <c r="Q1199" s="40" t="s">
        <v>6678</v>
      </c>
      <c r="R1199" s="40" t="s">
        <v>494</v>
      </c>
      <c r="S1199" s="40" t="s">
        <v>502</v>
      </c>
      <c r="T1199" s="40" t="s">
        <v>218</v>
      </c>
      <c r="U1199" s="40" t="s">
        <v>6679</v>
      </c>
      <c r="V1199" s="40"/>
      <c r="W1199" s="40" t="s">
        <v>6680</v>
      </c>
    </row>
    <row r="1200" spans="1:23" ht="12" x14ac:dyDescent="0.2">
      <c r="A1200" s="39" t="s">
        <v>27</v>
      </c>
      <c r="B1200" s="40" t="s">
        <v>476</v>
      </c>
      <c r="C1200" s="40" t="s">
        <v>6681</v>
      </c>
      <c r="D1200" s="41">
        <v>46063</v>
      </c>
      <c r="E1200" s="41">
        <v>46093</v>
      </c>
      <c r="F1200" s="41">
        <v>46091</v>
      </c>
      <c r="G1200" s="42">
        <v>-2</v>
      </c>
      <c r="H1200" s="40" t="s">
        <v>556</v>
      </c>
      <c r="I1200" s="39" t="s">
        <v>320</v>
      </c>
      <c r="J1200" s="43">
        <v>21820.83</v>
      </c>
      <c r="K1200" s="43">
        <v>0</v>
      </c>
      <c r="L1200" s="43">
        <v>21820.83</v>
      </c>
      <c r="M1200" s="44">
        <v>0</v>
      </c>
      <c r="N1200" s="44">
        <f t="shared" si="18"/>
        <v>21820.83</v>
      </c>
      <c r="O1200" s="44">
        <v>21820.83</v>
      </c>
      <c r="P1200" s="40" t="s">
        <v>6682</v>
      </c>
      <c r="Q1200" s="40" t="s">
        <v>6683</v>
      </c>
      <c r="R1200" s="40" t="s">
        <v>494</v>
      </c>
      <c r="S1200" s="40" t="s">
        <v>495</v>
      </c>
      <c r="T1200" s="40" t="s">
        <v>178</v>
      </c>
      <c r="U1200" s="40" t="s">
        <v>601</v>
      </c>
      <c r="V1200" s="40"/>
      <c r="W1200" s="40" t="s">
        <v>6684</v>
      </c>
    </row>
    <row r="1201" spans="1:23" ht="12" x14ac:dyDescent="0.2">
      <c r="A1201" s="39" t="s">
        <v>37</v>
      </c>
      <c r="B1201" s="40" t="s">
        <v>452</v>
      </c>
      <c r="C1201" s="40" t="s">
        <v>6685</v>
      </c>
      <c r="D1201" s="41">
        <v>46063</v>
      </c>
      <c r="E1201" s="41">
        <v>46093</v>
      </c>
      <c r="F1201" s="41">
        <v>46091</v>
      </c>
      <c r="G1201" s="42">
        <v>-2</v>
      </c>
      <c r="H1201" s="40" t="s">
        <v>556</v>
      </c>
      <c r="I1201" s="39" t="s">
        <v>320</v>
      </c>
      <c r="J1201" s="43">
        <v>2194.23</v>
      </c>
      <c r="K1201" s="43">
        <v>0</v>
      </c>
      <c r="L1201" s="43">
        <v>2194.23</v>
      </c>
      <c r="M1201" s="44">
        <v>0</v>
      </c>
      <c r="N1201" s="44">
        <f t="shared" si="18"/>
        <v>2194.23</v>
      </c>
      <c r="O1201" s="44">
        <v>2194.23</v>
      </c>
      <c r="P1201" s="40" t="s">
        <v>6686</v>
      </c>
      <c r="Q1201" s="40" t="s">
        <v>6687</v>
      </c>
      <c r="R1201" s="40" t="s">
        <v>494</v>
      </c>
      <c r="S1201" s="40" t="s">
        <v>502</v>
      </c>
      <c r="T1201" s="40" t="s">
        <v>343</v>
      </c>
      <c r="U1201" s="40" t="s">
        <v>1324</v>
      </c>
      <c r="V1201" s="40"/>
      <c r="W1201" s="40" t="s">
        <v>6688</v>
      </c>
    </row>
    <row r="1202" spans="1:23" ht="12" x14ac:dyDescent="0.2">
      <c r="A1202" s="39" t="s">
        <v>442</v>
      </c>
      <c r="B1202" s="40" t="s">
        <v>441</v>
      </c>
      <c r="C1202" s="40" t="s">
        <v>6689</v>
      </c>
      <c r="D1202" s="41">
        <v>46063</v>
      </c>
      <c r="E1202" s="41">
        <v>46093</v>
      </c>
      <c r="F1202" s="41">
        <v>46091</v>
      </c>
      <c r="G1202" s="42">
        <v>-2</v>
      </c>
      <c r="H1202" s="40" t="s">
        <v>556</v>
      </c>
      <c r="I1202" s="39" t="s">
        <v>320</v>
      </c>
      <c r="J1202" s="43">
        <v>-8168.58</v>
      </c>
      <c r="K1202" s="43">
        <v>0</v>
      </c>
      <c r="L1202" s="43">
        <v>-8168.58</v>
      </c>
      <c r="M1202" s="44">
        <v>0</v>
      </c>
      <c r="N1202" s="44">
        <f t="shared" si="18"/>
        <v>-8168.58</v>
      </c>
      <c r="O1202" s="44">
        <v>-8168.58</v>
      </c>
      <c r="P1202" s="40" t="s">
        <v>6690</v>
      </c>
      <c r="Q1202" s="40" t="s">
        <v>6691</v>
      </c>
      <c r="R1202" s="40" t="s">
        <v>494</v>
      </c>
      <c r="S1202" s="40" t="s">
        <v>495</v>
      </c>
      <c r="T1202" s="40" t="s">
        <v>222</v>
      </c>
      <c r="U1202" s="40" t="s">
        <v>6692</v>
      </c>
      <c r="V1202" s="40"/>
      <c r="W1202" s="40" t="s">
        <v>6693</v>
      </c>
    </row>
    <row r="1203" spans="1:23" ht="12" x14ac:dyDescent="0.2">
      <c r="A1203" s="39" t="s">
        <v>2023</v>
      </c>
      <c r="B1203" s="40" t="s">
        <v>2024</v>
      </c>
      <c r="C1203" s="40" t="s">
        <v>6694</v>
      </c>
      <c r="D1203" s="41">
        <v>46063</v>
      </c>
      <c r="E1203" s="41">
        <v>46093</v>
      </c>
      <c r="F1203" s="41">
        <v>46091</v>
      </c>
      <c r="G1203" s="42">
        <v>-2</v>
      </c>
      <c r="H1203" s="40" t="s">
        <v>556</v>
      </c>
      <c r="I1203" s="39" t="s">
        <v>320</v>
      </c>
      <c r="J1203" s="43">
        <v>35303.599999999999</v>
      </c>
      <c r="K1203" s="43">
        <v>0</v>
      </c>
      <c r="L1203" s="43">
        <v>35303.599999999999</v>
      </c>
      <c r="M1203" s="44">
        <v>0</v>
      </c>
      <c r="N1203" s="44">
        <f t="shared" si="18"/>
        <v>35303.599999999999</v>
      </c>
      <c r="O1203" s="44">
        <v>35303.599999999999</v>
      </c>
      <c r="P1203" s="40" t="s">
        <v>6695</v>
      </c>
      <c r="Q1203" s="40" t="s">
        <v>6696</v>
      </c>
      <c r="R1203" s="40" t="s">
        <v>494</v>
      </c>
      <c r="S1203" s="40" t="s">
        <v>495</v>
      </c>
      <c r="T1203" s="40" t="s">
        <v>169</v>
      </c>
      <c r="U1203" s="40" t="s">
        <v>6697</v>
      </c>
      <c r="V1203" s="40"/>
      <c r="W1203" s="40" t="s">
        <v>6698</v>
      </c>
    </row>
    <row r="1204" spans="1:23" ht="12" x14ac:dyDescent="0.2">
      <c r="A1204" s="39" t="s">
        <v>335</v>
      </c>
      <c r="B1204" s="40" t="s">
        <v>334</v>
      </c>
      <c r="C1204" s="40" t="s">
        <v>6699</v>
      </c>
      <c r="D1204" s="41">
        <v>46063</v>
      </c>
      <c r="E1204" s="41">
        <v>46093</v>
      </c>
      <c r="F1204" s="41">
        <v>46091</v>
      </c>
      <c r="G1204" s="42">
        <v>-2</v>
      </c>
      <c r="H1204" s="40" t="s">
        <v>556</v>
      </c>
      <c r="I1204" s="39" t="s">
        <v>320</v>
      </c>
      <c r="J1204" s="43">
        <v>78462.039999999994</v>
      </c>
      <c r="K1204" s="43">
        <v>0</v>
      </c>
      <c r="L1204" s="43">
        <v>78462.039999999994</v>
      </c>
      <c r="M1204" s="44">
        <v>0</v>
      </c>
      <c r="N1204" s="44">
        <f t="shared" si="18"/>
        <v>78462.039999999994</v>
      </c>
      <c r="O1204" s="44">
        <v>78462.039999999994</v>
      </c>
      <c r="P1204" s="40" t="s">
        <v>6700</v>
      </c>
      <c r="Q1204" s="40" t="s">
        <v>6701</v>
      </c>
      <c r="R1204" s="40" t="s">
        <v>494</v>
      </c>
      <c r="S1204" s="40" t="s">
        <v>495</v>
      </c>
      <c r="T1204" s="40" t="s">
        <v>214</v>
      </c>
      <c r="U1204" s="40" t="s">
        <v>6702</v>
      </c>
      <c r="V1204" s="40"/>
      <c r="W1204" s="40" t="s">
        <v>6703</v>
      </c>
    </row>
    <row r="1205" spans="1:23" ht="12" x14ac:dyDescent="0.2">
      <c r="A1205" s="39" t="s">
        <v>1164</v>
      </c>
      <c r="B1205" s="40" t="s">
        <v>1165</v>
      </c>
      <c r="C1205" s="40" t="s">
        <v>6704</v>
      </c>
      <c r="D1205" s="41">
        <v>46063</v>
      </c>
      <c r="E1205" s="41">
        <v>46093</v>
      </c>
      <c r="F1205" s="41">
        <v>46091</v>
      </c>
      <c r="G1205" s="42">
        <v>-2</v>
      </c>
      <c r="H1205" s="40" t="s">
        <v>556</v>
      </c>
      <c r="I1205" s="39" t="s">
        <v>320</v>
      </c>
      <c r="J1205" s="43">
        <v>32242.48</v>
      </c>
      <c r="K1205" s="43">
        <v>0</v>
      </c>
      <c r="L1205" s="43">
        <v>32242.48</v>
      </c>
      <c r="M1205" s="44">
        <v>0</v>
      </c>
      <c r="N1205" s="44">
        <f t="shared" si="18"/>
        <v>32242.48</v>
      </c>
      <c r="O1205" s="44">
        <v>32242.48</v>
      </c>
      <c r="P1205" s="40" t="s">
        <v>6705</v>
      </c>
      <c r="Q1205" s="40" t="s">
        <v>6706</v>
      </c>
      <c r="R1205" s="40" t="s">
        <v>494</v>
      </c>
      <c r="S1205" s="40" t="s">
        <v>495</v>
      </c>
      <c r="T1205" s="40" t="s">
        <v>204</v>
      </c>
      <c r="U1205" s="40" t="s">
        <v>3506</v>
      </c>
      <c r="V1205" s="40"/>
      <c r="W1205" s="40" t="s">
        <v>6707</v>
      </c>
    </row>
    <row r="1206" spans="1:23" ht="12" x14ac:dyDescent="0.2">
      <c r="A1206" s="39" t="s">
        <v>2178</v>
      </c>
      <c r="B1206" s="40" t="s">
        <v>2179</v>
      </c>
      <c r="C1206" s="40" t="s">
        <v>6708</v>
      </c>
      <c r="D1206" s="41">
        <v>46063</v>
      </c>
      <c r="E1206" s="41">
        <v>46093</v>
      </c>
      <c r="F1206" s="41">
        <v>46091</v>
      </c>
      <c r="G1206" s="42">
        <v>-2</v>
      </c>
      <c r="H1206" s="40" t="s">
        <v>556</v>
      </c>
      <c r="I1206" s="39" t="s">
        <v>320</v>
      </c>
      <c r="J1206" s="43">
        <v>-65</v>
      </c>
      <c r="K1206" s="43">
        <v>0</v>
      </c>
      <c r="L1206" s="43">
        <v>-65</v>
      </c>
      <c r="M1206" s="44">
        <v>0</v>
      </c>
      <c r="N1206" s="44">
        <f t="shared" si="18"/>
        <v>-65</v>
      </c>
      <c r="O1206" s="44">
        <v>-65</v>
      </c>
      <c r="P1206" s="40" t="s">
        <v>2337</v>
      </c>
      <c r="Q1206" s="40" t="s">
        <v>2338</v>
      </c>
      <c r="R1206" s="40" t="s">
        <v>494</v>
      </c>
      <c r="S1206" s="40" t="s">
        <v>502</v>
      </c>
      <c r="T1206" s="40" t="s">
        <v>538</v>
      </c>
      <c r="U1206" s="40" t="s">
        <v>2339</v>
      </c>
      <c r="V1206" s="40"/>
      <c r="W1206" s="40" t="s">
        <v>2340</v>
      </c>
    </row>
    <row r="1207" spans="1:23" ht="12" x14ac:dyDescent="0.2">
      <c r="A1207" s="39" t="s">
        <v>2219</v>
      </c>
      <c r="B1207" s="40" t="s">
        <v>2220</v>
      </c>
      <c r="C1207" s="40" t="s">
        <v>6709</v>
      </c>
      <c r="D1207" s="41">
        <v>46064</v>
      </c>
      <c r="E1207" s="41">
        <v>46094</v>
      </c>
      <c r="F1207" s="41">
        <v>46091</v>
      </c>
      <c r="G1207" s="42">
        <v>-3</v>
      </c>
      <c r="H1207" s="40" t="s">
        <v>556</v>
      </c>
      <c r="I1207" s="39" t="s">
        <v>341</v>
      </c>
      <c r="J1207" s="43">
        <v>2925</v>
      </c>
      <c r="K1207" s="43">
        <v>0</v>
      </c>
      <c r="L1207" s="43">
        <v>340.42</v>
      </c>
      <c r="M1207" s="44">
        <v>0</v>
      </c>
      <c r="N1207" s="44">
        <f t="shared" si="18"/>
        <v>261.86</v>
      </c>
      <c r="O1207" s="44">
        <v>261.86</v>
      </c>
      <c r="P1207" s="40" t="s">
        <v>6710</v>
      </c>
      <c r="Q1207" s="40" t="s">
        <v>6711</v>
      </c>
      <c r="R1207" s="40" t="s">
        <v>494</v>
      </c>
      <c r="S1207" s="40" t="s">
        <v>502</v>
      </c>
      <c r="T1207" s="40" t="s">
        <v>508</v>
      </c>
      <c r="U1207" s="40" t="s">
        <v>6712</v>
      </c>
      <c r="V1207" s="40" t="s">
        <v>6713</v>
      </c>
      <c r="W1207" s="40" t="s">
        <v>321</v>
      </c>
    </row>
    <row r="1208" spans="1:23" ht="12" x14ac:dyDescent="0.2">
      <c r="A1208" s="39" t="s">
        <v>337</v>
      </c>
      <c r="B1208" s="40" t="s">
        <v>336</v>
      </c>
      <c r="C1208" s="40" t="s">
        <v>6714</v>
      </c>
      <c r="D1208" s="41">
        <v>46064</v>
      </c>
      <c r="E1208" s="41">
        <v>46094</v>
      </c>
      <c r="F1208" s="41">
        <v>46091</v>
      </c>
      <c r="G1208" s="42">
        <v>-3</v>
      </c>
      <c r="H1208" s="40" t="s">
        <v>556</v>
      </c>
      <c r="I1208" s="39" t="s">
        <v>320</v>
      </c>
      <c r="J1208" s="43">
        <v>187315.62</v>
      </c>
      <c r="K1208" s="43">
        <v>0</v>
      </c>
      <c r="L1208" s="43">
        <v>187315.62</v>
      </c>
      <c r="M1208" s="44">
        <v>0</v>
      </c>
      <c r="N1208" s="44">
        <f t="shared" si="18"/>
        <v>187315.62</v>
      </c>
      <c r="O1208" s="44">
        <v>187315.62</v>
      </c>
      <c r="P1208" s="40" t="s">
        <v>1039</v>
      </c>
      <c r="Q1208" s="40" t="s">
        <v>1040</v>
      </c>
      <c r="R1208" s="40" t="s">
        <v>494</v>
      </c>
      <c r="S1208" s="40" t="s">
        <v>502</v>
      </c>
      <c r="T1208" s="40" t="s">
        <v>289</v>
      </c>
      <c r="U1208" s="40" t="s">
        <v>1041</v>
      </c>
      <c r="V1208" s="40"/>
      <c r="W1208" s="40" t="s">
        <v>1042</v>
      </c>
    </row>
    <row r="1209" spans="1:23" ht="12" x14ac:dyDescent="0.2">
      <c r="A1209" s="39" t="s">
        <v>54</v>
      </c>
      <c r="B1209" s="40" t="s">
        <v>455</v>
      </c>
      <c r="C1209" s="40" t="s">
        <v>6715</v>
      </c>
      <c r="D1209" s="41">
        <v>46064</v>
      </c>
      <c r="E1209" s="41">
        <v>46094</v>
      </c>
      <c r="F1209" s="41">
        <v>46091</v>
      </c>
      <c r="G1209" s="42">
        <v>-3</v>
      </c>
      <c r="H1209" s="40" t="s">
        <v>556</v>
      </c>
      <c r="I1209" s="39" t="s">
        <v>320</v>
      </c>
      <c r="J1209" s="43">
        <v>32837.339999999997</v>
      </c>
      <c r="K1209" s="43">
        <v>0</v>
      </c>
      <c r="L1209" s="43">
        <v>32837.339999999997</v>
      </c>
      <c r="M1209" s="44">
        <v>0</v>
      </c>
      <c r="N1209" s="44">
        <f t="shared" si="18"/>
        <v>32837.339999999997</v>
      </c>
      <c r="O1209" s="44">
        <v>32837.339999999997</v>
      </c>
      <c r="P1209" s="40" t="s">
        <v>6716</v>
      </c>
      <c r="Q1209" s="40" t="s">
        <v>6717</v>
      </c>
      <c r="R1209" s="40" t="s">
        <v>494</v>
      </c>
      <c r="S1209" s="40" t="s">
        <v>495</v>
      </c>
      <c r="T1209" s="40" t="s">
        <v>165</v>
      </c>
      <c r="U1209" s="40" t="s">
        <v>2189</v>
      </c>
      <c r="V1209" s="40"/>
      <c r="W1209" s="40" t="s">
        <v>6718</v>
      </c>
    </row>
    <row r="1210" spans="1:23" ht="12" x14ac:dyDescent="0.2">
      <c r="A1210" s="39" t="s">
        <v>26</v>
      </c>
      <c r="B1210" s="40" t="s">
        <v>457</v>
      </c>
      <c r="C1210" s="40" t="s">
        <v>6719</v>
      </c>
      <c r="D1210" s="41">
        <v>46064</v>
      </c>
      <c r="E1210" s="41">
        <v>46094</v>
      </c>
      <c r="F1210" s="41">
        <v>46091</v>
      </c>
      <c r="G1210" s="42">
        <v>-3</v>
      </c>
      <c r="H1210" s="40" t="s">
        <v>556</v>
      </c>
      <c r="I1210" s="39" t="s">
        <v>320</v>
      </c>
      <c r="J1210" s="43">
        <v>7056.42</v>
      </c>
      <c r="K1210" s="43">
        <v>0</v>
      </c>
      <c r="L1210" s="43">
        <v>7056.42</v>
      </c>
      <c r="M1210" s="44">
        <v>0</v>
      </c>
      <c r="N1210" s="44">
        <f t="shared" si="18"/>
        <v>7056.42</v>
      </c>
      <c r="O1210" s="44">
        <v>7056.42</v>
      </c>
      <c r="P1210" s="40" t="s">
        <v>6720</v>
      </c>
      <c r="Q1210" s="40" t="s">
        <v>6721</v>
      </c>
      <c r="R1210" s="40" t="s">
        <v>494</v>
      </c>
      <c r="S1210" s="40" t="s">
        <v>502</v>
      </c>
      <c r="T1210" s="40" t="s">
        <v>218</v>
      </c>
      <c r="U1210" s="40" t="s">
        <v>6722</v>
      </c>
      <c r="V1210" s="40"/>
      <c r="W1210" s="40" t="s">
        <v>6723</v>
      </c>
    </row>
    <row r="1211" spans="1:23" ht="12" x14ac:dyDescent="0.2">
      <c r="A1211" s="39" t="s">
        <v>2178</v>
      </c>
      <c r="B1211" s="40" t="s">
        <v>2179</v>
      </c>
      <c r="C1211" s="40" t="s">
        <v>6724</v>
      </c>
      <c r="D1211" s="41">
        <v>46064</v>
      </c>
      <c r="E1211" s="41">
        <v>46094</v>
      </c>
      <c r="F1211" s="41">
        <v>46091</v>
      </c>
      <c r="G1211" s="42">
        <v>-3</v>
      </c>
      <c r="H1211" s="40" t="s">
        <v>556</v>
      </c>
      <c r="I1211" s="39" t="s">
        <v>320</v>
      </c>
      <c r="J1211" s="43">
        <v>38812.660000000003</v>
      </c>
      <c r="K1211" s="43">
        <v>0</v>
      </c>
      <c r="L1211" s="43">
        <v>38812.660000000003</v>
      </c>
      <c r="M1211" s="44">
        <v>0</v>
      </c>
      <c r="N1211" s="44">
        <f t="shared" si="18"/>
        <v>38812.660000000003</v>
      </c>
      <c r="O1211" s="44">
        <v>38812.660000000003</v>
      </c>
      <c r="P1211" s="40" t="s">
        <v>6725</v>
      </c>
      <c r="Q1211" s="40" t="s">
        <v>6726</v>
      </c>
      <c r="R1211" s="40" t="s">
        <v>494</v>
      </c>
      <c r="S1211" s="40" t="s">
        <v>502</v>
      </c>
      <c r="T1211" s="40" t="s">
        <v>163</v>
      </c>
      <c r="U1211" s="40" t="s">
        <v>2319</v>
      </c>
      <c r="V1211" s="40"/>
      <c r="W1211" s="40" t="s">
        <v>6727</v>
      </c>
    </row>
    <row r="1212" spans="1:23" ht="12" x14ac:dyDescent="0.2">
      <c r="A1212" s="39" t="s">
        <v>67</v>
      </c>
      <c r="B1212" s="40" t="s">
        <v>372</v>
      </c>
      <c r="C1212" s="40" t="s">
        <v>6728</v>
      </c>
      <c r="D1212" s="41">
        <v>46064</v>
      </c>
      <c r="E1212" s="41">
        <v>46094</v>
      </c>
      <c r="F1212" s="41">
        <v>46091</v>
      </c>
      <c r="G1212" s="42">
        <v>-3</v>
      </c>
      <c r="H1212" s="40" t="s">
        <v>556</v>
      </c>
      <c r="I1212" s="39" t="s">
        <v>320</v>
      </c>
      <c r="J1212" s="43">
        <v>40408.089999999997</v>
      </c>
      <c r="K1212" s="43">
        <v>0</v>
      </c>
      <c r="L1212" s="43">
        <v>40408.089999999997</v>
      </c>
      <c r="M1212" s="44">
        <v>0</v>
      </c>
      <c r="N1212" s="44">
        <f t="shared" si="18"/>
        <v>40408.089999999997</v>
      </c>
      <c r="O1212" s="44">
        <v>40408.089999999997</v>
      </c>
      <c r="P1212" s="40" t="s">
        <v>2156</v>
      </c>
      <c r="Q1212" s="40" t="s">
        <v>2157</v>
      </c>
      <c r="R1212" s="40" t="s">
        <v>494</v>
      </c>
      <c r="S1212" s="40" t="s">
        <v>495</v>
      </c>
      <c r="T1212" s="40" t="s">
        <v>220</v>
      </c>
      <c r="U1212" s="40" t="s">
        <v>2158</v>
      </c>
      <c r="V1212" s="40"/>
      <c r="W1212" s="40" t="s">
        <v>2159</v>
      </c>
    </row>
    <row r="1213" spans="1:23" ht="12" x14ac:dyDescent="0.2">
      <c r="A1213" s="39" t="s">
        <v>788</v>
      </c>
      <c r="B1213" s="40" t="s">
        <v>789</v>
      </c>
      <c r="C1213" s="40" t="s">
        <v>6729</v>
      </c>
      <c r="D1213" s="41">
        <v>46064</v>
      </c>
      <c r="E1213" s="41">
        <v>46094</v>
      </c>
      <c r="F1213" s="41">
        <v>46091</v>
      </c>
      <c r="G1213" s="42">
        <v>-3</v>
      </c>
      <c r="H1213" s="40" t="s">
        <v>556</v>
      </c>
      <c r="I1213" s="39" t="s">
        <v>320</v>
      </c>
      <c r="J1213" s="43">
        <v>21784.5</v>
      </c>
      <c r="K1213" s="43">
        <v>0</v>
      </c>
      <c r="L1213" s="43">
        <v>21784.5</v>
      </c>
      <c r="M1213" s="44">
        <v>0</v>
      </c>
      <c r="N1213" s="44">
        <f t="shared" si="18"/>
        <v>21784.5</v>
      </c>
      <c r="O1213" s="44">
        <v>21784.5</v>
      </c>
      <c r="P1213" s="40" t="s">
        <v>1242</v>
      </c>
      <c r="Q1213" s="40" t="s">
        <v>1334</v>
      </c>
      <c r="R1213" s="40" t="s">
        <v>494</v>
      </c>
      <c r="S1213" s="40" t="s">
        <v>495</v>
      </c>
      <c r="T1213" s="40" t="s">
        <v>501</v>
      </c>
      <c r="U1213" s="40" t="s">
        <v>1234</v>
      </c>
      <c r="V1213" s="40"/>
      <c r="W1213" s="40" t="s">
        <v>1335</v>
      </c>
    </row>
    <row r="1214" spans="1:23" ht="12" x14ac:dyDescent="0.2">
      <c r="A1214" s="39" t="s">
        <v>1314</v>
      </c>
      <c r="B1214" s="40" t="s">
        <v>1315</v>
      </c>
      <c r="C1214" s="40" t="s">
        <v>6730</v>
      </c>
      <c r="D1214" s="41">
        <v>46064</v>
      </c>
      <c r="E1214" s="41">
        <v>46094</v>
      </c>
      <c r="F1214" s="41">
        <v>46091</v>
      </c>
      <c r="G1214" s="42">
        <v>-3</v>
      </c>
      <c r="H1214" s="40" t="s">
        <v>556</v>
      </c>
      <c r="I1214" s="39" t="s">
        <v>320</v>
      </c>
      <c r="J1214" s="43">
        <v>-1270.82</v>
      </c>
      <c r="K1214" s="43">
        <v>0</v>
      </c>
      <c r="L1214" s="43">
        <v>-1270.82</v>
      </c>
      <c r="M1214" s="44">
        <v>0</v>
      </c>
      <c r="N1214" s="44">
        <f t="shared" si="18"/>
        <v>-1270.82</v>
      </c>
      <c r="O1214" s="44">
        <v>-1270.82</v>
      </c>
      <c r="P1214" s="40" t="s">
        <v>2831</v>
      </c>
      <c r="Q1214" s="40" t="s">
        <v>2832</v>
      </c>
      <c r="R1214" s="40" t="s">
        <v>494</v>
      </c>
      <c r="S1214" s="40" t="s">
        <v>495</v>
      </c>
      <c r="T1214" s="40" t="s">
        <v>191</v>
      </c>
      <c r="U1214" s="40" t="s">
        <v>927</v>
      </c>
      <c r="V1214" s="40"/>
      <c r="W1214" s="40" t="s">
        <v>2833</v>
      </c>
    </row>
    <row r="1215" spans="1:23" ht="12" x14ac:dyDescent="0.2">
      <c r="A1215" s="39" t="s">
        <v>2178</v>
      </c>
      <c r="B1215" s="40" t="s">
        <v>2179</v>
      </c>
      <c r="C1215" s="40" t="s">
        <v>6731</v>
      </c>
      <c r="D1215" s="41">
        <v>46064</v>
      </c>
      <c r="E1215" s="41">
        <v>46094</v>
      </c>
      <c r="F1215" s="41">
        <v>46091</v>
      </c>
      <c r="G1215" s="42">
        <v>-3</v>
      </c>
      <c r="H1215" s="40" t="s">
        <v>556</v>
      </c>
      <c r="I1215" s="39" t="s">
        <v>320</v>
      </c>
      <c r="J1215" s="43">
        <v>-117331.84</v>
      </c>
      <c r="K1215" s="43">
        <v>0</v>
      </c>
      <c r="L1215" s="43">
        <v>-117331.84</v>
      </c>
      <c r="M1215" s="44">
        <v>0</v>
      </c>
      <c r="N1215" s="44">
        <f t="shared" si="18"/>
        <v>-117331.84</v>
      </c>
      <c r="O1215" s="44">
        <v>-117331.84</v>
      </c>
      <c r="P1215" s="40" t="s">
        <v>6732</v>
      </c>
      <c r="Q1215" s="40" t="s">
        <v>6733</v>
      </c>
      <c r="R1215" s="40" t="s">
        <v>494</v>
      </c>
      <c r="S1215" s="40" t="s">
        <v>502</v>
      </c>
      <c r="T1215" s="40" t="s">
        <v>218</v>
      </c>
      <c r="U1215" s="40" t="s">
        <v>600</v>
      </c>
      <c r="V1215" s="40"/>
      <c r="W1215" s="40" t="s">
        <v>6734</v>
      </c>
    </row>
    <row r="1216" spans="1:23" ht="12" x14ac:dyDescent="0.2">
      <c r="A1216" s="39" t="s">
        <v>4178</v>
      </c>
      <c r="B1216" s="40" t="s">
        <v>4179</v>
      </c>
      <c r="C1216" s="40" t="s">
        <v>6735</v>
      </c>
      <c r="D1216" s="41">
        <v>46064</v>
      </c>
      <c r="E1216" s="41">
        <v>46094</v>
      </c>
      <c r="F1216" s="41">
        <v>46091</v>
      </c>
      <c r="G1216" s="42">
        <v>-3</v>
      </c>
      <c r="H1216" s="40" t="s">
        <v>556</v>
      </c>
      <c r="I1216" s="39" t="s">
        <v>320</v>
      </c>
      <c r="J1216" s="43">
        <v>-438.41</v>
      </c>
      <c r="K1216" s="43">
        <v>0</v>
      </c>
      <c r="L1216" s="43">
        <v>-438.41</v>
      </c>
      <c r="M1216" s="44">
        <v>0</v>
      </c>
      <c r="N1216" s="44">
        <f t="shared" si="18"/>
        <v>-438.41</v>
      </c>
      <c r="O1216" s="44">
        <v>-438.41</v>
      </c>
      <c r="P1216" s="40" t="s">
        <v>6736</v>
      </c>
      <c r="Q1216" s="40" t="s">
        <v>6737</v>
      </c>
      <c r="R1216" s="40" t="s">
        <v>494</v>
      </c>
      <c r="S1216" s="40" t="s">
        <v>495</v>
      </c>
      <c r="T1216" s="40" t="s">
        <v>280</v>
      </c>
      <c r="U1216" s="40" t="s">
        <v>537</v>
      </c>
      <c r="V1216" s="40"/>
      <c r="W1216" s="40" t="s">
        <v>321</v>
      </c>
    </row>
    <row r="1217" spans="1:23" ht="12" x14ac:dyDescent="0.2">
      <c r="A1217" s="39" t="s">
        <v>2178</v>
      </c>
      <c r="B1217" s="40" t="s">
        <v>2179</v>
      </c>
      <c r="C1217" s="40" t="s">
        <v>6738</v>
      </c>
      <c r="D1217" s="41">
        <v>46064</v>
      </c>
      <c r="E1217" s="41">
        <v>46094</v>
      </c>
      <c r="F1217" s="41">
        <v>46091</v>
      </c>
      <c r="G1217" s="42">
        <v>-3</v>
      </c>
      <c r="H1217" s="40" t="s">
        <v>556</v>
      </c>
      <c r="I1217" s="39" t="s">
        <v>320</v>
      </c>
      <c r="J1217" s="43">
        <v>-407.74</v>
      </c>
      <c r="K1217" s="43">
        <v>0</v>
      </c>
      <c r="L1217" s="43">
        <v>-407.74</v>
      </c>
      <c r="M1217" s="44">
        <v>0</v>
      </c>
      <c r="N1217" s="44">
        <f t="shared" si="18"/>
        <v>-407.74</v>
      </c>
      <c r="O1217" s="44">
        <v>-407.74</v>
      </c>
      <c r="P1217" s="40" t="s">
        <v>6739</v>
      </c>
      <c r="Q1217" s="40" t="s">
        <v>6740</v>
      </c>
      <c r="R1217" s="40" t="s">
        <v>494</v>
      </c>
      <c r="S1217" s="40" t="s">
        <v>502</v>
      </c>
      <c r="T1217" s="40" t="s">
        <v>220</v>
      </c>
      <c r="U1217" s="40" t="s">
        <v>6741</v>
      </c>
      <c r="V1217" s="40"/>
      <c r="W1217" s="40" t="s">
        <v>6742</v>
      </c>
    </row>
    <row r="1218" spans="1:23" ht="12" x14ac:dyDescent="0.2">
      <c r="A1218" s="39" t="s">
        <v>1070</v>
      </c>
      <c r="B1218" s="40" t="s">
        <v>364</v>
      </c>
      <c r="C1218" s="40" t="s">
        <v>6743</v>
      </c>
      <c r="D1218" s="41">
        <v>46064</v>
      </c>
      <c r="E1218" s="41">
        <v>46094</v>
      </c>
      <c r="F1218" s="41">
        <v>46091</v>
      </c>
      <c r="G1218" s="42">
        <v>-3</v>
      </c>
      <c r="H1218" s="40" t="s">
        <v>556</v>
      </c>
      <c r="I1218" s="39" t="s">
        <v>320</v>
      </c>
      <c r="J1218" s="43">
        <v>63914.98</v>
      </c>
      <c r="K1218" s="43">
        <v>0</v>
      </c>
      <c r="L1218" s="43">
        <v>63914.98</v>
      </c>
      <c r="M1218" s="44">
        <v>0</v>
      </c>
      <c r="N1218" s="44">
        <f t="shared" si="18"/>
        <v>63914.98</v>
      </c>
      <c r="O1218" s="44">
        <v>63914.98</v>
      </c>
      <c r="P1218" s="40" t="s">
        <v>6744</v>
      </c>
      <c r="Q1218" s="40" t="s">
        <v>6745</v>
      </c>
      <c r="R1218" s="40" t="s">
        <v>494</v>
      </c>
      <c r="S1218" s="40" t="s">
        <v>495</v>
      </c>
      <c r="T1218" s="40" t="s">
        <v>330</v>
      </c>
      <c r="U1218" s="40" t="s">
        <v>6746</v>
      </c>
      <c r="V1218" s="40" t="s">
        <v>6747</v>
      </c>
      <c r="W1218" s="40" t="s">
        <v>6748</v>
      </c>
    </row>
    <row r="1219" spans="1:23" ht="12" x14ac:dyDescent="0.2">
      <c r="A1219" s="39" t="s">
        <v>1525</v>
      </c>
      <c r="B1219" s="40" t="s">
        <v>6749</v>
      </c>
      <c r="C1219" s="40" t="s">
        <v>6750</v>
      </c>
      <c r="D1219" s="41">
        <v>46064</v>
      </c>
      <c r="E1219" s="41">
        <v>46094</v>
      </c>
      <c r="F1219" s="41">
        <v>46091</v>
      </c>
      <c r="G1219" s="42">
        <v>-3</v>
      </c>
      <c r="H1219" s="40" t="s">
        <v>556</v>
      </c>
      <c r="I1219" s="39" t="s">
        <v>320</v>
      </c>
      <c r="J1219" s="43">
        <v>14989.47</v>
      </c>
      <c r="K1219" s="43">
        <v>0</v>
      </c>
      <c r="L1219" s="43">
        <v>14989.47</v>
      </c>
      <c r="M1219" s="44">
        <v>0</v>
      </c>
      <c r="N1219" s="44">
        <f t="shared" ref="N1219:N1282" si="19">IF(I1219="GBP",L1219-K1219,O1219-K1219)</f>
        <v>14989.47</v>
      </c>
      <c r="O1219" s="44">
        <v>14989.47</v>
      </c>
      <c r="P1219" s="40" t="s">
        <v>6751</v>
      </c>
      <c r="Q1219" s="40" t="s">
        <v>6752</v>
      </c>
      <c r="R1219" s="40" t="s">
        <v>494</v>
      </c>
      <c r="S1219" s="40" t="s">
        <v>495</v>
      </c>
      <c r="T1219" s="40" t="s">
        <v>203</v>
      </c>
      <c r="U1219" s="40" t="s">
        <v>3818</v>
      </c>
      <c r="V1219" s="40"/>
      <c r="W1219" s="40" t="s">
        <v>6753</v>
      </c>
    </row>
    <row r="1220" spans="1:23" ht="12" x14ac:dyDescent="0.2">
      <c r="A1220" s="39" t="s">
        <v>906</v>
      </c>
      <c r="B1220" s="40" t="s">
        <v>907</v>
      </c>
      <c r="C1220" s="40" t="s">
        <v>6754</v>
      </c>
      <c r="D1220" s="41">
        <v>46064</v>
      </c>
      <c r="E1220" s="41">
        <v>46094</v>
      </c>
      <c r="F1220" s="41">
        <v>46091</v>
      </c>
      <c r="G1220" s="42">
        <v>-3</v>
      </c>
      <c r="H1220" s="40" t="s">
        <v>556</v>
      </c>
      <c r="I1220" s="39" t="s">
        <v>320</v>
      </c>
      <c r="J1220" s="43">
        <v>10442.790000000001</v>
      </c>
      <c r="K1220" s="43">
        <v>0</v>
      </c>
      <c r="L1220" s="43">
        <v>10442.790000000001</v>
      </c>
      <c r="M1220" s="44">
        <v>0</v>
      </c>
      <c r="N1220" s="44">
        <f t="shared" si="19"/>
        <v>10442.790000000001</v>
      </c>
      <c r="O1220" s="44">
        <v>10442.790000000001</v>
      </c>
      <c r="P1220" s="40" t="s">
        <v>908</v>
      </c>
      <c r="Q1220" s="40" t="s">
        <v>909</v>
      </c>
      <c r="R1220" s="40" t="s">
        <v>494</v>
      </c>
      <c r="S1220" s="40" t="s">
        <v>495</v>
      </c>
      <c r="T1220" s="40" t="s">
        <v>330</v>
      </c>
      <c r="U1220" s="40" t="s">
        <v>498</v>
      </c>
      <c r="V1220" s="40"/>
      <c r="W1220" s="40" t="s">
        <v>910</v>
      </c>
    </row>
    <row r="1221" spans="1:23" ht="12" x14ac:dyDescent="0.2">
      <c r="A1221" s="39" t="s">
        <v>68</v>
      </c>
      <c r="B1221" s="40" t="s">
        <v>440</v>
      </c>
      <c r="C1221" s="40" t="s">
        <v>6755</v>
      </c>
      <c r="D1221" s="41">
        <v>46064</v>
      </c>
      <c r="E1221" s="41">
        <v>46094</v>
      </c>
      <c r="F1221" s="41">
        <v>46091</v>
      </c>
      <c r="G1221" s="42">
        <v>-3</v>
      </c>
      <c r="H1221" s="40" t="s">
        <v>556</v>
      </c>
      <c r="I1221" s="39" t="s">
        <v>320</v>
      </c>
      <c r="J1221" s="43">
        <v>25621.05</v>
      </c>
      <c r="K1221" s="43">
        <v>0</v>
      </c>
      <c r="L1221" s="43">
        <v>25621.05</v>
      </c>
      <c r="M1221" s="44">
        <v>0</v>
      </c>
      <c r="N1221" s="44">
        <f t="shared" si="19"/>
        <v>25621.05</v>
      </c>
      <c r="O1221" s="44">
        <v>25621.05</v>
      </c>
      <c r="P1221" s="40" t="s">
        <v>6756</v>
      </c>
      <c r="Q1221" s="40" t="s">
        <v>6757</v>
      </c>
      <c r="R1221" s="40" t="s">
        <v>494</v>
      </c>
      <c r="S1221" s="40" t="s">
        <v>495</v>
      </c>
      <c r="T1221" s="40" t="s">
        <v>497</v>
      </c>
      <c r="U1221" s="40" t="s">
        <v>581</v>
      </c>
      <c r="V1221" s="40"/>
      <c r="W1221" s="40" t="s">
        <v>6758</v>
      </c>
    </row>
    <row r="1222" spans="1:23" ht="12" x14ac:dyDescent="0.2">
      <c r="A1222" s="39" t="s">
        <v>48</v>
      </c>
      <c r="B1222" s="40" t="s">
        <v>389</v>
      </c>
      <c r="C1222" s="40" t="s">
        <v>6759</v>
      </c>
      <c r="D1222" s="41">
        <v>46064</v>
      </c>
      <c r="E1222" s="41">
        <v>46094</v>
      </c>
      <c r="F1222" s="41">
        <v>46091</v>
      </c>
      <c r="G1222" s="42">
        <v>-3</v>
      </c>
      <c r="H1222" s="40" t="s">
        <v>556</v>
      </c>
      <c r="I1222" s="39" t="s">
        <v>320</v>
      </c>
      <c r="J1222" s="43">
        <v>23740.06</v>
      </c>
      <c r="K1222" s="43">
        <v>0</v>
      </c>
      <c r="L1222" s="43">
        <v>23740.06</v>
      </c>
      <c r="M1222" s="44">
        <v>0</v>
      </c>
      <c r="N1222" s="44">
        <f t="shared" si="19"/>
        <v>23740.06</v>
      </c>
      <c r="O1222" s="44">
        <v>23740.06</v>
      </c>
      <c r="P1222" s="40" t="s">
        <v>6760</v>
      </c>
      <c r="Q1222" s="40" t="s">
        <v>6761</v>
      </c>
      <c r="R1222" s="40" t="s">
        <v>494</v>
      </c>
      <c r="S1222" s="40" t="s">
        <v>495</v>
      </c>
      <c r="T1222" s="40" t="s">
        <v>178</v>
      </c>
      <c r="U1222" s="40" t="s">
        <v>5085</v>
      </c>
      <c r="V1222" s="40"/>
      <c r="W1222" s="40" t="s">
        <v>6762</v>
      </c>
    </row>
    <row r="1223" spans="1:23" ht="12" x14ac:dyDescent="0.2">
      <c r="A1223" s="39" t="s">
        <v>815</v>
      </c>
      <c r="B1223" s="40" t="s">
        <v>1119</v>
      </c>
      <c r="C1223" s="40" t="s">
        <v>6763</v>
      </c>
      <c r="D1223" s="41">
        <v>46064</v>
      </c>
      <c r="E1223" s="41">
        <v>46094</v>
      </c>
      <c r="F1223" s="41">
        <v>46091</v>
      </c>
      <c r="G1223" s="42">
        <v>-3</v>
      </c>
      <c r="H1223" s="40" t="s">
        <v>556</v>
      </c>
      <c r="I1223" s="39" t="s">
        <v>320</v>
      </c>
      <c r="J1223" s="43">
        <v>1974.72</v>
      </c>
      <c r="K1223" s="43">
        <v>0</v>
      </c>
      <c r="L1223" s="43">
        <v>1974.72</v>
      </c>
      <c r="M1223" s="44">
        <v>0</v>
      </c>
      <c r="N1223" s="44">
        <f t="shared" si="19"/>
        <v>1974.72</v>
      </c>
      <c r="O1223" s="44">
        <v>1974.72</v>
      </c>
      <c r="P1223" s="40" t="s">
        <v>2492</v>
      </c>
      <c r="Q1223" s="40" t="s">
        <v>2493</v>
      </c>
      <c r="R1223" s="40" t="s">
        <v>494</v>
      </c>
      <c r="S1223" s="40" t="s">
        <v>502</v>
      </c>
      <c r="T1223" s="40" t="s">
        <v>496</v>
      </c>
      <c r="U1223" s="40" t="s">
        <v>2494</v>
      </c>
      <c r="V1223" s="40"/>
      <c r="W1223" s="40" t="s">
        <v>2495</v>
      </c>
    </row>
    <row r="1224" spans="1:23" ht="12" x14ac:dyDescent="0.2">
      <c r="A1224" s="39" t="s">
        <v>412</v>
      </c>
      <c r="B1224" s="40" t="s">
        <v>411</v>
      </c>
      <c r="C1224" s="40" t="s">
        <v>6764</v>
      </c>
      <c r="D1224" s="41">
        <v>46065</v>
      </c>
      <c r="E1224" s="41">
        <v>46095</v>
      </c>
      <c r="F1224" s="41">
        <v>46091</v>
      </c>
      <c r="G1224" s="42">
        <v>-4</v>
      </c>
      <c r="H1224" s="40" t="s">
        <v>556</v>
      </c>
      <c r="I1224" s="39" t="s">
        <v>320</v>
      </c>
      <c r="J1224" s="43">
        <v>34668.199999999997</v>
      </c>
      <c r="K1224" s="43">
        <v>0</v>
      </c>
      <c r="L1224" s="43">
        <v>34668.199999999997</v>
      </c>
      <c r="M1224" s="44">
        <v>0</v>
      </c>
      <c r="N1224" s="44">
        <f t="shared" si="19"/>
        <v>34668.199999999997</v>
      </c>
      <c r="O1224" s="44">
        <v>34668.199999999997</v>
      </c>
      <c r="P1224" s="40" t="s">
        <v>6765</v>
      </c>
      <c r="Q1224" s="40" t="s">
        <v>6766</v>
      </c>
      <c r="R1224" s="40" t="s">
        <v>494</v>
      </c>
      <c r="S1224" s="40" t="s">
        <v>502</v>
      </c>
      <c r="T1224" s="40" t="s">
        <v>287</v>
      </c>
      <c r="U1224" s="40" t="s">
        <v>2329</v>
      </c>
      <c r="V1224" s="40"/>
      <c r="W1224" s="40" t="s">
        <v>321</v>
      </c>
    </row>
    <row r="1225" spans="1:23" ht="12" x14ac:dyDescent="0.2">
      <c r="A1225" s="39" t="s">
        <v>70</v>
      </c>
      <c r="B1225" s="40" t="s">
        <v>1404</v>
      </c>
      <c r="C1225" s="40" t="s">
        <v>6767</v>
      </c>
      <c r="D1225" s="41">
        <v>46065</v>
      </c>
      <c r="E1225" s="41">
        <v>46095</v>
      </c>
      <c r="F1225" s="41">
        <v>46091</v>
      </c>
      <c r="G1225" s="42">
        <v>-4</v>
      </c>
      <c r="H1225" s="40" t="s">
        <v>556</v>
      </c>
      <c r="I1225" s="39" t="s">
        <v>320</v>
      </c>
      <c r="J1225" s="43">
        <v>3019.8</v>
      </c>
      <c r="K1225" s="43">
        <v>0</v>
      </c>
      <c r="L1225" s="43">
        <v>3019.8</v>
      </c>
      <c r="M1225" s="44">
        <v>0</v>
      </c>
      <c r="N1225" s="44">
        <f t="shared" si="19"/>
        <v>3019.8</v>
      </c>
      <c r="O1225" s="44">
        <v>3019.8</v>
      </c>
      <c r="P1225" s="40" t="s">
        <v>6768</v>
      </c>
      <c r="Q1225" s="40" t="s">
        <v>6769</v>
      </c>
      <c r="R1225" s="40" t="s">
        <v>494</v>
      </c>
      <c r="S1225" s="40" t="s">
        <v>495</v>
      </c>
      <c r="T1225" s="40" t="s">
        <v>330</v>
      </c>
      <c r="U1225" s="40" t="s">
        <v>6483</v>
      </c>
      <c r="V1225" s="40" t="s">
        <v>6770</v>
      </c>
      <c r="W1225" s="40" t="s">
        <v>322</v>
      </c>
    </row>
    <row r="1226" spans="1:23" ht="12" x14ac:dyDescent="0.2">
      <c r="A1226" s="39" t="s">
        <v>6771</v>
      </c>
      <c r="B1226" s="40" t="s">
        <v>6772</v>
      </c>
      <c r="C1226" s="40" t="s">
        <v>6773</v>
      </c>
      <c r="D1226" s="41">
        <v>46065</v>
      </c>
      <c r="E1226" s="41">
        <v>46095</v>
      </c>
      <c r="F1226" s="41">
        <v>46091</v>
      </c>
      <c r="G1226" s="42">
        <v>-4</v>
      </c>
      <c r="H1226" s="40" t="s">
        <v>556</v>
      </c>
      <c r="I1226" s="39" t="s">
        <v>323</v>
      </c>
      <c r="J1226" s="43">
        <v>541168.80000000005</v>
      </c>
      <c r="K1226" s="43">
        <v>0</v>
      </c>
      <c r="L1226" s="43">
        <v>541168.80000000005</v>
      </c>
      <c r="M1226" s="44">
        <v>0</v>
      </c>
      <c r="N1226" s="44">
        <f t="shared" si="19"/>
        <v>373219.86</v>
      </c>
      <c r="O1226" s="44">
        <v>373219.86</v>
      </c>
      <c r="P1226" s="40" t="s">
        <v>6774</v>
      </c>
      <c r="Q1226" s="40" t="s">
        <v>6775</v>
      </c>
      <c r="R1226" s="40" t="s">
        <v>494</v>
      </c>
      <c r="S1226" s="40" t="s">
        <v>502</v>
      </c>
      <c r="T1226" s="40" t="s">
        <v>218</v>
      </c>
      <c r="U1226" s="40" t="s">
        <v>570</v>
      </c>
      <c r="V1226" s="40" t="s">
        <v>6776</v>
      </c>
      <c r="W1226" s="40" t="s">
        <v>6777</v>
      </c>
    </row>
    <row r="1227" spans="1:23" ht="12" x14ac:dyDescent="0.2">
      <c r="A1227" s="39" t="s">
        <v>1593</v>
      </c>
      <c r="B1227" s="40" t="s">
        <v>3400</v>
      </c>
      <c r="C1227" s="40" t="s">
        <v>6778</v>
      </c>
      <c r="D1227" s="41">
        <v>46065</v>
      </c>
      <c r="E1227" s="41">
        <v>46095</v>
      </c>
      <c r="F1227" s="41">
        <v>46091</v>
      </c>
      <c r="G1227" s="42">
        <v>-4</v>
      </c>
      <c r="H1227" s="40" t="s">
        <v>556</v>
      </c>
      <c r="I1227" s="39" t="s">
        <v>320</v>
      </c>
      <c r="J1227" s="43">
        <v>43643.87</v>
      </c>
      <c r="K1227" s="43">
        <v>0</v>
      </c>
      <c r="L1227" s="43">
        <v>43643.87</v>
      </c>
      <c r="M1227" s="44">
        <v>0</v>
      </c>
      <c r="N1227" s="44">
        <f t="shared" si="19"/>
        <v>43643.87</v>
      </c>
      <c r="O1227" s="44">
        <v>43643.87</v>
      </c>
      <c r="P1227" s="40" t="s">
        <v>6779</v>
      </c>
      <c r="Q1227" s="40" t="s">
        <v>6780</v>
      </c>
      <c r="R1227" s="40" t="s">
        <v>494</v>
      </c>
      <c r="S1227" s="40" t="s">
        <v>502</v>
      </c>
      <c r="T1227" s="40" t="s">
        <v>287</v>
      </c>
      <c r="U1227" s="40" t="s">
        <v>6781</v>
      </c>
      <c r="V1227" s="40"/>
      <c r="W1227" s="40" t="s">
        <v>6782</v>
      </c>
    </row>
    <row r="1228" spans="1:23" ht="12" x14ac:dyDescent="0.2">
      <c r="A1228" s="39" t="s">
        <v>6783</v>
      </c>
      <c r="B1228" s="40" t="s">
        <v>6784</v>
      </c>
      <c r="C1228" s="40" t="s">
        <v>6785</v>
      </c>
      <c r="D1228" s="41">
        <v>46065</v>
      </c>
      <c r="E1228" s="41">
        <v>46095</v>
      </c>
      <c r="F1228" s="41">
        <v>46091</v>
      </c>
      <c r="G1228" s="42">
        <v>-4</v>
      </c>
      <c r="H1228" s="40" t="s">
        <v>556</v>
      </c>
      <c r="I1228" s="39" t="s">
        <v>320</v>
      </c>
      <c r="J1228" s="43">
        <v>10620</v>
      </c>
      <c r="K1228" s="43">
        <v>0</v>
      </c>
      <c r="L1228" s="43">
        <v>10620</v>
      </c>
      <c r="M1228" s="44">
        <v>0</v>
      </c>
      <c r="N1228" s="44">
        <f t="shared" si="19"/>
        <v>10620</v>
      </c>
      <c r="O1228" s="44">
        <v>10620</v>
      </c>
      <c r="P1228" s="40" t="s">
        <v>6786</v>
      </c>
      <c r="Q1228" s="40" t="s">
        <v>6787</v>
      </c>
      <c r="R1228" s="40" t="s">
        <v>494</v>
      </c>
      <c r="S1228" s="40" t="s">
        <v>502</v>
      </c>
      <c r="T1228" s="40" t="s">
        <v>282</v>
      </c>
      <c r="U1228" s="40" t="s">
        <v>537</v>
      </c>
      <c r="V1228" s="40"/>
      <c r="W1228" s="40"/>
    </row>
    <row r="1229" spans="1:23" ht="12" x14ac:dyDescent="0.2">
      <c r="A1229" s="39" t="s">
        <v>50</v>
      </c>
      <c r="B1229" s="40" t="s">
        <v>328</v>
      </c>
      <c r="C1229" s="40" t="s">
        <v>6788</v>
      </c>
      <c r="D1229" s="41">
        <v>46065</v>
      </c>
      <c r="E1229" s="41">
        <v>46095</v>
      </c>
      <c r="F1229" s="41">
        <v>46091</v>
      </c>
      <c r="G1229" s="42">
        <v>-4</v>
      </c>
      <c r="H1229" s="40" t="s">
        <v>556</v>
      </c>
      <c r="I1229" s="39" t="s">
        <v>320</v>
      </c>
      <c r="J1229" s="43">
        <v>126616.18</v>
      </c>
      <c r="K1229" s="43">
        <v>21102.7</v>
      </c>
      <c r="L1229" s="43">
        <v>126616.18</v>
      </c>
      <c r="M1229" s="44">
        <v>21102.7</v>
      </c>
      <c r="N1229" s="44">
        <f t="shared" si="19"/>
        <v>105513.48</v>
      </c>
      <c r="O1229" s="44">
        <v>126616.18</v>
      </c>
      <c r="P1229" s="40" t="s">
        <v>6789</v>
      </c>
      <c r="Q1229" s="40" t="s">
        <v>6790</v>
      </c>
      <c r="R1229" s="40" t="s">
        <v>494</v>
      </c>
      <c r="S1229" s="40" t="s">
        <v>502</v>
      </c>
      <c r="T1229" s="40" t="s">
        <v>514</v>
      </c>
      <c r="U1229" s="40" t="s">
        <v>575</v>
      </c>
      <c r="V1229" s="40" t="s">
        <v>6791</v>
      </c>
      <c r="W1229" s="40" t="s">
        <v>6792</v>
      </c>
    </row>
    <row r="1230" spans="1:23" ht="12" x14ac:dyDescent="0.2">
      <c r="A1230" s="39" t="s">
        <v>595</v>
      </c>
      <c r="B1230" s="40" t="s">
        <v>5766</v>
      </c>
      <c r="C1230" s="40" t="s">
        <v>6793</v>
      </c>
      <c r="D1230" s="41">
        <v>46065</v>
      </c>
      <c r="E1230" s="41">
        <v>46095</v>
      </c>
      <c r="F1230" s="41">
        <v>46091</v>
      </c>
      <c r="G1230" s="42">
        <v>-4</v>
      </c>
      <c r="H1230" s="40" t="s">
        <v>556</v>
      </c>
      <c r="I1230" s="39" t="s">
        <v>320</v>
      </c>
      <c r="J1230" s="43">
        <v>300000</v>
      </c>
      <c r="K1230" s="43">
        <v>0</v>
      </c>
      <c r="L1230" s="43">
        <v>300000</v>
      </c>
      <c r="M1230" s="44">
        <v>0</v>
      </c>
      <c r="N1230" s="44">
        <f t="shared" si="19"/>
        <v>300000</v>
      </c>
      <c r="O1230" s="44">
        <v>300000</v>
      </c>
      <c r="P1230" s="40" t="s">
        <v>6794</v>
      </c>
      <c r="Q1230" s="40" t="s">
        <v>6795</v>
      </c>
      <c r="R1230" s="40" t="s">
        <v>494</v>
      </c>
      <c r="S1230" s="40" t="s">
        <v>502</v>
      </c>
      <c r="T1230" s="40" t="s">
        <v>287</v>
      </c>
      <c r="U1230" s="40" t="s">
        <v>3159</v>
      </c>
      <c r="V1230" s="40"/>
      <c r="W1230" s="40" t="s">
        <v>6796</v>
      </c>
    </row>
    <row r="1231" spans="1:23" ht="12" x14ac:dyDescent="0.2">
      <c r="A1231" s="39" t="s">
        <v>6797</v>
      </c>
      <c r="B1231" s="40" t="s">
        <v>6798</v>
      </c>
      <c r="C1231" s="40" t="s">
        <v>6799</v>
      </c>
      <c r="D1231" s="41">
        <v>46065</v>
      </c>
      <c r="E1231" s="41">
        <v>46095</v>
      </c>
      <c r="F1231" s="41">
        <v>46091</v>
      </c>
      <c r="G1231" s="42">
        <v>-4</v>
      </c>
      <c r="H1231" s="40" t="s">
        <v>556</v>
      </c>
      <c r="I1231" s="39" t="s">
        <v>341</v>
      </c>
      <c r="J1231" s="43">
        <v>200000</v>
      </c>
      <c r="K1231" s="43">
        <v>0</v>
      </c>
      <c r="L1231" s="43">
        <v>200000</v>
      </c>
      <c r="M1231" s="44">
        <v>0</v>
      </c>
      <c r="N1231" s="44">
        <f t="shared" si="19"/>
        <v>153846.15</v>
      </c>
      <c r="O1231" s="44">
        <v>153846.15</v>
      </c>
      <c r="P1231" s="40" t="s">
        <v>6800</v>
      </c>
      <c r="Q1231" s="40" t="s">
        <v>6801</v>
      </c>
      <c r="R1231" s="40" t="s">
        <v>494</v>
      </c>
      <c r="S1231" s="40" t="s">
        <v>502</v>
      </c>
      <c r="T1231" s="40" t="s">
        <v>280</v>
      </c>
      <c r="U1231" s="40" t="s">
        <v>560</v>
      </c>
      <c r="V1231" s="40"/>
      <c r="W1231" s="40" t="s">
        <v>6802</v>
      </c>
    </row>
    <row r="1232" spans="1:23" ht="12" x14ac:dyDescent="0.2">
      <c r="A1232" s="39" t="s">
        <v>6803</v>
      </c>
      <c r="B1232" s="40" t="s">
        <v>475</v>
      </c>
      <c r="C1232" s="40" t="s">
        <v>6804</v>
      </c>
      <c r="D1232" s="41">
        <v>46065</v>
      </c>
      <c r="E1232" s="41">
        <v>46095</v>
      </c>
      <c r="F1232" s="41">
        <v>46091</v>
      </c>
      <c r="G1232" s="42">
        <v>-4</v>
      </c>
      <c r="H1232" s="40" t="s">
        <v>556</v>
      </c>
      <c r="I1232" s="39" t="s">
        <v>320</v>
      </c>
      <c r="J1232" s="43">
        <v>20208.939999999999</v>
      </c>
      <c r="K1232" s="43">
        <v>0</v>
      </c>
      <c r="L1232" s="43">
        <v>20208.939999999999</v>
      </c>
      <c r="M1232" s="44">
        <v>0</v>
      </c>
      <c r="N1232" s="44">
        <f t="shared" si="19"/>
        <v>20208.939999999999</v>
      </c>
      <c r="O1232" s="44">
        <v>20208.939999999999</v>
      </c>
      <c r="P1232" s="40" t="s">
        <v>947</v>
      </c>
      <c r="Q1232" s="40" t="s">
        <v>6805</v>
      </c>
      <c r="R1232" s="40" t="s">
        <v>494</v>
      </c>
      <c r="S1232" s="40" t="s">
        <v>502</v>
      </c>
      <c r="T1232" s="40" t="s">
        <v>280</v>
      </c>
      <c r="U1232" s="40" t="s">
        <v>6806</v>
      </c>
      <c r="V1232" s="40"/>
      <c r="W1232" s="40" t="s">
        <v>6807</v>
      </c>
    </row>
    <row r="1233" spans="1:23" ht="12" x14ac:dyDescent="0.2">
      <c r="A1233" s="39" t="s">
        <v>2496</v>
      </c>
      <c r="B1233" s="40" t="s">
        <v>2497</v>
      </c>
      <c r="C1233" s="40" t="s">
        <v>6808</v>
      </c>
      <c r="D1233" s="41">
        <v>46065</v>
      </c>
      <c r="E1233" s="41">
        <v>46095</v>
      </c>
      <c r="F1233" s="41">
        <v>46091</v>
      </c>
      <c r="G1233" s="42">
        <v>-4</v>
      </c>
      <c r="H1233" s="40" t="s">
        <v>556</v>
      </c>
      <c r="I1233" s="39" t="s">
        <v>341</v>
      </c>
      <c r="J1233" s="43">
        <v>20000</v>
      </c>
      <c r="K1233" s="43">
        <v>0</v>
      </c>
      <c r="L1233" s="43">
        <v>20000</v>
      </c>
      <c r="M1233" s="44">
        <v>0</v>
      </c>
      <c r="N1233" s="44">
        <f t="shared" si="19"/>
        <v>16000</v>
      </c>
      <c r="O1233" s="44">
        <v>16000</v>
      </c>
      <c r="P1233" s="40" t="s">
        <v>2498</v>
      </c>
      <c r="Q1233" s="40" t="s">
        <v>2499</v>
      </c>
      <c r="R1233" s="40" t="s">
        <v>494</v>
      </c>
      <c r="S1233" s="40" t="s">
        <v>502</v>
      </c>
      <c r="T1233" s="40" t="s">
        <v>280</v>
      </c>
      <c r="U1233" s="40" t="s">
        <v>2500</v>
      </c>
      <c r="V1233" s="40"/>
      <c r="W1233" s="40" t="s">
        <v>2501</v>
      </c>
    </row>
    <row r="1234" spans="1:23" ht="12" x14ac:dyDescent="0.2">
      <c r="A1234" s="39" t="s">
        <v>2496</v>
      </c>
      <c r="B1234" s="40" t="s">
        <v>2497</v>
      </c>
      <c r="C1234" s="40" t="s">
        <v>6809</v>
      </c>
      <c r="D1234" s="41">
        <v>46065</v>
      </c>
      <c r="E1234" s="41">
        <v>46095</v>
      </c>
      <c r="F1234" s="41">
        <v>46091</v>
      </c>
      <c r="G1234" s="42">
        <v>-4</v>
      </c>
      <c r="H1234" s="40" t="s">
        <v>556</v>
      </c>
      <c r="I1234" s="39" t="s">
        <v>341</v>
      </c>
      <c r="J1234" s="43">
        <v>20000</v>
      </c>
      <c r="K1234" s="43">
        <v>0</v>
      </c>
      <c r="L1234" s="43">
        <v>20000</v>
      </c>
      <c r="M1234" s="44">
        <v>0</v>
      </c>
      <c r="N1234" s="44">
        <f t="shared" si="19"/>
        <v>16000</v>
      </c>
      <c r="O1234" s="44">
        <v>16000</v>
      </c>
      <c r="P1234" s="40" t="s">
        <v>2498</v>
      </c>
      <c r="Q1234" s="40" t="s">
        <v>2499</v>
      </c>
      <c r="R1234" s="40" t="s">
        <v>494</v>
      </c>
      <c r="S1234" s="40" t="s">
        <v>502</v>
      </c>
      <c r="T1234" s="40" t="s">
        <v>280</v>
      </c>
      <c r="U1234" s="40" t="s">
        <v>2500</v>
      </c>
      <c r="V1234" s="40"/>
      <c r="W1234" s="40" t="s">
        <v>2501</v>
      </c>
    </row>
    <row r="1235" spans="1:23" ht="12" x14ac:dyDescent="0.2">
      <c r="A1235" s="39" t="s">
        <v>2496</v>
      </c>
      <c r="B1235" s="40" t="s">
        <v>2497</v>
      </c>
      <c r="C1235" s="40" t="s">
        <v>6810</v>
      </c>
      <c r="D1235" s="41">
        <v>46065</v>
      </c>
      <c r="E1235" s="41">
        <v>46095</v>
      </c>
      <c r="F1235" s="41">
        <v>46091</v>
      </c>
      <c r="G1235" s="42">
        <v>-4</v>
      </c>
      <c r="H1235" s="40" t="s">
        <v>556</v>
      </c>
      <c r="I1235" s="39" t="s">
        <v>341</v>
      </c>
      <c r="J1235" s="43">
        <v>7000</v>
      </c>
      <c r="K1235" s="43">
        <v>0</v>
      </c>
      <c r="L1235" s="43">
        <v>7000</v>
      </c>
      <c r="M1235" s="44">
        <v>0</v>
      </c>
      <c r="N1235" s="44">
        <f t="shared" si="19"/>
        <v>5600</v>
      </c>
      <c r="O1235" s="44">
        <v>5600</v>
      </c>
      <c r="P1235" s="40" t="s">
        <v>2498</v>
      </c>
      <c r="Q1235" s="40" t="s">
        <v>2499</v>
      </c>
      <c r="R1235" s="40" t="s">
        <v>494</v>
      </c>
      <c r="S1235" s="40" t="s">
        <v>502</v>
      </c>
      <c r="T1235" s="40" t="s">
        <v>280</v>
      </c>
      <c r="U1235" s="40" t="s">
        <v>2500</v>
      </c>
      <c r="V1235" s="40"/>
      <c r="W1235" s="40" t="s">
        <v>2501</v>
      </c>
    </row>
    <row r="1236" spans="1:23" ht="12" x14ac:dyDescent="0.2">
      <c r="A1236" s="39" t="s">
        <v>2496</v>
      </c>
      <c r="B1236" s="40" t="s">
        <v>2497</v>
      </c>
      <c r="C1236" s="40" t="s">
        <v>6811</v>
      </c>
      <c r="D1236" s="41">
        <v>46065</v>
      </c>
      <c r="E1236" s="41">
        <v>46095</v>
      </c>
      <c r="F1236" s="41">
        <v>46091</v>
      </c>
      <c r="G1236" s="42">
        <v>-4</v>
      </c>
      <c r="H1236" s="40" t="s">
        <v>556</v>
      </c>
      <c r="I1236" s="39" t="s">
        <v>341</v>
      </c>
      <c r="J1236" s="43">
        <v>7000</v>
      </c>
      <c r="K1236" s="43">
        <v>0</v>
      </c>
      <c r="L1236" s="43">
        <v>7000</v>
      </c>
      <c r="M1236" s="44">
        <v>0</v>
      </c>
      <c r="N1236" s="44">
        <f t="shared" si="19"/>
        <v>5600</v>
      </c>
      <c r="O1236" s="44">
        <v>5600</v>
      </c>
      <c r="P1236" s="40" t="s">
        <v>2498</v>
      </c>
      <c r="Q1236" s="40" t="s">
        <v>2499</v>
      </c>
      <c r="R1236" s="40" t="s">
        <v>494</v>
      </c>
      <c r="S1236" s="40" t="s">
        <v>502</v>
      </c>
      <c r="T1236" s="40" t="s">
        <v>280</v>
      </c>
      <c r="U1236" s="40" t="s">
        <v>2500</v>
      </c>
      <c r="V1236" s="40"/>
      <c r="W1236" s="40" t="s">
        <v>2501</v>
      </c>
    </row>
    <row r="1237" spans="1:23" ht="12" x14ac:dyDescent="0.2">
      <c r="A1237" s="39" t="s">
        <v>2496</v>
      </c>
      <c r="B1237" s="40" t="s">
        <v>2497</v>
      </c>
      <c r="C1237" s="40" t="s">
        <v>6812</v>
      </c>
      <c r="D1237" s="41">
        <v>46065</v>
      </c>
      <c r="E1237" s="41">
        <v>46095</v>
      </c>
      <c r="F1237" s="41">
        <v>46091</v>
      </c>
      <c r="G1237" s="42">
        <v>-4</v>
      </c>
      <c r="H1237" s="40" t="s">
        <v>556</v>
      </c>
      <c r="I1237" s="39" t="s">
        <v>341</v>
      </c>
      <c r="J1237" s="43">
        <v>7000</v>
      </c>
      <c r="K1237" s="43">
        <v>0</v>
      </c>
      <c r="L1237" s="43">
        <v>7000</v>
      </c>
      <c r="M1237" s="44">
        <v>0</v>
      </c>
      <c r="N1237" s="44">
        <f t="shared" si="19"/>
        <v>5600</v>
      </c>
      <c r="O1237" s="44">
        <v>5600</v>
      </c>
      <c r="P1237" s="40" t="s">
        <v>2498</v>
      </c>
      <c r="Q1237" s="40" t="s">
        <v>2499</v>
      </c>
      <c r="R1237" s="40" t="s">
        <v>494</v>
      </c>
      <c r="S1237" s="40" t="s">
        <v>502</v>
      </c>
      <c r="T1237" s="40" t="s">
        <v>280</v>
      </c>
      <c r="U1237" s="40" t="s">
        <v>2500</v>
      </c>
      <c r="V1237" s="40"/>
      <c r="W1237" s="40" t="s">
        <v>2501</v>
      </c>
    </row>
    <row r="1238" spans="1:23" ht="12" x14ac:dyDescent="0.2">
      <c r="A1238" s="39" t="s">
        <v>2496</v>
      </c>
      <c r="B1238" s="40" t="s">
        <v>2497</v>
      </c>
      <c r="C1238" s="40" t="s">
        <v>6813</v>
      </c>
      <c r="D1238" s="41">
        <v>46065</v>
      </c>
      <c r="E1238" s="41">
        <v>46095</v>
      </c>
      <c r="F1238" s="41">
        <v>46091</v>
      </c>
      <c r="G1238" s="42">
        <v>-4</v>
      </c>
      <c r="H1238" s="40" t="s">
        <v>556</v>
      </c>
      <c r="I1238" s="39" t="s">
        <v>341</v>
      </c>
      <c r="J1238" s="43">
        <v>7000</v>
      </c>
      <c r="K1238" s="43">
        <v>0</v>
      </c>
      <c r="L1238" s="43">
        <v>7000</v>
      </c>
      <c r="M1238" s="44">
        <v>0</v>
      </c>
      <c r="N1238" s="44">
        <f t="shared" si="19"/>
        <v>5600</v>
      </c>
      <c r="O1238" s="44">
        <v>5600</v>
      </c>
      <c r="P1238" s="40" t="s">
        <v>2498</v>
      </c>
      <c r="Q1238" s="40" t="s">
        <v>2499</v>
      </c>
      <c r="R1238" s="40" t="s">
        <v>494</v>
      </c>
      <c r="S1238" s="40" t="s">
        <v>502</v>
      </c>
      <c r="T1238" s="40" t="s">
        <v>280</v>
      </c>
      <c r="U1238" s="40" t="s">
        <v>2500</v>
      </c>
      <c r="V1238" s="40"/>
      <c r="W1238" s="40" t="s">
        <v>2501</v>
      </c>
    </row>
    <row r="1239" spans="1:23" ht="12" x14ac:dyDescent="0.2">
      <c r="A1239" s="39" t="s">
        <v>2496</v>
      </c>
      <c r="B1239" s="40" t="s">
        <v>2497</v>
      </c>
      <c r="C1239" s="40" t="s">
        <v>6814</v>
      </c>
      <c r="D1239" s="41">
        <v>46065</v>
      </c>
      <c r="E1239" s="41">
        <v>46095</v>
      </c>
      <c r="F1239" s="41">
        <v>46091</v>
      </c>
      <c r="G1239" s="42">
        <v>-4</v>
      </c>
      <c r="H1239" s="40" t="s">
        <v>556</v>
      </c>
      <c r="I1239" s="39" t="s">
        <v>341</v>
      </c>
      <c r="J1239" s="43">
        <v>7000</v>
      </c>
      <c r="K1239" s="43">
        <v>0</v>
      </c>
      <c r="L1239" s="43">
        <v>7000</v>
      </c>
      <c r="M1239" s="44">
        <v>0</v>
      </c>
      <c r="N1239" s="44">
        <f t="shared" si="19"/>
        <v>5600</v>
      </c>
      <c r="O1239" s="44">
        <v>5600</v>
      </c>
      <c r="P1239" s="40" t="s">
        <v>2498</v>
      </c>
      <c r="Q1239" s="40" t="s">
        <v>2499</v>
      </c>
      <c r="R1239" s="40" t="s">
        <v>494</v>
      </c>
      <c r="S1239" s="40" t="s">
        <v>502</v>
      </c>
      <c r="T1239" s="40" t="s">
        <v>280</v>
      </c>
      <c r="U1239" s="40" t="s">
        <v>2500</v>
      </c>
      <c r="V1239" s="40"/>
      <c r="W1239" s="40" t="s">
        <v>2501</v>
      </c>
    </row>
    <row r="1240" spans="1:23" ht="12" x14ac:dyDescent="0.2">
      <c r="A1240" s="39" t="s">
        <v>2496</v>
      </c>
      <c r="B1240" s="40" t="s">
        <v>2497</v>
      </c>
      <c r="C1240" s="40" t="s">
        <v>6815</v>
      </c>
      <c r="D1240" s="41">
        <v>46065</v>
      </c>
      <c r="E1240" s="41">
        <v>46095</v>
      </c>
      <c r="F1240" s="41">
        <v>46091</v>
      </c>
      <c r="G1240" s="42">
        <v>-4</v>
      </c>
      <c r="H1240" s="40" t="s">
        <v>556</v>
      </c>
      <c r="I1240" s="39" t="s">
        <v>341</v>
      </c>
      <c r="J1240" s="43">
        <v>7000</v>
      </c>
      <c r="K1240" s="43">
        <v>0</v>
      </c>
      <c r="L1240" s="43">
        <v>7000</v>
      </c>
      <c r="M1240" s="44">
        <v>0</v>
      </c>
      <c r="N1240" s="44">
        <f t="shared" si="19"/>
        <v>5600</v>
      </c>
      <c r="O1240" s="44">
        <v>5600</v>
      </c>
      <c r="P1240" s="40" t="s">
        <v>2498</v>
      </c>
      <c r="Q1240" s="40" t="s">
        <v>2499</v>
      </c>
      <c r="R1240" s="40" t="s">
        <v>494</v>
      </c>
      <c r="S1240" s="40" t="s">
        <v>502</v>
      </c>
      <c r="T1240" s="40" t="s">
        <v>280</v>
      </c>
      <c r="U1240" s="40" t="s">
        <v>2500</v>
      </c>
      <c r="V1240" s="40"/>
      <c r="W1240" s="40" t="s">
        <v>2501</v>
      </c>
    </row>
    <row r="1241" spans="1:23" ht="12" x14ac:dyDescent="0.2">
      <c r="A1241" s="39" t="s">
        <v>2178</v>
      </c>
      <c r="B1241" s="40" t="s">
        <v>2179</v>
      </c>
      <c r="C1241" s="40" t="s">
        <v>6816</v>
      </c>
      <c r="D1241" s="41">
        <v>46065</v>
      </c>
      <c r="E1241" s="41">
        <v>46095</v>
      </c>
      <c r="F1241" s="41">
        <v>46091</v>
      </c>
      <c r="G1241" s="42">
        <v>-4</v>
      </c>
      <c r="H1241" s="40" t="s">
        <v>556</v>
      </c>
      <c r="I1241" s="39" t="s">
        <v>320</v>
      </c>
      <c r="J1241" s="43">
        <v>42306.239999999998</v>
      </c>
      <c r="K1241" s="43">
        <v>0</v>
      </c>
      <c r="L1241" s="43">
        <v>42306.239999999998</v>
      </c>
      <c r="M1241" s="44">
        <v>0</v>
      </c>
      <c r="N1241" s="44">
        <f t="shared" si="19"/>
        <v>42306.239999999998</v>
      </c>
      <c r="O1241" s="44">
        <v>42306.239999999998</v>
      </c>
      <c r="P1241" s="40" t="s">
        <v>6817</v>
      </c>
      <c r="Q1241" s="40" t="s">
        <v>6818</v>
      </c>
      <c r="R1241" s="40" t="s">
        <v>494</v>
      </c>
      <c r="S1241" s="40" t="s">
        <v>502</v>
      </c>
      <c r="T1241" s="40" t="s">
        <v>547</v>
      </c>
      <c r="U1241" s="40" t="s">
        <v>6819</v>
      </c>
      <c r="V1241" s="40"/>
      <c r="W1241" s="40" t="s">
        <v>6820</v>
      </c>
    </row>
    <row r="1242" spans="1:23" ht="12" x14ac:dyDescent="0.2">
      <c r="A1242" s="39" t="s">
        <v>28</v>
      </c>
      <c r="B1242" s="40" t="s">
        <v>2578</v>
      </c>
      <c r="C1242" s="40" t="s">
        <v>6821</v>
      </c>
      <c r="D1242" s="41">
        <v>46065</v>
      </c>
      <c r="E1242" s="41">
        <v>46095</v>
      </c>
      <c r="F1242" s="41">
        <v>46091</v>
      </c>
      <c r="G1242" s="42">
        <v>-4</v>
      </c>
      <c r="H1242" s="40" t="s">
        <v>556</v>
      </c>
      <c r="I1242" s="39" t="s">
        <v>323</v>
      </c>
      <c r="J1242" s="43">
        <v>2856.68</v>
      </c>
      <c r="K1242" s="43">
        <v>0</v>
      </c>
      <c r="L1242" s="43">
        <v>2856.68</v>
      </c>
      <c r="M1242" s="44">
        <v>0</v>
      </c>
      <c r="N1242" s="44">
        <f t="shared" si="19"/>
        <v>1731.32</v>
      </c>
      <c r="O1242" s="44">
        <v>1731.32</v>
      </c>
      <c r="P1242" s="40" t="s">
        <v>6822</v>
      </c>
      <c r="Q1242" s="40" t="s">
        <v>6823</v>
      </c>
      <c r="R1242" s="40" t="s">
        <v>494</v>
      </c>
      <c r="S1242" s="40" t="s">
        <v>502</v>
      </c>
      <c r="T1242" s="40" t="s">
        <v>330</v>
      </c>
      <c r="U1242" s="40" t="s">
        <v>2017</v>
      </c>
      <c r="V1242" s="40"/>
      <c r="W1242" s="40" t="s">
        <v>6824</v>
      </c>
    </row>
    <row r="1243" spans="1:23" ht="12" x14ac:dyDescent="0.2">
      <c r="A1243" s="39" t="s">
        <v>412</v>
      </c>
      <c r="B1243" s="40" t="s">
        <v>411</v>
      </c>
      <c r="C1243" s="40" t="s">
        <v>6825</v>
      </c>
      <c r="D1243" s="41">
        <v>46065</v>
      </c>
      <c r="E1243" s="41">
        <v>46095</v>
      </c>
      <c r="F1243" s="41">
        <v>46091</v>
      </c>
      <c r="G1243" s="42">
        <v>-4</v>
      </c>
      <c r="H1243" s="40" t="s">
        <v>556</v>
      </c>
      <c r="I1243" s="39" t="s">
        <v>320</v>
      </c>
      <c r="J1243" s="43">
        <v>704379.78</v>
      </c>
      <c r="K1243" s="43">
        <v>0</v>
      </c>
      <c r="L1243" s="43">
        <v>704379.78</v>
      </c>
      <c r="M1243" s="44">
        <v>0</v>
      </c>
      <c r="N1243" s="44">
        <f t="shared" si="19"/>
        <v>704379.78</v>
      </c>
      <c r="O1243" s="44">
        <v>704379.78</v>
      </c>
      <c r="P1243" s="40" t="s">
        <v>3574</v>
      </c>
      <c r="Q1243" s="40" t="s">
        <v>3575</v>
      </c>
      <c r="R1243" s="40" t="s">
        <v>494</v>
      </c>
      <c r="S1243" s="40" t="s">
        <v>502</v>
      </c>
      <c r="T1243" s="40" t="s">
        <v>191</v>
      </c>
      <c r="U1243" s="40" t="s">
        <v>578</v>
      </c>
      <c r="V1243" s="40"/>
      <c r="W1243" s="40" t="s">
        <v>3576</v>
      </c>
    </row>
    <row r="1244" spans="1:23" ht="12" x14ac:dyDescent="0.2">
      <c r="A1244" s="39" t="s">
        <v>474</v>
      </c>
      <c r="B1244" s="40" t="s">
        <v>473</v>
      </c>
      <c r="C1244" s="40" t="s">
        <v>6826</v>
      </c>
      <c r="D1244" s="41">
        <v>46065</v>
      </c>
      <c r="E1244" s="41">
        <v>46095</v>
      </c>
      <c r="F1244" s="41">
        <v>46091</v>
      </c>
      <c r="G1244" s="42">
        <v>-4</v>
      </c>
      <c r="H1244" s="40" t="s">
        <v>556</v>
      </c>
      <c r="I1244" s="39" t="s">
        <v>323</v>
      </c>
      <c r="J1244" s="43">
        <v>8300.39</v>
      </c>
      <c r="K1244" s="43">
        <v>0</v>
      </c>
      <c r="L1244" s="43">
        <v>8300.39</v>
      </c>
      <c r="M1244" s="44">
        <v>0</v>
      </c>
      <c r="N1244" s="44">
        <f t="shared" si="19"/>
        <v>5928.85</v>
      </c>
      <c r="O1244" s="44">
        <v>5928.85</v>
      </c>
      <c r="P1244" s="40" t="s">
        <v>6827</v>
      </c>
      <c r="Q1244" s="40" t="s">
        <v>6828</v>
      </c>
      <c r="R1244" s="40" t="s">
        <v>494</v>
      </c>
      <c r="S1244" s="40" t="s">
        <v>502</v>
      </c>
      <c r="T1244" s="40" t="s">
        <v>542</v>
      </c>
      <c r="U1244" s="40" t="s">
        <v>1090</v>
      </c>
      <c r="V1244" s="40"/>
      <c r="W1244" s="40" t="s">
        <v>6829</v>
      </c>
    </row>
    <row r="1245" spans="1:23" ht="12" x14ac:dyDescent="0.2">
      <c r="A1245" s="39" t="s">
        <v>3557</v>
      </c>
      <c r="B1245" s="40" t="s">
        <v>3558</v>
      </c>
      <c r="C1245" s="40" t="s">
        <v>6830</v>
      </c>
      <c r="D1245" s="41">
        <v>46066</v>
      </c>
      <c r="E1245" s="41">
        <v>46096</v>
      </c>
      <c r="F1245" s="41">
        <v>46091</v>
      </c>
      <c r="G1245" s="42">
        <v>-5</v>
      </c>
      <c r="H1245" s="40" t="s">
        <v>556</v>
      </c>
      <c r="I1245" s="39" t="s">
        <v>323</v>
      </c>
      <c r="J1245" s="43">
        <v>221301.26</v>
      </c>
      <c r="K1245" s="43">
        <v>0</v>
      </c>
      <c r="L1245" s="43">
        <v>221301.26</v>
      </c>
      <c r="M1245" s="44">
        <v>0</v>
      </c>
      <c r="N1245" s="44">
        <f t="shared" si="19"/>
        <v>163926.85999999999</v>
      </c>
      <c r="O1245" s="44">
        <v>163926.85999999999</v>
      </c>
      <c r="P1245" s="40" t="s">
        <v>3559</v>
      </c>
      <c r="Q1245" s="40" t="s">
        <v>3560</v>
      </c>
      <c r="R1245" s="40" t="s">
        <v>494</v>
      </c>
      <c r="S1245" s="40" t="s">
        <v>502</v>
      </c>
      <c r="T1245" s="40" t="s">
        <v>733</v>
      </c>
      <c r="U1245" s="40" t="s">
        <v>6831</v>
      </c>
      <c r="V1245" s="40"/>
      <c r="W1245" s="40" t="s">
        <v>3561</v>
      </c>
    </row>
    <row r="1246" spans="1:23" ht="12" x14ac:dyDescent="0.2">
      <c r="A1246" s="39" t="s">
        <v>22</v>
      </c>
      <c r="B1246" s="40" t="s">
        <v>326</v>
      </c>
      <c r="C1246" s="40" t="s">
        <v>6832</v>
      </c>
      <c r="D1246" s="41">
        <v>46066</v>
      </c>
      <c r="E1246" s="41">
        <v>46096</v>
      </c>
      <c r="F1246" s="41">
        <v>46091</v>
      </c>
      <c r="G1246" s="42">
        <v>-5</v>
      </c>
      <c r="H1246" s="40" t="s">
        <v>556</v>
      </c>
      <c r="I1246" s="39" t="s">
        <v>320</v>
      </c>
      <c r="J1246" s="43">
        <v>7254.78</v>
      </c>
      <c r="K1246" s="43">
        <v>0</v>
      </c>
      <c r="L1246" s="43">
        <v>7254.78</v>
      </c>
      <c r="M1246" s="44">
        <v>0</v>
      </c>
      <c r="N1246" s="44">
        <f t="shared" si="19"/>
        <v>7254.78</v>
      </c>
      <c r="O1246" s="44">
        <v>7254.78</v>
      </c>
      <c r="P1246" s="40" t="s">
        <v>6833</v>
      </c>
      <c r="Q1246" s="40" t="s">
        <v>6834</v>
      </c>
      <c r="R1246" s="40" t="s">
        <v>494</v>
      </c>
      <c r="S1246" s="40" t="s">
        <v>502</v>
      </c>
      <c r="T1246" s="40" t="s">
        <v>189</v>
      </c>
      <c r="U1246" s="40" t="s">
        <v>6835</v>
      </c>
      <c r="V1246" s="40"/>
      <c r="W1246" s="40" t="s">
        <v>6836</v>
      </c>
    </row>
    <row r="1247" spans="1:23" ht="12" x14ac:dyDescent="0.2">
      <c r="A1247" s="39" t="s">
        <v>40</v>
      </c>
      <c r="B1247" s="40" t="s">
        <v>456</v>
      </c>
      <c r="C1247" s="40" t="s">
        <v>6837</v>
      </c>
      <c r="D1247" s="41">
        <v>46066</v>
      </c>
      <c r="E1247" s="41">
        <v>46096</v>
      </c>
      <c r="F1247" s="41">
        <v>46091</v>
      </c>
      <c r="G1247" s="42">
        <v>-5</v>
      </c>
      <c r="H1247" s="40" t="s">
        <v>556</v>
      </c>
      <c r="I1247" s="39" t="s">
        <v>320</v>
      </c>
      <c r="J1247" s="43">
        <v>10629.67</v>
      </c>
      <c r="K1247" s="43">
        <v>0</v>
      </c>
      <c r="L1247" s="43">
        <v>10629.67</v>
      </c>
      <c r="M1247" s="44">
        <v>0</v>
      </c>
      <c r="N1247" s="44">
        <f t="shared" si="19"/>
        <v>10629.67</v>
      </c>
      <c r="O1247" s="44">
        <v>10629.67</v>
      </c>
      <c r="P1247" s="40" t="s">
        <v>6838</v>
      </c>
      <c r="Q1247" s="40" t="s">
        <v>6839</v>
      </c>
      <c r="R1247" s="40" t="s">
        <v>494</v>
      </c>
      <c r="S1247" s="40" t="s">
        <v>502</v>
      </c>
      <c r="T1247" s="40" t="s">
        <v>219</v>
      </c>
      <c r="U1247" s="40" t="s">
        <v>6840</v>
      </c>
      <c r="V1247" s="40"/>
      <c r="W1247" s="40" t="s">
        <v>6841</v>
      </c>
    </row>
    <row r="1248" spans="1:23" ht="12" x14ac:dyDescent="0.2">
      <c r="A1248" s="39" t="s">
        <v>16</v>
      </c>
      <c r="B1248" s="40" t="s">
        <v>414</v>
      </c>
      <c r="C1248" s="40" t="s">
        <v>6842</v>
      </c>
      <c r="D1248" s="41">
        <v>46066</v>
      </c>
      <c r="E1248" s="41">
        <v>46096</v>
      </c>
      <c r="F1248" s="41">
        <v>46091</v>
      </c>
      <c r="G1248" s="42">
        <v>-5</v>
      </c>
      <c r="H1248" s="40" t="s">
        <v>556</v>
      </c>
      <c r="I1248" s="39" t="s">
        <v>320</v>
      </c>
      <c r="J1248" s="43">
        <v>1087.31</v>
      </c>
      <c r="K1248" s="43">
        <v>0</v>
      </c>
      <c r="L1248" s="43">
        <v>1087.31</v>
      </c>
      <c r="M1248" s="44">
        <v>0</v>
      </c>
      <c r="N1248" s="44">
        <f t="shared" si="19"/>
        <v>1087.31</v>
      </c>
      <c r="O1248" s="44">
        <v>1087.31</v>
      </c>
      <c r="P1248" s="40" t="s">
        <v>6843</v>
      </c>
      <c r="Q1248" s="40" t="s">
        <v>6844</v>
      </c>
      <c r="R1248" s="40" t="s">
        <v>494</v>
      </c>
      <c r="S1248" s="40" t="s">
        <v>502</v>
      </c>
      <c r="T1248" s="40" t="s">
        <v>289</v>
      </c>
      <c r="U1248" s="40" t="s">
        <v>691</v>
      </c>
      <c r="V1248" s="40"/>
      <c r="W1248" s="40" t="s">
        <v>6845</v>
      </c>
    </row>
    <row r="1249" spans="1:23" ht="12" x14ac:dyDescent="0.2">
      <c r="A1249" s="39" t="s">
        <v>357</v>
      </c>
      <c r="B1249" s="40" t="s">
        <v>356</v>
      </c>
      <c r="C1249" s="40" t="s">
        <v>6846</v>
      </c>
      <c r="D1249" s="41">
        <v>46066</v>
      </c>
      <c r="E1249" s="41">
        <v>46096</v>
      </c>
      <c r="F1249" s="41">
        <v>46091</v>
      </c>
      <c r="G1249" s="42">
        <v>-5</v>
      </c>
      <c r="H1249" s="40" t="s">
        <v>556</v>
      </c>
      <c r="I1249" s="39" t="s">
        <v>341</v>
      </c>
      <c r="J1249" s="43">
        <v>1038640.81</v>
      </c>
      <c r="K1249" s="43">
        <v>0</v>
      </c>
      <c r="L1249" s="43">
        <v>342002</v>
      </c>
      <c r="M1249" s="44">
        <v>0</v>
      </c>
      <c r="N1249" s="44">
        <f t="shared" si="19"/>
        <v>289679.11</v>
      </c>
      <c r="O1249" s="44">
        <v>289679.11</v>
      </c>
      <c r="P1249" s="40" t="s">
        <v>6847</v>
      </c>
      <c r="Q1249" s="40" t="s">
        <v>6848</v>
      </c>
      <c r="R1249" s="40" t="s">
        <v>494</v>
      </c>
      <c r="S1249" s="40" t="s">
        <v>502</v>
      </c>
      <c r="T1249" s="40" t="s">
        <v>218</v>
      </c>
      <c r="U1249" s="40" t="s">
        <v>4559</v>
      </c>
      <c r="V1249" s="40"/>
      <c r="W1249" s="40" t="s">
        <v>6849</v>
      </c>
    </row>
    <row r="1250" spans="1:23" ht="12" x14ac:dyDescent="0.2">
      <c r="A1250" s="39" t="s">
        <v>6850</v>
      </c>
      <c r="B1250" s="40" t="s">
        <v>6851</v>
      </c>
      <c r="C1250" s="40" t="s">
        <v>6852</v>
      </c>
      <c r="D1250" s="41">
        <v>46066</v>
      </c>
      <c r="E1250" s="41">
        <v>46096</v>
      </c>
      <c r="F1250" s="41">
        <v>46091</v>
      </c>
      <c r="G1250" s="42">
        <v>-5</v>
      </c>
      <c r="H1250" s="40" t="s">
        <v>556</v>
      </c>
      <c r="I1250" s="39" t="s">
        <v>320</v>
      </c>
      <c r="J1250" s="43">
        <v>256058</v>
      </c>
      <c r="K1250" s="43">
        <v>0</v>
      </c>
      <c r="L1250" s="43">
        <v>256058</v>
      </c>
      <c r="M1250" s="44">
        <v>0</v>
      </c>
      <c r="N1250" s="44">
        <f t="shared" si="19"/>
        <v>256058</v>
      </c>
      <c r="O1250" s="44">
        <v>256058</v>
      </c>
      <c r="P1250" s="40" t="s">
        <v>6853</v>
      </c>
      <c r="Q1250" s="40" t="s">
        <v>6854</v>
      </c>
      <c r="R1250" s="40" t="s">
        <v>494</v>
      </c>
      <c r="S1250" s="40" t="s">
        <v>502</v>
      </c>
      <c r="T1250" s="40" t="s">
        <v>191</v>
      </c>
      <c r="U1250" s="40" t="s">
        <v>1879</v>
      </c>
      <c r="V1250" s="40" t="s">
        <v>6855</v>
      </c>
      <c r="W1250" s="40" t="s">
        <v>6856</v>
      </c>
    </row>
    <row r="1251" spans="1:23" ht="12" x14ac:dyDescent="0.2">
      <c r="A1251" s="39" t="s">
        <v>442</v>
      </c>
      <c r="B1251" s="40" t="s">
        <v>441</v>
      </c>
      <c r="C1251" s="40" t="s">
        <v>6857</v>
      </c>
      <c r="D1251" s="41">
        <v>46066</v>
      </c>
      <c r="E1251" s="41">
        <v>46096</v>
      </c>
      <c r="F1251" s="41">
        <v>46091</v>
      </c>
      <c r="G1251" s="42">
        <v>-5</v>
      </c>
      <c r="H1251" s="40" t="s">
        <v>556</v>
      </c>
      <c r="I1251" s="39" t="s">
        <v>320</v>
      </c>
      <c r="J1251" s="43">
        <v>32392.05</v>
      </c>
      <c r="K1251" s="43">
        <v>0</v>
      </c>
      <c r="L1251" s="43">
        <v>32392.05</v>
      </c>
      <c r="M1251" s="44">
        <v>0</v>
      </c>
      <c r="N1251" s="44">
        <f t="shared" si="19"/>
        <v>32392.05</v>
      </c>
      <c r="O1251" s="44">
        <v>32392.05</v>
      </c>
      <c r="P1251" s="40" t="s">
        <v>6858</v>
      </c>
      <c r="Q1251" s="40" t="s">
        <v>6859</v>
      </c>
      <c r="R1251" s="40" t="s">
        <v>494</v>
      </c>
      <c r="S1251" s="40" t="s">
        <v>502</v>
      </c>
      <c r="T1251" s="40" t="s">
        <v>219</v>
      </c>
      <c r="U1251" s="40" t="s">
        <v>6860</v>
      </c>
      <c r="V1251" s="40"/>
      <c r="W1251" s="40" t="s">
        <v>6861</v>
      </c>
    </row>
    <row r="1252" spans="1:23" ht="12" x14ac:dyDescent="0.2">
      <c r="A1252" s="39" t="s">
        <v>357</v>
      </c>
      <c r="B1252" s="40" t="s">
        <v>356</v>
      </c>
      <c r="C1252" s="40" t="s">
        <v>6862</v>
      </c>
      <c r="D1252" s="41">
        <v>46066</v>
      </c>
      <c r="E1252" s="41">
        <v>46096</v>
      </c>
      <c r="F1252" s="41">
        <v>46091</v>
      </c>
      <c r="G1252" s="42">
        <v>-5</v>
      </c>
      <c r="H1252" s="40" t="s">
        <v>556</v>
      </c>
      <c r="I1252" s="39" t="s">
        <v>341</v>
      </c>
      <c r="J1252" s="43">
        <v>35792.17</v>
      </c>
      <c r="K1252" s="43">
        <v>0</v>
      </c>
      <c r="L1252" s="43">
        <v>35792.17</v>
      </c>
      <c r="M1252" s="44">
        <v>0</v>
      </c>
      <c r="N1252" s="44">
        <f t="shared" si="19"/>
        <v>30281.25</v>
      </c>
      <c r="O1252" s="44">
        <v>30281.25</v>
      </c>
      <c r="P1252" s="40" t="s">
        <v>1874</v>
      </c>
      <c r="Q1252" s="40" t="s">
        <v>1875</v>
      </c>
      <c r="R1252" s="40" t="s">
        <v>494</v>
      </c>
      <c r="S1252" s="40" t="s">
        <v>502</v>
      </c>
      <c r="T1252" s="40" t="s">
        <v>769</v>
      </c>
      <c r="U1252" s="40" t="s">
        <v>1876</v>
      </c>
      <c r="V1252" s="40"/>
      <c r="W1252" s="40" t="s">
        <v>1877</v>
      </c>
    </row>
    <row r="1253" spans="1:23" ht="12" x14ac:dyDescent="0.2">
      <c r="A1253" s="39" t="s">
        <v>6863</v>
      </c>
      <c r="B1253" s="40" t="s">
        <v>6864</v>
      </c>
      <c r="C1253" s="40" t="s">
        <v>6865</v>
      </c>
      <c r="D1253" s="41">
        <v>46066</v>
      </c>
      <c r="E1253" s="41">
        <v>46096</v>
      </c>
      <c r="F1253" s="41">
        <v>46091</v>
      </c>
      <c r="G1253" s="42">
        <v>-5</v>
      </c>
      <c r="H1253" s="40" t="s">
        <v>556</v>
      </c>
      <c r="I1253" s="39" t="s">
        <v>320</v>
      </c>
      <c r="J1253" s="43">
        <v>-196.15</v>
      </c>
      <c r="K1253" s="43">
        <v>0</v>
      </c>
      <c r="L1253" s="43">
        <v>-196.15</v>
      </c>
      <c r="M1253" s="44">
        <v>0</v>
      </c>
      <c r="N1253" s="44">
        <f t="shared" si="19"/>
        <v>-196.15</v>
      </c>
      <c r="O1253" s="44">
        <v>-196.15</v>
      </c>
      <c r="P1253" s="40" t="s">
        <v>6866</v>
      </c>
      <c r="Q1253" s="40" t="s">
        <v>6867</v>
      </c>
      <c r="R1253" s="40" t="s">
        <v>494</v>
      </c>
      <c r="S1253" s="40" t="s">
        <v>495</v>
      </c>
      <c r="T1253" s="40" t="s">
        <v>180</v>
      </c>
      <c r="U1253" s="40" t="s">
        <v>4371</v>
      </c>
      <c r="V1253" s="40" t="s">
        <v>4017</v>
      </c>
      <c r="W1253" s="40" t="s">
        <v>6868</v>
      </c>
    </row>
    <row r="1254" spans="1:23" ht="12" x14ac:dyDescent="0.2">
      <c r="A1254" s="39" t="s">
        <v>33</v>
      </c>
      <c r="B1254" s="40" t="s">
        <v>340</v>
      </c>
      <c r="C1254" s="40" t="s">
        <v>6869</v>
      </c>
      <c r="D1254" s="41">
        <v>46069</v>
      </c>
      <c r="E1254" s="41">
        <v>46099</v>
      </c>
      <c r="F1254" s="41">
        <v>46091</v>
      </c>
      <c r="G1254" s="42">
        <v>-8</v>
      </c>
      <c r="H1254" s="40" t="s">
        <v>556</v>
      </c>
      <c r="I1254" s="39" t="s">
        <v>320</v>
      </c>
      <c r="J1254" s="43">
        <v>13292.86</v>
      </c>
      <c r="K1254" s="43">
        <v>0</v>
      </c>
      <c r="L1254" s="43">
        <v>13292.86</v>
      </c>
      <c r="M1254" s="44">
        <v>0</v>
      </c>
      <c r="N1254" s="44">
        <f t="shared" si="19"/>
        <v>13292.86</v>
      </c>
      <c r="O1254" s="44">
        <v>13292.86</v>
      </c>
      <c r="P1254" s="40" t="s">
        <v>3668</v>
      </c>
      <c r="Q1254" s="40" t="s">
        <v>3669</v>
      </c>
      <c r="R1254" s="40" t="s">
        <v>494</v>
      </c>
      <c r="S1254" s="40" t="s">
        <v>502</v>
      </c>
      <c r="T1254" s="40" t="s">
        <v>330</v>
      </c>
      <c r="U1254" s="40" t="s">
        <v>3670</v>
      </c>
      <c r="V1254" s="40"/>
      <c r="W1254" s="40" t="s">
        <v>3671</v>
      </c>
    </row>
    <row r="1255" spans="1:23" ht="12" x14ac:dyDescent="0.2">
      <c r="A1255" s="39" t="s">
        <v>6870</v>
      </c>
      <c r="B1255" s="40" t="s">
        <v>6871</v>
      </c>
      <c r="C1255" s="40" t="s">
        <v>6872</v>
      </c>
      <c r="D1255" s="41">
        <v>46069</v>
      </c>
      <c r="E1255" s="41">
        <v>46099</v>
      </c>
      <c r="F1255" s="41">
        <v>46091</v>
      </c>
      <c r="G1255" s="42">
        <v>-8</v>
      </c>
      <c r="H1255" s="40" t="s">
        <v>556</v>
      </c>
      <c r="I1255" s="39" t="s">
        <v>320</v>
      </c>
      <c r="J1255" s="43">
        <v>5072.0600000000004</v>
      </c>
      <c r="K1255" s="43">
        <v>0</v>
      </c>
      <c r="L1255" s="43">
        <v>5072.0600000000004</v>
      </c>
      <c r="M1255" s="44">
        <v>0</v>
      </c>
      <c r="N1255" s="44">
        <f t="shared" si="19"/>
        <v>5072.0600000000004</v>
      </c>
      <c r="O1255" s="44">
        <v>5072.0600000000004</v>
      </c>
      <c r="P1255" s="40" t="s">
        <v>6873</v>
      </c>
      <c r="Q1255" s="40" t="s">
        <v>6874</v>
      </c>
      <c r="R1255" s="40" t="s">
        <v>494</v>
      </c>
      <c r="S1255" s="40" t="s">
        <v>502</v>
      </c>
      <c r="T1255" s="40" t="s">
        <v>512</v>
      </c>
      <c r="U1255" s="40" t="s">
        <v>5451</v>
      </c>
      <c r="V1255" s="40"/>
      <c r="W1255" s="40" t="s">
        <v>6875</v>
      </c>
    </row>
    <row r="1256" spans="1:23" ht="12" x14ac:dyDescent="0.2">
      <c r="A1256" s="39" t="s">
        <v>3784</v>
      </c>
      <c r="B1256" s="40" t="s">
        <v>6876</v>
      </c>
      <c r="C1256" s="40" t="s">
        <v>6877</v>
      </c>
      <c r="D1256" s="41">
        <v>46069</v>
      </c>
      <c r="E1256" s="41">
        <v>46099</v>
      </c>
      <c r="F1256" s="41">
        <v>46091</v>
      </c>
      <c r="G1256" s="42">
        <v>-8</v>
      </c>
      <c r="H1256" s="40" t="s">
        <v>556</v>
      </c>
      <c r="I1256" s="39" t="s">
        <v>320</v>
      </c>
      <c r="J1256" s="43">
        <v>3007.05</v>
      </c>
      <c r="K1256" s="43">
        <v>0</v>
      </c>
      <c r="L1256" s="43">
        <v>3007.05</v>
      </c>
      <c r="M1256" s="44">
        <v>0</v>
      </c>
      <c r="N1256" s="44">
        <f t="shared" si="19"/>
        <v>3007.05</v>
      </c>
      <c r="O1256" s="44">
        <v>3007.05</v>
      </c>
      <c r="P1256" s="40" t="s">
        <v>6878</v>
      </c>
      <c r="Q1256" s="40" t="s">
        <v>6879</v>
      </c>
      <c r="R1256" s="40" t="s">
        <v>494</v>
      </c>
      <c r="S1256" s="40" t="s">
        <v>502</v>
      </c>
      <c r="T1256" s="40" t="s">
        <v>219</v>
      </c>
      <c r="U1256" s="40" t="s">
        <v>6840</v>
      </c>
      <c r="V1256" s="40"/>
      <c r="W1256" s="40" t="s">
        <v>6880</v>
      </c>
    </row>
    <row r="1257" spans="1:23" ht="12" x14ac:dyDescent="0.2">
      <c r="A1257" s="39" t="s">
        <v>6420</v>
      </c>
      <c r="B1257" s="40" t="s">
        <v>6421</v>
      </c>
      <c r="C1257" s="40" t="s">
        <v>6881</v>
      </c>
      <c r="D1257" s="41">
        <v>46069</v>
      </c>
      <c r="E1257" s="41">
        <v>46099</v>
      </c>
      <c r="F1257" s="41">
        <v>46091</v>
      </c>
      <c r="G1257" s="42">
        <v>-8</v>
      </c>
      <c r="H1257" s="40" t="s">
        <v>556</v>
      </c>
      <c r="I1257" s="39" t="s">
        <v>320</v>
      </c>
      <c r="J1257" s="43">
        <v>21902</v>
      </c>
      <c r="K1257" s="43">
        <v>0</v>
      </c>
      <c r="L1257" s="43">
        <v>21902</v>
      </c>
      <c r="M1257" s="44">
        <v>0</v>
      </c>
      <c r="N1257" s="44">
        <f t="shared" si="19"/>
        <v>21902</v>
      </c>
      <c r="O1257" s="44">
        <v>21902</v>
      </c>
      <c r="P1257" s="40" t="s">
        <v>6882</v>
      </c>
      <c r="Q1257" s="40" t="s">
        <v>6883</v>
      </c>
      <c r="R1257" s="40" t="s">
        <v>494</v>
      </c>
      <c r="S1257" s="40" t="s">
        <v>502</v>
      </c>
      <c r="T1257" s="40" t="s">
        <v>535</v>
      </c>
      <c r="U1257" s="40" t="s">
        <v>573</v>
      </c>
      <c r="V1257" s="40"/>
      <c r="W1257" s="40" t="s">
        <v>6884</v>
      </c>
    </row>
    <row r="1258" spans="1:23" ht="12" x14ac:dyDescent="0.2">
      <c r="A1258" s="39" t="s">
        <v>906</v>
      </c>
      <c r="B1258" s="40" t="s">
        <v>907</v>
      </c>
      <c r="C1258" s="40" t="s">
        <v>6885</v>
      </c>
      <c r="D1258" s="41">
        <v>46069</v>
      </c>
      <c r="E1258" s="41">
        <v>46099</v>
      </c>
      <c r="F1258" s="41">
        <v>46091</v>
      </c>
      <c r="G1258" s="42">
        <v>-8</v>
      </c>
      <c r="H1258" s="40" t="s">
        <v>556</v>
      </c>
      <c r="I1258" s="39" t="s">
        <v>320</v>
      </c>
      <c r="J1258" s="43">
        <v>4799.8</v>
      </c>
      <c r="K1258" s="43">
        <v>0</v>
      </c>
      <c r="L1258" s="43">
        <v>4799.8</v>
      </c>
      <c r="M1258" s="44">
        <v>0</v>
      </c>
      <c r="N1258" s="44">
        <f t="shared" si="19"/>
        <v>4799.8</v>
      </c>
      <c r="O1258" s="44">
        <v>4799.8</v>
      </c>
      <c r="P1258" s="40" t="s">
        <v>6886</v>
      </c>
      <c r="Q1258" s="40" t="s">
        <v>6887</v>
      </c>
      <c r="R1258" s="40" t="s">
        <v>494</v>
      </c>
      <c r="S1258" s="40" t="s">
        <v>502</v>
      </c>
      <c r="T1258" s="40" t="s">
        <v>330</v>
      </c>
      <c r="U1258" s="40" t="s">
        <v>6888</v>
      </c>
      <c r="V1258" s="40"/>
      <c r="W1258" s="40" t="s">
        <v>6889</v>
      </c>
    </row>
    <row r="1259" spans="1:23" ht="12" x14ac:dyDescent="0.2">
      <c r="A1259" s="39" t="s">
        <v>16</v>
      </c>
      <c r="B1259" s="40" t="s">
        <v>414</v>
      </c>
      <c r="C1259" s="40" t="s">
        <v>6890</v>
      </c>
      <c r="D1259" s="41">
        <v>46069</v>
      </c>
      <c r="E1259" s="41">
        <v>46099</v>
      </c>
      <c r="F1259" s="41">
        <v>46091</v>
      </c>
      <c r="G1259" s="42">
        <v>-8</v>
      </c>
      <c r="H1259" s="40" t="s">
        <v>556</v>
      </c>
      <c r="I1259" s="39" t="s">
        <v>320</v>
      </c>
      <c r="J1259" s="43">
        <v>7520.88</v>
      </c>
      <c r="K1259" s="43">
        <v>1253.48</v>
      </c>
      <c r="L1259" s="43">
        <v>7520.88</v>
      </c>
      <c r="M1259" s="44">
        <v>1253.48</v>
      </c>
      <c r="N1259" s="44">
        <f t="shared" si="19"/>
        <v>6267.4</v>
      </c>
      <c r="O1259" s="44">
        <v>7520.88</v>
      </c>
      <c r="P1259" s="40" t="s">
        <v>6891</v>
      </c>
      <c r="Q1259" s="40" t="s">
        <v>6892</v>
      </c>
      <c r="R1259" s="40" t="s">
        <v>494</v>
      </c>
      <c r="S1259" s="40" t="s">
        <v>502</v>
      </c>
      <c r="T1259" s="40" t="s">
        <v>512</v>
      </c>
      <c r="U1259" s="40" t="s">
        <v>3051</v>
      </c>
      <c r="V1259" s="40"/>
      <c r="W1259" s="40" t="s">
        <v>6893</v>
      </c>
    </row>
    <row r="1260" spans="1:23" ht="12" x14ac:dyDescent="0.2">
      <c r="A1260" s="39" t="s">
        <v>37</v>
      </c>
      <c r="B1260" s="40" t="s">
        <v>452</v>
      </c>
      <c r="C1260" s="40" t="s">
        <v>6894</v>
      </c>
      <c r="D1260" s="41">
        <v>46069</v>
      </c>
      <c r="E1260" s="41">
        <v>46099</v>
      </c>
      <c r="F1260" s="41">
        <v>46091</v>
      </c>
      <c r="G1260" s="42">
        <v>-8</v>
      </c>
      <c r="H1260" s="40" t="s">
        <v>556</v>
      </c>
      <c r="I1260" s="39" t="s">
        <v>320</v>
      </c>
      <c r="J1260" s="43">
        <v>391.67</v>
      </c>
      <c r="K1260" s="43">
        <v>0</v>
      </c>
      <c r="L1260" s="43">
        <v>391.67</v>
      </c>
      <c r="M1260" s="44">
        <v>0</v>
      </c>
      <c r="N1260" s="44">
        <f t="shared" si="19"/>
        <v>391.67</v>
      </c>
      <c r="O1260" s="44">
        <v>391.67</v>
      </c>
      <c r="P1260" s="40" t="s">
        <v>6895</v>
      </c>
      <c r="Q1260" s="40" t="s">
        <v>6896</v>
      </c>
      <c r="R1260" s="40" t="s">
        <v>494</v>
      </c>
      <c r="S1260" s="40" t="s">
        <v>502</v>
      </c>
      <c r="T1260" s="40" t="s">
        <v>733</v>
      </c>
      <c r="U1260" s="40" t="s">
        <v>2155</v>
      </c>
      <c r="V1260" s="40"/>
      <c r="W1260" s="40" t="s">
        <v>6897</v>
      </c>
    </row>
    <row r="1261" spans="1:23" ht="12" x14ac:dyDescent="0.2">
      <c r="A1261" s="39" t="s">
        <v>1818</v>
      </c>
      <c r="B1261" s="40" t="s">
        <v>1819</v>
      </c>
      <c r="C1261" s="40" t="s">
        <v>6898</v>
      </c>
      <c r="D1261" s="41">
        <v>46069</v>
      </c>
      <c r="E1261" s="41">
        <v>46099</v>
      </c>
      <c r="F1261" s="41">
        <v>46091</v>
      </c>
      <c r="G1261" s="42">
        <v>-8</v>
      </c>
      <c r="H1261" s="40" t="s">
        <v>556</v>
      </c>
      <c r="I1261" s="39" t="s">
        <v>320</v>
      </c>
      <c r="J1261" s="43">
        <v>-3.56</v>
      </c>
      <c r="K1261" s="43">
        <v>0</v>
      </c>
      <c r="L1261" s="43">
        <v>-3.56</v>
      </c>
      <c r="M1261" s="44">
        <v>0</v>
      </c>
      <c r="N1261" s="44">
        <f t="shared" si="19"/>
        <v>-3.56</v>
      </c>
      <c r="O1261" s="44">
        <v>-3.56</v>
      </c>
      <c r="P1261" s="40" t="s">
        <v>6899</v>
      </c>
      <c r="Q1261" s="40" t="s">
        <v>6900</v>
      </c>
      <c r="R1261" s="40" t="s">
        <v>494</v>
      </c>
      <c r="S1261" s="40" t="s">
        <v>495</v>
      </c>
      <c r="T1261" s="40" t="s">
        <v>225</v>
      </c>
      <c r="U1261" s="40" t="s">
        <v>1496</v>
      </c>
      <c r="V1261" s="40"/>
      <c r="W1261" s="40" t="s">
        <v>6901</v>
      </c>
    </row>
    <row r="1262" spans="1:23" ht="12" x14ac:dyDescent="0.2">
      <c r="A1262" s="39" t="s">
        <v>366</v>
      </c>
      <c r="B1262" s="40" t="s">
        <v>365</v>
      </c>
      <c r="C1262" s="40" t="s">
        <v>6902</v>
      </c>
      <c r="D1262" s="41">
        <v>46069</v>
      </c>
      <c r="E1262" s="41">
        <v>46099</v>
      </c>
      <c r="F1262" s="41">
        <v>46091</v>
      </c>
      <c r="G1262" s="42">
        <v>-8</v>
      </c>
      <c r="H1262" s="40" t="s">
        <v>556</v>
      </c>
      <c r="I1262" s="39" t="s">
        <v>320</v>
      </c>
      <c r="J1262" s="43">
        <v>115376.03</v>
      </c>
      <c r="K1262" s="43">
        <v>0</v>
      </c>
      <c r="L1262" s="43">
        <v>115376.03</v>
      </c>
      <c r="M1262" s="44">
        <v>0</v>
      </c>
      <c r="N1262" s="44">
        <f t="shared" si="19"/>
        <v>115376.03</v>
      </c>
      <c r="O1262" s="44">
        <v>115376.03</v>
      </c>
      <c r="P1262" s="40" t="s">
        <v>1788</v>
      </c>
      <c r="Q1262" s="40" t="s">
        <v>1789</v>
      </c>
      <c r="R1262" s="40" t="s">
        <v>494</v>
      </c>
      <c r="S1262" s="40" t="s">
        <v>502</v>
      </c>
      <c r="T1262" s="40" t="s">
        <v>218</v>
      </c>
      <c r="U1262" s="40" t="s">
        <v>1166</v>
      </c>
      <c r="V1262" s="40"/>
      <c r="W1262" s="40" t="s">
        <v>1790</v>
      </c>
    </row>
    <row r="1263" spans="1:23" ht="12" x14ac:dyDescent="0.2">
      <c r="A1263" s="39" t="s">
        <v>6903</v>
      </c>
      <c r="B1263" s="40" t="s">
        <v>6904</v>
      </c>
      <c r="C1263" s="40" t="s">
        <v>6905</v>
      </c>
      <c r="D1263" s="41">
        <v>46069</v>
      </c>
      <c r="E1263" s="41">
        <v>46099</v>
      </c>
      <c r="F1263" s="41">
        <v>46091</v>
      </c>
      <c r="G1263" s="42">
        <v>-8</v>
      </c>
      <c r="H1263" s="40" t="s">
        <v>556</v>
      </c>
      <c r="I1263" s="39" t="s">
        <v>320</v>
      </c>
      <c r="J1263" s="43">
        <v>186478.12</v>
      </c>
      <c r="K1263" s="43">
        <v>0</v>
      </c>
      <c r="L1263" s="43">
        <v>186478.12</v>
      </c>
      <c r="M1263" s="44">
        <v>0</v>
      </c>
      <c r="N1263" s="44">
        <f t="shared" si="19"/>
        <v>186478.12</v>
      </c>
      <c r="O1263" s="44">
        <v>186478.12</v>
      </c>
      <c r="P1263" s="40" t="s">
        <v>6906</v>
      </c>
      <c r="Q1263" s="40" t="s">
        <v>6907</v>
      </c>
      <c r="R1263" s="40" t="s">
        <v>494</v>
      </c>
      <c r="S1263" s="40" t="s">
        <v>502</v>
      </c>
      <c r="T1263" s="40" t="s">
        <v>330</v>
      </c>
      <c r="U1263" s="40" t="s">
        <v>6908</v>
      </c>
      <c r="V1263" s="40" t="s">
        <v>4853</v>
      </c>
      <c r="W1263" s="40" t="s">
        <v>321</v>
      </c>
    </row>
    <row r="1264" spans="1:23" ht="12" x14ac:dyDescent="0.2">
      <c r="A1264" s="39" t="s">
        <v>3678</v>
      </c>
      <c r="B1264" s="40" t="s">
        <v>3679</v>
      </c>
      <c r="C1264" s="40" t="s">
        <v>6909</v>
      </c>
      <c r="D1264" s="41">
        <v>46069</v>
      </c>
      <c r="E1264" s="41">
        <v>46099</v>
      </c>
      <c r="F1264" s="41">
        <v>46091</v>
      </c>
      <c r="G1264" s="42">
        <v>-8</v>
      </c>
      <c r="H1264" s="40" t="s">
        <v>556</v>
      </c>
      <c r="I1264" s="39" t="s">
        <v>320</v>
      </c>
      <c r="J1264" s="43">
        <v>26409.59</v>
      </c>
      <c r="K1264" s="43">
        <v>0</v>
      </c>
      <c r="L1264" s="43">
        <v>26409.59</v>
      </c>
      <c r="M1264" s="44">
        <v>0</v>
      </c>
      <c r="N1264" s="44">
        <f t="shared" si="19"/>
        <v>26409.59</v>
      </c>
      <c r="O1264" s="44">
        <v>26409.59</v>
      </c>
      <c r="P1264" s="40" t="s">
        <v>6910</v>
      </c>
      <c r="Q1264" s="40" t="s">
        <v>6911</v>
      </c>
      <c r="R1264" s="40" t="s">
        <v>494</v>
      </c>
      <c r="S1264" s="40" t="s">
        <v>502</v>
      </c>
      <c r="T1264" s="40" t="s">
        <v>280</v>
      </c>
      <c r="U1264" s="40" t="s">
        <v>3449</v>
      </c>
      <c r="V1264" s="40"/>
      <c r="W1264" s="40" t="s">
        <v>6912</v>
      </c>
    </row>
    <row r="1265" spans="1:23" ht="12" x14ac:dyDescent="0.2">
      <c r="A1265" s="39" t="s">
        <v>366</v>
      </c>
      <c r="B1265" s="40" t="s">
        <v>365</v>
      </c>
      <c r="C1265" s="40" t="s">
        <v>6913</v>
      </c>
      <c r="D1265" s="41">
        <v>46069</v>
      </c>
      <c r="E1265" s="41">
        <v>46099</v>
      </c>
      <c r="F1265" s="41">
        <v>46091</v>
      </c>
      <c r="G1265" s="42">
        <v>-8</v>
      </c>
      <c r="H1265" s="40" t="s">
        <v>556</v>
      </c>
      <c r="I1265" s="39" t="s">
        <v>320</v>
      </c>
      <c r="J1265" s="43">
        <v>8554.94</v>
      </c>
      <c r="K1265" s="43">
        <v>0</v>
      </c>
      <c r="L1265" s="43">
        <v>8554.94</v>
      </c>
      <c r="M1265" s="44">
        <v>0</v>
      </c>
      <c r="N1265" s="44">
        <f t="shared" si="19"/>
        <v>8554.94</v>
      </c>
      <c r="O1265" s="44">
        <v>8554.94</v>
      </c>
      <c r="P1265" s="40" t="s">
        <v>4530</v>
      </c>
      <c r="Q1265" s="40" t="s">
        <v>4531</v>
      </c>
      <c r="R1265" s="40" t="s">
        <v>494</v>
      </c>
      <c r="S1265" s="40" t="s">
        <v>502</v>
      </c>
      <c r="T1265" s="40" t="s">
        <v>218</v>
      </c>
      <c r="U1265" s="40" t="s">
        <v>4532</v>
      </c>
      <c r="V1265" s="40" t="s">
        <v>6914</v>
      </c>
      <c r="W1265" s="40" t="s">
        <v>4534</v>
      </c>
    </row>
    <row r="1266" spans="1:23" ht="12" x14ac:dyDescent="0.2">
      <c r="A1266" s="39" t="s">
        <v>415</v>
      </c>
      <c r="B1266" s="40" t="s">
        <v>2934</v>
      </c>
      <c r="C1266" s="40" t="s">
        <v>6915</v>
      </c>
      <c r="D1266" s="41">
        <v>46069</v>
      </c>
      <c r="E1266" s="41">
        <v>46099</v>
      </c>
      <c r="F1266" s="41">
        <v>46091</v>
      </c>
      <c r="G1266" s="42">
        <v>-8</v>
      </c>
      <c r="H1266" s="40" t="s">
        <v>556</v>
      </c>
      <c r="I1266" s="39" t="s">
        <v>320</v>
      </c>
      <c r="J1266" s="43">
        <v>1492.5</v>
      </c>
      <c r="K1266" s="43">
        <v>0</v>
      </c>
      <c r="L1266" s="43">
        <v>1492.5</v>
      </c>
      <c r="M1266" s="44">
        <v>0</v>
      </c>
      <c r="N1266" s="44">
        <f t="shared" si="19"/>
        <v>1492.5</v>
      </c>
      <c r="O1266" s="44">
        <v>1492.5</v>
      </c>
      <c r="P1266" s="40" t="s">
        <v>6916</v>
      </c>
      <c r="Q1266" s="40" t="s">
        <v>6917</v>
      </c>
      <c r="R1266" s="40" t="s">
        <v>494</v>
      </c>
      <c r="S1266" s="40" t="s">
        <v>502</v>
      </c>
      <c r="T1266" s="40" t="s">
        <v>330</v>
      </c>
      <c r="U1266" s="40" t="s">
        <v>3681</v>
      </c>
      <c r="V1266" s="40"/>
      <c r="W1266" s="40" t="s">
        <v>6918</v>
      </c>
    </row>
    <row r="1267" spans="1:23" ht="12" x14ac:dyDescent="0.2">
      <c r="A1267" s="39" t="s">
        <v>318</v>
      </c>
      <c r="B1267" s="40" t="s">
        <v>317</v>
      </c>
      <c r="C1267" s="40" t="s">
        <v>6919</v>
      </c>
      <c r="D1267" s="41">
        <v>46069</v>
      </c>
      <c r="E1267" s="41">
        <v>46099</v>
      </c>
      <c r="F1267" s="41">
        <v>46091</v>
      </c>
      <c r="G1267" s="42">
        <v>-8</v>
      </c>
      <c r="H1267" s="40" t="s">
        <v>556</v>
      </c>
      <c r="I1267" s="39" t="s">
        <v>320</v>
      </c>
      <c r="J1267" s="43">
        <v>30000</v>
      </c>
      <c r="K1267" s="43">
        <v>0</v>
      </c>
      <c r="L1267" s="43">
        <v>30000</v>
      </c>
      <c r="M1267" s="44">
        <v>0</v>
      </c>
      <c r="N1267" s="44">
        <f t="shared" si="19"/>
        <v>30000</v>
      </c>
      <c r="O1267" s="44">
        <v>30000</v>
      </c>
      <c r="P1267" s="40" t="s">
        <v>319</v>
      </c>
      <c r="Q1267" s="40" t="s">
        <v>546</v>
      </c>
      <c r="R1267" s="40" t="s">
        <v>494</v>
      </c>
      <c r="S1267" s="40" t="s">
        <v>502</v>
      </c>
      <c r="T1267" s="40" t="s">
        <v>547</v>
      </c>
      <c r="U1267" s="40" t="s">
        <v>5927</v>
      </c>
      <c r="V1267" s="40"/>
      <c r="W1267" s="40"/>
    </row>
    <row r="1268" spans="1:23" ht="12" x14ac:dyDescent="0.2">
      <c r="A1268" s="39" t="s">
        <v>49</v>
      </c>
      <c r="B1268" s="40" t="s">
        <v>396</v>
      </c>
      <c r="C1268" s="40" t="s">
        <v>6920</v>
      </c>
      <c r="D1268" s="41">
        <v>46069</v>
      </c>
      <c r="E1268" s="41">
        <v>46099</v>
      </c>
      <c r="F1268" s="41">
        <v>46091</v>
      </c>
      <c r="G1268" s="42">
        <v>-8</v>
      </c>
      <c r="H1268" s="40" t="s">
        <v>556</v>
      </c>
      <c r="I1268" s="39" t="s">
        <v>320</v>
      </c>
      <c r="J1268" s="43">
        <v>778208.14</v>
      </c>
      <c r="K1268" s="43">
        <v>0</v>
      </c>
      <c r="L1268" s="43">
        <v>778208.14</v>
      </c>
      <c r="M1268" s="44">
        <v>0</v>
      </c>
      <c r="N1268" s="44">
        <f t="shared" si="19"/>
        <v>778208.14</v>
      </c>
      <c r="O1268" s="44">
        <v>778208.14</v>
      </c>
      <c r="P1268" s="40" t="s">
        <v>6921</v>
      </c>
      <c r="Q1268" s="40" t="s">
        <v>6922</v>
      </c>
      <c r="R1268" s="40" t="s">
        <v>494</v>
      </c>
      <c r="S1268" s="40" t="s">
        <v>502</v>
      </c>
      <c r="T1268" s="40" t="s">
        <v>6923</v>
      </c>
      <c r="U1268" s="40" t="s">
        <v>554</v>
      </c>
      <c r="V1268" s="40"/>
      <c r="W1268" s="40" t="s">
        <v>6924</v>
      </c>
    </row>
    <row r="1269" spans="1:23" ht="12" x14ac:dyDescent="0.2">
      <c r="A1269" s="39" t="s">
        <v>6925</v>
      </c>
      <c r="B1269" s="40" t="s">
        <v>6926</v>
      </c>
      <c r="C1269" s="40" t="s">
        <v>6927</v>
      </c>
      <c r="D1269" s="41">
        <v>46069</v>
      </c>
      <c r="E1269" s="41">
        <v>46099</v>
      </c>
      <c r="F1269" s="41">
        <v>46091</v>
      </c>
      <c r="G1269" s="42">
        <v>-8</v>
      </c>
      <c r="H1269" s="40" t="s">
        <v>556</v>
      </c>
      <c r="I1269" s="39" t="s">
        <v>6928</v>
      </c>
      <c r="J1269" s="43">
        <v>5674375.9900000002</v>
      </c>
      <c r="K1269" s="43">
        <v>0</v>
      </c>
      <c r="L1269" s="43">
        <v>5674375.9900000002</v>
      </c>
      <c r="M1269" s="44">
        <v>0</v>
      </c>
      <c r="N1269" s="44">
        <f t="shared" si="19"/>
        <v>485585.8</v>
      </c>
      <c r="O1269" s="44">
        <v>485585.8</v>
      </c>
      <c r="P1269" s="40" t="s">
        <v>6929</v>
      </c>
      <c r="Q1269" s="40" t="s">
        <v>6930</v>
      </c>
      <c r="R1269" s="40" t="s">
        <v>494</v>
      </c>
      <c r="S1269" s="40" t="s">
        <v>502</v>
      </c>
      <c r="T1269" s="40" t="s">
        <v>218</v>
      </c>
      <c r="U1269" s="40" t="s">
        <v>3141</v>
      </c>
      <c r="V1269" s="40"/>
      <c r="W1269" s="40" t="s">
        <v>322</v>
      </c>
    </row>
    <row r="1270" spans="1:23" ht="12" x14ac:dyDescent="0.2">
      <c r="A1270" s="39" t="s">
        <v>925</v>
      </c>
      <c r="B1270" s="40" t="s">
        <v>926</v>
      </c>
      <c r="C1270" s="40" t="s">
        <v>6931</v>
      </c>
      <c r="D1270" s="41">
        <v>46069</v>
      </c>
      <c r="E1270" s="41">
        <v>46099</v>
      </c>
      <c r="F1270" s="41">
        <v>46091</v>
      </c>
      <c r="G1270" s="42">
        <v>-8</v>
      </c>
      <c r="H1270" s="40" t="s">
        <v>556</v>
      </c>
      <c r="I1270" s="39" t="s">
        <v>320</v>
      </c>
      <c r="J1270" s="43">
        <v>36350.06</v>
      </c>
      <c r="K1270" s="43">
        <v>0</v>
      </c>
      <c r="L1270" s="43">
        <v>36350.06</v>
      </c>
      <c r="M1270" s="44">
        <v>0</v>
      </c>
      <c r="N1270" s="44">
        <f t="shared" si="19"/>
        <v>36350.06</v>
      </c>
      <c r="O1270" s="44">
        <v>36350.06</v>
      </c>
      <c r="P1270" s="40" t="s">
        <v>6105</v>
      </c>
      <c r="Q1270" s="40" t="s">
        <v>6106</v>
      </c>
      <c r="R1270" s="40" t="s">
        <v>494</v>
      </c>
      <c r="S1270" s="40" t="s">
        <v>502</v>
      </c>
      <c r="T1270" s="40" t="s">
        <v>330</v>
      </c>
      <c r="U1270" s="40" t="s">
        <v>633</v>
      </c>
      <c r="V1270" s="40" t="s">
        <v>6932</v>
      </c>
      <c r="W1270" s="40" t="s">
        <v>6107</v>
      </c>
    </row>
    <row r="1271" spans="1:23" ht="12" x14ac:dyDescent="0.2">
      <c r="A1271" s="39" t="s">
        <v>34</v>
      </c>
      <c r="B1271" s="40" t="s">
        <v>465</v>
      </c>
      <c r="C1271" s="40" t="s">
        <v>6933</v>
      </c>
      <c r="D1271" s="41">
        <v>46070</v>
      </c>
      <c r="E1271" s="41">
        <v>46100</v>
      </c>
      <c r="F1271" s="41">
        <v>46091</v>
      </c>
      <c r="G1271" s="42">
        <v>-9</v>
      </c>
      <c r="H1271" s="40" t="s">
        <v>556</v>
      </c>
      <c r="I1271" s="39" t="s">
        <v>320</v>
      </c>
      <c r="J1271" s="43">
        <v>79082.14</v>
      </c>
      <c r="K1271" s="43">
        <v>0</v>
      </c>
      <c r="L1271" s="43">
        <v>79082.14</v>
      </c>
      <c r="M1271" s="44">
        <v>0</v>
      </c>
      <c r="N1271" s="44">
        <f t="shared" si="19"/>
        <v>79082.14</v>
      </c>
      <c r="O1271" s="44">
        <v>79082.14</v>
      </c>
      <c r="P1271" s="40" t="s">
        <v>6934</v>
      </c>
      <c r="Q1271" s="40" t="s">
        <v>6935</v>
      </c>
      <c r="R1271" s="40" t="s">
        <v>494</v>
      </c>
      <c r="S1271" s="40" t="s">
        <v>495</v>
      </c>
      <c r="T1271" s="40" t="s">
        <v>221</v>
      </c>
      <c r="U1271" s="40" t="s">
        <v>1842</v>
      </c>
      <c r="V1271" s="40"/>
      <c r="W1271" s="40" t="s">
        <v>6936</v>
      </c>
    </row>
    <row r="1272" spans="1:23" ht="12" x14ac:dyDescent="0.2">
      <c r="A1272" s="39" t="s">
        <v>337</v>
      </c>
      <c r="B1272" s="40" t="s">
        <v>336</v>
      </c>
      <c r="C1272" s="40" t="s">
        <v>6937</v>
      </c>
      <c r="D1272" s="41">
        <v>46070</v>
      </c>
      <c r="E1272" s="41">
        <v>46100</v>
      </c>
      <c r="F1272" s="41">
        <v>46091</v>
      </c>
      <c r="G1272" s="42">
        <v>-9</v>
      </c>
      <c r="H1272" s="40" t="s">
        <v>556</v>
      </c>
      <c r="I1272" s="39" t="s">
        <v>320</v>
      </c>
      <c r="J1272" s="43">
        <v>60140.6</v>
      </c>
      <c r="K1272" s="43">
        <v>0</v>
      </c>
      <c r="L1272" s="43">
        <v>60140.6</v>
      </c>
      <c r="M1272" s="44">
        <v>0</v>
      </c>
      <c r="N1272" s="44">
        <f t="shared" si="19"/>
        <v>60140.6</v>
      </c>
      <c r="O1272" s="44">
        <v>60140.6</v>
      </c>
      <c r="P1272" s="40" t="s">
        <v>1039</v>
      </c>
      <c r="Q1272" s="40" t="s">
        <v>1040</v>
      </c>
      <c r="R1272" s="40" t="s">
        <v>494</v>
      </c>
      <c r="S1272" s="40" t="s">
        <v>502</v>
      </c>
      <c r="T1272" s="40" t="s">
        <v>289</v>
      </c>
      <c r="U1272" s="40" t="s">
        <v>1041</v>
      </c>
      <c r="V1272" s="40"/>
      <c r="W1272" s="40" t="s">
        <v>1042</v>
      </c>
    </row>
    <row r="1273" spans="1:23" ht="12" x14ac:dyDescent="0.2">
      <c r="A1273" s="39" t="s">
        <v>6938</v>
      </c>
      <c r="B1273" s="40" t="s">
        <v>6939</v>
      </c>
      <c r="C1273" s="40" t="s">
        <v>6940</v>
      </c>
      <c r="D1273" s="41">
        <v>46070</v>
      </c>
      <c r="E1273" s="41">
        <v>46100</v>
      </c>
      <c r="F1273" s="41">
        <v>46091</v>
      </c>
      <c r="G1273" s="42">
        <v>-9</v>
      </c>
      <c r="H1273" s="40" t="s">
        <v>556</v>
      </c>
      <c r="I1273" s="39" t="s">
        <v>320</v>
      </c>
      <c r="J1273" s="43">
        <v>7595.88</v>
      </c>
      <c r="K1273" s="43">
        <v>0</v>
      </c>
      <c r="L1273" s="43">
        <v>7595.88</v>
      </c>
      <c r="M1273" s="44">
        <v>0</v>
      </c>
      <c r="N1273" s="44">
        <f t="shared" si="19"/>
        <v>7595.88</v>
      </c>
      <c r="O1273" s="44">
        <v>7595.88</v>
      </c>
      <c r="P1273" s="40" t="s">
        <v>6941</v>
      </c>
      <c r="Q1273" s="40" t="s">
        <v>6942</v>
      </c>
      <c r="R1273" s="40" t="s">
        <v>494</v>
      </c>
      <c r="S1273" s="40" t="s">
        <v>502</v>
      </c>
      <c r="T1273" s="40" t="s">
        <v>813</v>
      </c>
      <c r="U1273" s="40" t="s">
        <v>6943</v>
      </c>
      <c r="V1273" s="40"/>
      <c r="W1273" s="40" t="s">
        <v>321</v>
      </c>
    </row>
    <row r="1274" spans="1:23" ht="12" x14ac:dyDescent="0.2">
      <c r="A1274" s="39" t="s">
        <v>4338</v>
      </c>
      <c r="B1274" s="40" t="s">
        <v>4339</v>
      </c>
      <c r="C1274" s="40" t="s">
        <v>6944</v>
      </c>
      <c r="D1274" s="41">
        <v>46070</v>
      </c>
      <c r="E1274" s="41">
        <v>46100</v>
      </c>
      <c r="F1274" s="41">
        <v>46091</v>
      </c>
      <c r="G1274" s="42">
        <v>-9</v>
      </c>
      <c r="H1274" s="40" t="s">
        <v>556</v>
      </c>
      <c r="I1274" s="39" t="s">
        <v>320</v>
      </c>
      <c r="J1274" s="43">
        <v>10701.44</v>
      </c>
      <c r="K1274" s="43">
        <v>0</v>
      </c>
      <c r="L1274" s="43">
        <v>10701.44</v>
      </c>
      <c r="M1274" s="44">
        <v>0</v>
      </c>
      <c r="N1274" s="44">
        <f t="shared" si="19"/>
        <v>10701.44</v>
      </c>
      <c r="O1274" s="44">
        <v>10701.44</v>
      </c>
      <c r="P1274" s="40" t="s">
        <v>4341</v>
      </c>
      <c r="Q1274" s="40" t="s">
        <v>4342</v>
      </c>
      <c r="R1274" s="40" t="s">
        <v>494</v>
      </c>
      <c r="S1274" s="40" t="s">
        <v>502</v>
      </c>
      <c r="T1274" s="40" t="s">
        <v>287</v>
      </c>
      <c r="U1274" s="40" t="s">
        <v>4343</v>
      </c>
      <c r="V1274" s="40"/>
      <c r="W1274" s="40" t="s">
        <v>4345</v>
      </c>
    </row>
    <row r="1275" spans="1:23" ht="12" x14ac:dyDescent="0.2">
      <c r="A1275" s="39" t="s">
        <v>718</v>
      </c>
      <c r="B1275" s="40" t="s">
        <v>3475</v>
      </c>
      <c r="C1275" s="40" t="s">
        <v>6945</v>
      </c>
      <c r="D1275" s="41">
        <v>46070</v>
      </c>
      <c r="E1275" s="41">
        <v>46100</v>
      </c>
      <c r="F1275" s="41">
        <v>46091</v>
      </c>
      <c r="G1275" s="42">
        <v>-9</v>
      </c>
      <c r="H1275" s="40" t="s">
        <v>556</v>
      </c>
      <c r="I1275" s="39" t="s">
        <v>3061</v>
      </c>
      <c r="J1275" s="43">
        <v>45000</v>
      </c>
      <c r="K1275" s="43">
        <v>0</v>
      </c>
      <c r="L1275" s="43">
        <v>45000</v>
      </c>
      <c r="M1275" s="44">
        <v>0</v>
      </c>
      <c r="N1275" s="44">
        <f t="shared" si="19"/>
        <v>36054.800000000003</v>
      </c>
      <c r="O1275" s="44">
        <v>36054.800000000003</v>
      </c>
      <c r="P1275" s="40" t="s">
        <v>6946</v>
      </c>
      <c r="Q1275" s="40" t="s">
        <v>6947</v>
      </c>
      <c r="R1275" s="40" t="s">
        <v>494</v>
      </c>
      <c r="S1275" s="40" t="s">
        <v>502</v>
      </c>
      <c r="T1275" s="40" t="s">
        <v>224</v>
      </c>
      <c r="U1275" s="40" t="s">
        <v>3476</v>
      </c>
      <c r="V1275" s="40"/>
      <c r="W1275" s="40" t="s">
        <v>6948</v>
      </c>
    </row>
    <row r="1276" spans="1:23" ht="12" x14ac:dyDescent="0.2">
      <c r="A1276" s="39" t="s">
        <v>412</v>
      </c>
      <c r="B1276" s="40" t="s">
        <v>411</v>
      </c>
      <c r="C1276" s="40" t="s">
        <v>6949</v>
      </c>
      <c r="D1276" s="41">
        <v>46070</v>
      </c>
      <c r="E1276" s="41">
        <v>46100</v>
      </c>
      <c r="F1276" s="41">
        <v>46091</v>
      </c>
      <c r="G1276" s="42">
        <v>-9</v>
      </c>
      <c r="H1276" s="40" t="s">
        <v>556</v>
      </c>
      <c r="I1276" s="39" t="s">
        <v>320</v>
      </c>
      <c r="J1276" s="43">
        <v>108542.32</v>
      </c>
      <c r="K1276" s="43">
        <v>0</v>
      </c>
      <c r="L1276" s="43">
        <v>108542.32</v>
      </c>
      <c r="M1276" s="44">
        <v>0</v>
      </c>
      <c r="N1276" s="44">
        <f t="shared" si="19"/>
        <v>108542.32</v>
      </c>
      <c r="O1276" s="44">
        <v>108542.32</v>
      </c>
      <c r="P1276" s="40" t="s">
        <v>6950</v>
      </c>
      <c r="Q1276" s="40" t="s">
        <v>6951</v>
      </c>
      <c r="R1276" s="40" t="s">
        <v>494</v>
      </c>
      <c r="S1276" s="40" t="s">
        <v>502</v>
      </c>
      <c r="T1276" s="40" t="s">
        <v>191</v>
      </c>
      <c r="U1276" s="40" t="s">
        <v>692</v>
      </c>
      <c r="V1276" s="40"/>
      <c r="W1276" s="40" t="s">
        <v>321</v>
      </c>
    </row>
    <row r="1277" spans="1:23" ht="12" x14ac:dyDescent="0.2">
      <c r="A1277" s="39" t="s">
        <v>369</v>
      </c>
      <c r="B1277" s="40" t="s">
        <v>794</v>
      </c>
      <c r="C1277" s="40" t="s">
        <v>6952</v>
      </c>
      <c r="D1277" s="41">
        <v>46070</v>
      </c>
      <c r="E1277" s="41">
        <v>46100</v>
      </c>
      <c r="F1277" s="41">
        <v>46091</v>
      </c>
      <c r="G1277" s="42">
        <v>-9</v>
      </c>
      <c r="H1277" s="40" t="s">
        <v>556</v>
      </c>
      <c r="I1277" s="39" t="s">
        <v>320</v>
      </c>
      <c r="J1277" s="43">
        <v>13539</v>
      </c>
      <c r="K1277" s="43">
        <v>0</v>
      </c>
      <c r="L1277" s="43">
        <v>13539</v>
      </c>
      <c r="M1277" s="44">
        <v>0</v>
      </c>
      <c r="N1277" s="44">
        <f t="shared" si="19"/>
        <v>13539</v>
      </c>
      <c r="O1277" s="44">
        <v>13539</v>
      </c>
      <c r="P1277" s="40" t="s">
        <v>3309</v>
      </c>
      <c r="Q1277" s="40" t="s">
        <v>3310</v>
      </c>
      <c r="R1277" s="40" t="s">
        <v>494</v>
      </c>
      <c r="S1277" s="40" t="s">
        <v>502</v>
      </c>
      <c r="T1277" s="40" t="s">
        <v>282</v>
      </c>
      <c r="U1277" s="40" t="s">
        <v>3311</v>
      </c>
      <c r="V1277" s="40"/>
      <c r="W1277" s="40" t="s">
        <v>3312</v>
      </c>
    </row>
    <row r="1278" spans="1:23" ht="12" x14ac:dyDescent="0.2">
      <c r="A1278" s="39" t="s">
        <v>38</v>
      </c>
      <c r="B1278" s="40" t="s">
        <v>605</v>
      </c>
      <c r="C1278" s="40" t="s">
        <v>6953</v>
      </c>
      <c r="D1278" s="41">
        <v>46070</v>
      </c>
      <c r="E1278" s="41">
        <v>46100</v>
      </c>
      <c r="F1278" s="41">
        <v>46091</v>
      </c>
      <c r="G1278" s="42">
        <v>-9</v>
      </c>
      <c r="H1278" s="40" t="s">
        <v>556</v>
      </c>
      <c r="I1278" s="39" t="s">
        <v>320</v>
      </c>
      <c r="J1278" s="43">
        <v>2310</v>
      </c>
      <c r="K1278" s="43">
        <v>0</v>
      </c>
      <c r="L1278" s="43">
        <v>2310</v>
      </c>
      <c r="M1278" s="44">
        <v>0</v>
      </c>
      <c r="N1278" s="44">
        <f t="shared" si="19"/>
        <v>2310</v>
      </c>
      <c r="O1278" s="44">
        <v>2310</v>
      </c>
      <c r="P1278" s="40" t="s">
        <v>6954</v>
      </c>
      <c r="Q1278" s="40" t="s">
        <v>6955</v>
      </c>
      <c r="R1278" s="40" t="s">
        <v>494</v>
      </c>
      <c r="S1278" s="40" t="s">
        <v>502</v>
      </c>
      <c r="T1278" s="40" t="s">
        <v>178</v>
      </c>
      <c r="U1278" s="40" t="s">
        <v>3144</v>
      </c>
      <c r="V1278" s="40" t="s">
        <v>6956</v>
      </c>
      <c r="W1278" s="40" t="s">
        <v>321</v>
      </c>
    </row>
    <row r="1279" spans="1:23" ht="12" x14ac:dyDescent="0.2">
      <c r="A1279" s="39" t="s">
        <v>38</v>
      </c>
      <c r="B1279" s="40" t="s">
        <v>605</v>
      </c>
      <c r="C1279" s="40" t="s">
        <v>6957</v>
      </c>
      <c r="D1279" s="41">
        <v>46070</v>
      </c>
      <c r="E1279" s="41">
        <v>46100</v>
      </c>
      <c r="F1279" s="41">
        <v>46091</v>
      </c>
      <c r="G1279" s="42">
        <v>-9</v>
      </c>
      <c r="H1279" s="40" t="s">
        <v>556</v>
      </c>
      <c r="I1279" s="39" t="s">
        <v>320</v>
      </c>
      <c r="J1279" s="43">
        <v>15090.48</v>
      </c>
      <c r="K1279" s="43">
        <v>0</v>
      </c>
      <c r="L1279" s="43">
        <v>15090.48</v>
      </c>
      <c r="M1279" s="44">
        <v>0</v>
      </c>
      <c r="N1279" s="44">
        <f t="shared" si="19"/>
        <v>15090.48</v>
      </c>
      <c r="O1279" s="44">
        <v>15090.48</v>
      </c>
      <c r="P1279" s="40" t="s">
        <v>6954</v>
      </c>
      <c r="Q1279" s="40" t="s">
        <v>6955</v>
      </c>
      <c r="R1279" s="40" t="s">
        <v>494</v>
      </c>
      <c r="S1279" s="40" t="s">
        <v>502</v>
      </c>
      <c r="T1279" s="40" t="s">
        <v>178</v>
      </c>
      <c r="U1279" s="40" t="s">
        <v>3144</v>
      </c>
      <c r="V1279" s="40" t="s">
        <v>6958</v>
      </c>
      <c r="W1279" s="40" t="s">
        <v>321</v>
      </c>
    </row>
    <row r="1280" spans="1:23" ht="12" x14ac:dyDescent="0.2">
      <c r="A1280" s="39" t="s">
        <v>366</v>
      </c>
      <c r="B1280" s="40" t="s">
        <v>365</v>
      </c>
      <c r="C1280" s="40" t="s">
        <v>6959</v>
      </c>
      <c r="D1280" s="41">
        <v>46070</v>
      </c>
      <c r="E1280" s="41">
        <v>46100</v>
      </c>
      <c r="F1280" s="41">
        <v>46091</v>
      </c>
      <c r="G1280" s="42">
        <v>-9</v>
      </c>
      <c r="H1280" s="40" t="s">
        <v>556</v>
      </c>
      <c r="I1280" s="39" t="s">
        <v>320</v>
      </c>
      <c r="J1280" s="43">
        <v>25027.73</v>
      </c>
      <c r="K1280" s="43">
        <v>0</v>
      </c>
      <c r="L1280" s="43">
        <v>25027.73</v>
      </c>
      <c r="M1280" s="44">
        <v>0</v>
      </c>
      <c r="N1280" s="44">
        <f t="shared" si="19"/>
        <v>25027.73</v>
      </c>
      <c r="O1280" s="44">
        <v>25027.73</v>
      </c>
      <c r="P1280" s="40" t="s">
        <v>6960</v>
      </c>
      <c r="Q1280" s="40" t="s">
        <v>6961</v>
      </c>
      <c r="R1280" s="40" t="s">
        <v>494</v>
      </c>
      <c r="S1280" s="40" t="s">
        <v>502</v>
      </c>
      <c r="T1280" s="40" t="s">
        <v>513</v>
      </c>
      <c r="U1280" s="40" t="s">
        <v>3597</v>
      </c>
      <c r="V1280" s="40" t="s">
        <v>3350</v>
      </c>
      <c r="W1280" s="40" t="s">
        <v>6962</v>
      </c>
    </row>
    <row r="1281" spans="1:23" ht="12" x14ac:dyDescent="0.2">
      <c r="A1281" s="39" t="s">
        <v>3282</v>
      </c>
      <c r="B1281" s="40" t="s">
        <v>3283</v>
      </c>
      <c r="C1281" s="40" t="s">
        <v>6963</v>
      </c>
      <c r="D1281" s="41">
        <v>46070</v>
      </c>
      <c r="E1281" s="41">
        <v>46100</v>
      </c>
      <c r="F1281" s="41">
        <v>46091</v>
      </c>
      <c r="G1281" s="42">
        <v>-9</v>
      </c>
      <c r="H1281" s="40" t="s">
        <v>556</v>
      </c>
      <c r="I1281" s="39" t="s">
        <v>320</v>
      </c>
      <c r="J1281" s="43">
        <v>27966.46</v>
      </c>
      <c r="K1281" s="43">
        <v>0</v>
      </c>
      <c r="L1281" s="43">
        <v>27966.46</v>
      </c>
      <c r="M1281" s="44">
        <v>0</v>
      </c>
      <c r="N1281" s="44">
        <f t="shared" si="19"/>
        <v>27966.46</v>
      </c>
      <c r="O1281" s="44">
        <v>27966.46</v>
      </c>
      <c r="P1281" s="40" t="s">
        <v>6964</v>
      </c>
      <c r="Q1281" s="40" t="s">
        <v>6965</v>
      </c>
      <c r="R1281" s="40" t="s">
        <v>494</v>
      </c>
      <c r="S1281" s="40" t="s">
        <v>502</v>
      </c>
      <c r="T1281" s="40" t="s">
        <v>287</v>
      </c>
      <c r="U1281" s="40" t="s">
        <v>6966</v>
      </c>
      <c r="V1281" s="40"/>
      <c r="W1281" s="40" t="s">
        <v>6967</v>
      </c>
    </row>
    <row r="1282" spans="1:23" ht="12" x14ac:dyDescent="0.2">
      <c r="A1282" s="39" t="s">
        <v>3154</v>
      </c>
      <c r="B1282" s="40" t="s">
        <v>3155</v>
      </c>
      <c r="C1282" s="40" t="s">
        <v>6968</v>
      </c>
      <c r="D1282" s="41">
        <v>46070</v>
      </c>
      <c r="E1282" s="41">
        <v>46100</v>
      </c>
      <c r="F1282" s="41">
        <v>46091</v>
      </c>
      <c r="G1282" s="42">
        <v>-9</v>
      </c>
      <c r="H1282" s="40" t="s">
        <v>556</v>
      </c>
      <c r="I1282" s="39" t="s">
        <v>320</v>
      </c>
      <c r="J1282" s="43">
        <v>9142.1200000000008</v>
      </c>
      <c r="K1282" s="43">
        <v>0</v>
      </c>
      <c r="L1282" s="43">
        <v>9142.1200000000008</v>
      </c>
      <c r="M1282" s="44">
        <v>0</v>
      </c>
      <c r="N1282" s="44">
        <f t="shared" si="19"/>
        <v>9142.1200000000008</v>
      </c>
      <c r="O1282" s="44">
        <v>9142.1200000000008</v>
      </c>
      <c r="P1282" s="40" t="s">
        <v>3156</v>
      </c>
      <c r="Q1282" s="40" t="s">
        <v>3157</v>
      </c>
      <c r="R1282" s="40" t="s">
        <v>494</v>
      </c>
      <c r="S1282" s="40" t="s">
        <v>502</v>
      </c>
      <c r="T1282" s="40" t="s">
        <v>512</v>
      </c>
      <c r="U1282" s="40" t="s">
        <v>822</v>
      </c>
      <c r="V1282" s="40"/>
      <c r="W1282" s="40" t="s">
        <v>3158</v>
      </c>
    </row>
    <row r="1283" spans="1:23" ht="12" x14ac:dyDescent="0.2">
      <c r="A1283" s="39" t="s">
        <v>6969</v>
      </c>
      <c r="B1283" s="40" t="s">
        <v>6970</v>
      </c>
      <c r="C1283" s="40" t="s">
        <v>6971</v>
      </c>
      <c r="D1283" s="41">
        <v>46070</v>
      </c>
      <c r="E1283" s="41">
        <v>46100</v>
      </c>
      <c r="F1283" s="41">
        <v>46091</v>
      </c>
      <c r="G1283" s="42">
        <v>-9</v>
      </c>
      <c r="H1283" s="40" t="s">
        <v>556</v>
      </c>
      <c r="I1283" s="39" t="s">
        <v>323</v>
      </c>
      <c r="J1283" s="43">
        <v>25926.57</v>
      </c>
      <c r="K1283" s="43">
        <v>0</v>
      </c>
      <c r="L1283" s="43">
        <v>25926.57</v>
      </c>
      <c r="M1283" s="44">
        <v>0</v>
      </c>
      <c r="N1283" s="44">
        <f t="shared" ref="N1283:N1346" si="20">IF(I1283="GBP",L1283-K1283,O1283-K1283)</f>
        <v>19204.87</v>
      </c>
      <c r="O1283" s="44">
        <v>19204.87</v>
      </c>
      <c r="P1283" s="40" t="s">
        <v>6972</v>
      </c>
      <c r="Q1283" s="40" t="s">
        <v>6973</v>
      </c>
      <c r="R1283" s="40" t="s">
        <v>494</v>
      </c>
      <c r="S1283" s="40" t="s">
        <v>495</v>
      </c>
      <c r="T1283" s="40" t="s">
        <v>204</v>
      </c>
      <c r="U1283" s="40" t="s">
        <v>6974</v>
      </c>
      <c r="V1283" s="40" t="s">
        <v>6975</v>
      </c>
      <c r="W1283" s="40" t="s">
        <v>6976</v>
      </c>
    </row>
    <row r="1284" spans="1:23" ht="12" x14ac:dyDescent="0.2">
      <c r="A1284" s="39" t="s">
        <v>6977</v>
      </c>
      <c r="B1284" s="40" t="s">
        <v>6978</v>
      </c>
      <c r="C1284" s="40" t="s">
        <v>6979</v>
      </c>
      <c r="D1284" s="41">
        <v>46070</v>
      </c>
      <c r="E1284" s="41">
        <v>46100</v>
      </c>
      <c r="F1284" s="41">
        <v>46091</v>
      </c>
      <c r="G1284" s="42">
        <v>-9</v>
      </c>
      <c r="H1284" s="40" t="s">
        <v>556</v>
      </c>
      <c r="I1284" s="39" t="s">
        <v>320</v>
      </c>
      <c r="J1284" s="43">
        <v>12683.77</v>
      </c>
      <c r="K1284" s="43">
        <v>0</v>
      </c>
      <c r="L1284" s="43">
        <v>12683.77</v>
      </c>
      <c r="M1284" s="44">
        <v>0</v>
      </c>
      <c r="N1284" s="44">
        <f t="shared" si="20"/>
        <v>12683.77</v>
      </c>
      <c r="O1284" s="44">
        <v>12683.77</v>
      </c>
      <c r="P1284" s="40" t="s">
        <v>6980</v>
      </c>
      <c r="Q1284" s="40" t="s">
        <v>6981</v>
      </c>
      <c r="R1284" s="40" t="s">
        <v>494</v>
      </c>
      <c r="S1284" s="40" t="s">
        <v>502</v>
      </c>
      <c r="T1284" s="40" t="s">
        <v>238</v>
      </c>
      <c r="U1284" s="40" t="s">
        <v>6982</v>
      </c>
      <c r="V1284" s="40"/>
      <c r="W1284" s="40" t="s">
        <v>6983</v>
      </c>
    </row>
    <row r="1285" spans="1:23" ht="12" x14ac:dyDescent="0.2">
      <c r="A1285" s="39" t="s">
        <v>26</v>
      </c>
      <c r="B1285" s="40" t="s">
        <v>457</v>
      </c>
      <c r="C1285" s="40" t="s">
        <v>6984</v>
      </c>
      <c r="D1285" s="41">
        <v>46070</v>
      </c>
      <c r="E1285" s="41">
        <v>46100</v>
      </c>
      <c r="F1285" s="41">
        <v>46091</v>
      </c>
      <c r="G1285" s="42">
        <v>-9</v>
      </c>
      <c r="H1285" s="40" t="s">
        <v>556</v>
      </c>
      <c r="I1285" s="39" t="s">
        <v>320</v>
      </c>
      <c r="J1285" s="43">
        <v>38987.089999999997</v>
      </c>
      <c r="K1285" s="43">
        <v>0</v>
      </c>
      <c r="L1285" s="43">
        <v>38987.089999999997</v>
      </c>
      <c r="M1285" s="44">
        <v>0</v>
      </c>
      <c r="N1285" s="44">
        <f t="shared" si="20"/>
        <v>38987.089999999997</v>
      </c>
      <c r="O1285" s="44">
        <v>38987.089999999997</v>
      </c>
      <c r="P1285" s="40" t="s">
        <v>3053</v>
      </c>
      <c r="Q1285" s="40" t="s">
        <v>3054</v>
      </c>
      <c r="R1285" s="40" t="s">
        <v>494</v>
      </c>
      <c r="S1285" s="40" t="s">
        <v>502</v>
      </c>
      <c r="T1285" s="40" t="s">
        <v>287</v>
      </c>
      <c r="U1285" s="40" t="s">
        <v>1013</v>
      </c>
      <c r="V1285" s="40" t="s">
        <v>6985</v>
      </c>
      <c r="W1285" s="40" t="s">
        <v>3055</v>
      </c>
    </row>
    <row r="1286" spans="1:23" ht="12" x14ac:dyDescent="0.2">
      <c r="A1286" s="39" t="s">
        <v>26</v>
      </c>
      <c r="B1286" s="40" t="s">
        <v>457</v>
      </c>
      <c r="C1286" s="40" t="s">
        <v>6986</v>
      </c>
      <c r="D1286" s="41">
        <v>46070</v>
      </c>
      <c r="E1286" s="41">
        <v>46100</v>
      </c>
      <c r="F1286" s="41">
        <v>46091</v>
      </c>
      <c r="G1286" s="42">
        <v>-9</v>
      </c>
      <c r="H1286" s="40" t="s">
        <v>556</v>
      </c>
      <c r="I1286" s="39" t="s">
        <v>320</v>
      </c>
      <c r="J1286" s="43">
        <v>21434.560000000001</v>
      </c>
      <c r="K1286" s="43">
        <v>0</v>
      </c>
      <c r="L1286" s="43">
        <v>21434.560000000001</v>
      </c>
      <c r="M1286" s="44">
        <v>0</v>
      </c>
      <c r="N1286" s="44">
        <f t="shared" si="20"/>
        <v>21434.560000000001</v>
      </c>
      <c r="O1286" s="44">
        <v>21434.560000000001</v>
      </c>
      <c r="P1286" s="40" t="s">
        <v>3053</v>
      </c>
      <c r="Q1286" s="40" t="s">
        <v>3054</v>
      </c>
      <c r="R1286" s="40" t="s">
        <v>494</v>
      </c>
      <c r="S1286" s="40" t="s">
        <v>502</v>
      </c>
      <c r="T1286" s="40" t="s">
        <v>287</v>
      </c>
      <c r="U1286" s="40" t="s">
        <v>1013</v>
      </c>
      <c r="V1286" s="40"/>
      <c r="W1286" s="40" t="s">
        <v>3055</v>
      </c>
    </row>
    <row r="1287" spans="1:23" ht="12" x14ac:dyDescent="0.2">
      <c r="A1287" s="39" t="s">
        <v>995</v>
      </c>
      <c r="B1287" s="40" t="s">
        <v>996</v>
      </c>
      <c r="C1287" s="40" t="s">
        <v>6987</v>
      </c>
      <c r="D1287" s="41">
        <v>46070</v>
      </c>
      <c r="E1287" s="41">
        <v>46100</v>
      </c>
      <c r="F1287" s="41">
        <v>46091</v>
      </c>
      <c r="G1287" s="42">
        <v>-9</v>
      </c>
      <c r="H1287" s="40" t="s">
        <v>556</v>
      </c>
      <c r="I1287" s="39" t="s">
        <v>323</v>
      </c>
      <c r="J1287" s="43">
        <v>120792.38</v>
      </c>
      <c r="K1287" s="43">
        <v>0</v>
      </c>
      <c r="L1287" s="43">
        <v>120792.38</v>
      </c>
      <c r="M1287" s="44">
        <v>0</v>
      </c>
      <c r="N1287" s="44">
        <f t="shared" si="20"/>
        <v>89475.839999999997</v>
      </c>
      <c r="O1287" s="44">
        <v>89475.839999999997</v>
      </c>
      <c r="P1287" s="40" t="s">
        <v>6988</v>
      </c>
      <c r="Q1287" s="40" t="s">
        <v>6989</v>
      </c>
      <c r="R1287" s="40" t="s">
        <v>494</v>
      </c>
      <c r="S1287" s="40" t="s">
        <v>495</v>
      </c>
      <c r="T1287" s="40" t="s">
        <v>218</v>
      </c>
      <c r="U1287" s="40" t="s">
        <v>563</v>
      </c>
      <c r="V1287" s="40" t="s">
        <v>6990</v>
      </c>
      <c r="W1287" s="40" t="s">
        <v>6991</v>
      </c>
    </row>
    <row r="1288" spans="1:23" ht="12" x14ac:dyDescent="0.2">
      <c r="A1288" s="39" t="s">
        <v>49</v>
      </c>
      <c r="B1288" s="40" t="s">
        <v>396</v>
      </c>
      <c r="C1288" s="40" t="s">
        <v>6992</v>
      </c>
      <c r="D1288" s="41">
        <v>46070</v>
      </c>
      <c r="E1288" s="41">
        <v>46100</v>
      </c>
      <c r="F1288" s="41">
        <v>46091</v>
      </c>
      <c r="G1288" s="42">
        <v>-9</v>
      </c>
      <c r="H1288" s="40" t="s">
        <v>556</v>
      </c>
      <c r="I1288" s="39" t="s">
        <v>320</v>
      </c>
      <c r="J1288" s="43">
        <v>768624</v>
      </c>
      <c r="K1288" s="43">
        <v>0</v>
      </c>
      <c r="L1288" s="43">
        <v>768624</v>
      </c>
      <c r="M1288" s="44">
        <v>0</v>
      </c>
      <c r="N1288" s="44">
        <f t="shared" si="20"/>
        <v>768624</v>
      </c>
      <c r="O1288" s="44">
        <v>768624</v>
      </c>
      <c r="P1288" s="40" t="s">
        <v>1936</v>
      </c>
      <c r="Q1288" s="40" t="s">
        <v>1937</v>
      </c>
      <c r="R1288" s="40" t="s">
        <v>494</v>
      </c>
      <c r="S1288" s="40" t="s">
        <v>502</v>
      </c>
      <c r="T1288" s="40" t="s">
        <v>287</v>
      </c>
      <c r="U1288" s="40" t="s">
        <v>1804</v>
      </c>
      <c r="V1288" s="40"/>
      <c r="W1288" s="40" t="s">
        <v>1938</v>
      </c>
    </row>
    <row r="1289" spans="1:23" ht="12" x14ac:dyDescent="0.2">
      <c r="A1289" s="39" t="s">
        <v>911</v>
      </c>
      <c r="B1289" s="40" t="s">
        <v>912</v>
      </c>
      <c r="C1289" s="40" t="s">
        <v>6993</v>
      </c>
      <c r="D1289" s="41">
        <v>46070</v>
      </c>
      <c r="E1289" s="41">
        <v>46100</v>
      </c>
      <c r="F1289" s="41">
        <v>46091</v>
      </c>
      <c r="G1289" s="42">
        <v>-9</v>
      </c>
      <c r="H1289" s="40" t="s">
        <v>556</v>
      </c>
      <c r="I1289" s="39" t="s">
        <v>323</v>
      </c>
      <c r="J1289" s="43">
        <v>8825.94</v>
      </c>
      <c r="K1289" s="43">
        <v>0</v>
      </c>
      <c r="L1289" s="43">
        <v>8825.94</v>
      </c>
      <c r="M1289" s="44">
        <v>0</v>
      </c>
      <c r="N1289" s="44">
        <f t="shared" si="20"/>
        <v>6537.73</v>
      </c>
      <c r="O1289" s="44">
        <v>6537.73</v>
      </c>
      <c r="P1289" s="40" t="s">
        <v>6994</v>
      </c>
      <c r="Q1289" s="40" t="s">
        <v>6995</v>
      </c>
      <c r="R1289" s="40" t="s">
        <v>494</v>
      </c>
      <c r="S1289" s="40" t="s">
        <v>502</v>
      </c>
      <c r="T1289" s="40" t="s">
        <v>218</v>
      </c>
      <c r="U1289" s="40" t="s">
        <v>6996</v>
      </c>
      <c r="V1289" s="40" t="s">
        <v>6997</v>
      </c>
      <c r="W1289" s="40" t="s">
        <v>6998</v>
      </c>
    </row>
    <row r="1290" spans="1:23" ht="12" x14ac:dyDescent="0.2">
      <c r="A1290" s="39" t="s">
        <v>442</v>
      </c>
      <c r="B1290" s="40" t="s">
        <v>441</v>
      </c>
      <c r="C1290" s="40" t="s">
        <v>6999</v>
      </c>
      <c r="D1290" s="41">
        <v>46070</v>
      </c>
      <c r="E1290" s="41">
        <v>46100</v>
      </c>
      <c r="F1290" s="41">
        <v>46091</v>
      </c>
      <c r="G1290" s="42">
        <v>-9</v>
      </c>
      <c r="H1290" s="40" t="s">
        <v>556</v>
      </c>
      <c r="I1290" s="39" t="s">
        <v>320</v>
      </c>
      <c r="J1290" s="43">
        <v>-211.1</v>
      </c>
      <c r="K1290" s="43">
        <v>0</v>
      </c>
      <c r="L1290" s="43">
        <v>-211.1</v>
      </c>
      <c r="M1290" s="44">
        <v>0</v>
      </c>
      <c r="N1290" s="44">
        <f t="shared" si="20"/>
        <v>-211.1</v>
      </c>
      <c r="O1290" s="44">
        <v>-211.1</v>
      </c>
      <c r="P1290" s="40" t="s">
        <v>7000</v>
      </c>
      <c r="Q1290" s="40" t="s">
        <v>7001</v>
      </c>
      <c r="R1290" s="40" t="s">
        <v>494</v>
      </c>
      <c r="S1290" s="40" t="s">
        <v>495</v>
      </c>
      <c r="T1290" s="40" t="s">
        <v>501</v>
      </c>
      <c r="U1290" s="40" t="s">
        <v>7002</v>
      </c>
      <c r="V1290" s="40"/>
      <c r="W1290" s="40" t="s">
        <v>7003</v>
      </c>
    </row>
    <row r="1291" spans="1:23" ht="12" x14ac:dyDescent="0.2">
      <c r="A1291" s="39" t="s">
        <v>26</v>
      </c>
      <c r="B1291" s="40" t="s">
        <v>457</v>
      </c>
      <c r="C1291" s="40" t="s">
        <v>7004</v>
      </c>
      <c r="D1291" s="41">
        <v>46070</v>
      </c>
      <c r="E1291" s="41">
        <v>46100</v>
      </c>
      <c r="F1291" s="41">
        <v>46091</v>
      </c>
      <c r="G1291" s="42">
        <v>-9</v>
      </c>
      <c r="H1291" s="40" t="s">
        <v>556</v>
      </c>
      <c r="I1291" s="39" t="s">
        <v>320</v>
      </c>
      <c r="J1291" s="43">
        <v>80055.509999999995</v>
      </c>
      <c r="K1291" s="43">
        <v>0</v>
      </c>
      <c r="L1291" s="43">
        <v>80055.509999999995</v>
      </c>
      <c r="M1291" s="44">
        <v>0</v>
      </c>
      <c r="N1291" s="44">
        <f t="shared" si="20"/>
        <v>80055.509999999995</v>
      </c>
      <c r="O1291" s="44">
        <v>80055.509999999995</v>
      </c>
      <c r="P1291" s="40" t="s">
        <v>720</v>
      </c>
      <c r="Q1291" s="40" t="s">
        <v>7005</v>
      </c>
      <c r="R1291" s="40" t="s">
        <v>494</v>
      </c>
      <c r="S1291" s="40" t="s">
        <v>502</v>
      </c>
      <c r="T1291" s="40" t="s">
        <v>225</v>
      </c>
      <c r="U1291" s="40" t="s">
        <v>914</v>
      </c>
      <c r="V1291" s="40"/>
      <c r="W1291" s="40" t="s">
        <v>7006</v>
      </c>
    </row>
    <row r="1292" spans="1:23" ht="12" x14ac:dyDescent="0.2">
      <c r="A1292" s="39" t="s">
        <v>7007</v>
      </c>
      <c r="B1292" s="40" t="s">
        <v>7008</v>
      </c>
      <c r="C1292" s="40" t="s">
        <v>7009</v>
      </c>
      <c r="D1292" s="41">
        <v>46070</v>
      </c>
      <c r="E1292" s="41">
        <v>46100</v>
      </c>
      <c r="F1292" s="41">
        <v>46091</v>
      </c>
      <c r="G1292" s="42">
        <v>-9</v>
      </c>
      <c r="H1292" s="40" t="s">
        <v>556</v>
      </c>
      <c r="I1292" s="39" t="s">
        <v>323</v>
      </c>
      <c r="J1292" s="43">
        <v>26420.28</v>
      </c>
      <c r="K1292" s="43">
        <v>0</v>
      </c>
      <c r="L1292" s="43">
        <v>26420.28</v>
      </c>
      <c r="M1292" s="44">
        <v>0</v>
      </c>
      <c r="N1292" s="44">
        <f t="shared" si="20"/>
        <v>21136.22</v>
      </c>
      <c r="O1292" s="44">
        <v>21136.22</v>
      </c>
      <c r="P1292" s="40" t="s">
        <v>7010</v>
      </c>
      <c r="Q1292" s="40" t="s">
        <v>7011</v>
      </c>
      <c r="R1292" s="40" t="s">
        <v>494</v>
      </c>
      <c r="S1292" s="40" t="s">
        <v>502</v>
      </c>
      <c r="T1292" s="40" t="s">
        <v>178</v>
      </c>
      <c r="U1292" s="40" t="s">
        <v>7012</v>
      </c>
      <c r="V1292" s="40" t="s">
        <v>7013</v>
      </c>
      <c r="W1292" s="40" t="s">
        <v>7014</v>
      </c>
    </row>
    <row r="1293" spans="1:23" ht="12" x14ac:dyDescent="0.2">
      <c r="A1293" s="39" t="s">
        <v>2190</v>
      </c>
      <c r="B1293" s="40" t="s">
        <v>2191</v>
      </c>
      <c r="C1293" s="40" t="s">
        <v>7015</v>
      </c>
      <c r="D1293" s="41">
        <v>46070</v>
      </c>
      <c r="E1293" s="41">
        <v>46100</v>
      </c>
      <c r="F1293" s="41">
        <v>46091</v>
      </c>
      <c r="G1293" s="42">
        <v>-9</v>
      </c>
      <c r="H1293" s="40" t="s">
        <v>556</v>
      </c>
      <c r="I1293" s="39" t="s">
        <v>320</v>
      </c>
      <c r="J1293" s="43">
        <v>155052</v>
      </c>
      <c r="K1293" s="43">
        <v>25842</v>
      </c>
      <c r="L1293" s="43">
        <v>155052</v>
      </c>
      <c r="M1293" s="44">
        <v>25842</v>
      </c>
      <c r="N1293" s="44">
        <f t="shared" si="20"/>
        <v>129210</v>
      </c>
      <c r="O1293" s="44">
        <v>155052</v>
      </c>
      <c r="P1293" s="40" t="s">
        <v>2193</v>
      </c>
      <c r="Q1293" s="40" t="s">
        <v>2194</v>
      </c>
      <c r="R1293" s="40" t="s">
        <v>494</v>
      </c>
      <c r="S1293" s="40" t="s">
        <v>502</v>
      </c>
      <c r="T1293" s="40" t="s">
        <v>278</v>
      </c>
      <c r="U1293" s="40" t="s">
        <v>1291</v>
      </c>
      <c r="V1293" s="40"/>
      <c r="W1293" s="40" t="s">
        <v>2195</v>
      </c>
    </row>
    <row r="1294" spans="1:23" ht="12" x14ac:dyDescent="0.2">
      <c r="A1294" s="39" t="s">
        <v>651</v>
      </c>
      <c r="B1294" s="40" t="s">
        <v>652</v>
      </c>
      <c r="C1294" s="40" t="s">
        <v>7016</v>
      </c>
      <c r="D1294" s="41">
        <v>46070</v>
      </c>
      <c r="E1294" s="41">
        <v>46100</v>
      </c>
      <c r="F1294" s="41">
        <v>46091</v>
      </c>
      <c r="G1294" s="42">
        <v>-9</v>
      </c>
      <c r="H1294" s="40" t="s">
        <v>556</v>
      </c>
      <c r="I1294" s="39" t="s">
        <v>320</v>
      </c>
      <c r="J1294" s="43">
        <v>17729.84</v>
      </c>
      <c r="K1294" s="43">
        <v>0</v>
      </c>
      <c r="L1294" s="43">
        <v>17729.84</v>
      </c>
      <c r="M1294" s="44">
        <v>0</v>
      </c>
      <c r="N1294" s="44">
        <f t="shared" si="20"/>
        <v>17729.84</v>
      </c>
      <c r="O1294" s="44">
        <v>17729.84</v>
      </c>
      <c r="P1294" s="40" t="s">
        <v>7017</v>
      </c>
      <c r="Q1294" s="40" t="s">
        <v>7018</v>
      </c>
      <c r="R1294" s="40" t="s">
        <v>494</v>
      </c>
      <c r="S1294" s="40" t="s">
        <v>495</v>
      </c>
      <c r="T1294" s="40" t="s">
        <v>508</v>
      </c>
      <c r="U1294" s="40" t="s">
        <v>1932</v>
      </c>
      <c r="V1294" s="40"/>
      <c r="W1294" s="40" t="s">
        <v>7019</v>
      </c>
    </row>
    <row r="1295" spans="1:23" ht="12" x14ac:dyDescent="0.2">
      <c r="A1295" s="39" t="s">
        <v>26</v>
      </c>
      <c r="B1295" s="40" t="s">
        <v>457</v>
      </c>
      <c r="C1295" s="40" t="s">
        <v>7020</v>
      </c>
      <c r="D1295" s="41">
        <v>46070</v>
      </c>
      <c r="E1295" s="41">
        <v>46100</v>
      </c>
      <c r="F1295" s="41">
        <v>46091</v>
      </c>
      <c r="G1295" s="42">
        <v>-9</v>
      </c>
      <c r="H1295" s="40" t="s">
        <v>556</v>
      </c>
      <c r="I1295" s="39" t="s">
        <v>320</v>
      </c>
      <c r="J1295" s="43">
        <v>83933.68</v>
      </c>
      <c r="K1295" s="43">
        <v>0</v>
      </c>
      <c r="L1295" s="43">
        <v>83933.68</v>
      </c>
      <c r="M1295" s="44">
        <v>0</v>
      </c>
      <c r="N1295" s="44">
        <f t="shared" si="20"/>
        <v>83933.68</v>
      </c>
      <c r="O1295" s="44">
        <v>83933.68</v>
      </c>
      <c r="P1295" s="40" t="s">
        <v>3724</v>
      </c>
      <c r="Q1295" s="40" t="s">
        <v>3725</v>
      </c>
      <c r="R1295" s="40" t="s">
        <v>494</v>
      </c>
      <c r="S1295" s="40" t="s">
        <v>502</v>
      </c>
      <c r="T1295" s="40" t="s">
        <v>508</v>
      </c>
      <c r="U1295" s="40" t="s">
        <v>3726</v>
      </c>
      <c r="V1295" s="40"/>
      <c r="W1295" s="40" t="s">
        <v>3727</v>
      </c>
    </row>
    <row r="1296" spans="1:23" ht="12" x14ac:dyDescent="0.2">
      <c r="A1296" s="39" t="s">
        <v>893</v>
      </c>
      <c r="B1296" s="40" t="s">
        <v>894</v>
      </c>
      <c r="C1296" s="40" t="s">
        <v>7021</v>
      </c>
      <c r="D1296" s="41">
        <v>46070</v>
      </c>
      <c r="E1296" s="41">
        <v>46100</v>
      </c>
      <c r="F1296" s="41">
        <v>46091</v>
      </c>
      <c r="G1296" s="42">
        <v>-9</v>
      </c>
      <c r="H1296" s="40" t="s">
        <v>556</v>
      </c>
      <c r="I1296" s="39" t="s">
        <v>323</v>
      </c>
      <c r="J1296" s="43">
        <v>93359.63</v>
      </c>
      <c r="K1296" s="43">
        <v>0</v>
      </c>
      <c r="L1296" s="43">
        <v>93359.63</v>
      </c>
      <c r="M1296" s="44">
        <v>0</v>
      </c>
      <c r="N1296" s="44">
        <f t="shared" si="20"/>
        <v>64385.95</v>
      </c>
      <c r="O1296" s="44">
        <v>64385.95</v>
      </c>
      <c r="P1296" s="40" t="s">
        <v>895</v>
      </c>
      <c r="Q1296" s="40" t="s">
        <v>896</v>
      </c>
      <c r="R1296" s="40" t="s">
        <v>494</v>
      </c>
      <c r="S1296" s="40" t="s">
        <v>502</v>
      </c>
      <c r="T1296" s="40" t="s">
        <v>278</v>
      </c>
      <c r="U1296" s="40" t="s">
        <v>793</v>
      </c>
      <c r="V1296" s="40"/>
      <c r="W1296" s="40" t="s">
        <v>897</v>
      </c>
    </row>
    <row r="1297" spans="1:23" ht="12" x14ac:dyDescent="0.2">
      <c r="A1297" s="39" t="s">
        <v>337</v>
      </c>
      <c r="B1297" s="40" t="s">
        <v>336</v>
      </c>
      <c r="C1297" s="40" t="s">
        <v>7022</v>
      </c>
      <c r="D1297" s="41">
        <v>46070</v>
      </c>
      <c r="E1297" s="41">
        <v>46100</v>
      </c>
      <c r="F1297" s="41">
        <v>46091</v>
      </c>
      <c r="G1297" s="42">
        <v>-9</v>
      </c>
      <c r="H1297" s="40" t="s">
        <v>556</v>
      </c>
      <c r="I1297" s="39" t="s">
        <v>320</v>
      </c>
      <c r="J1297" s="43">
        <v>18185.080000000002</v>
      </c>
      <c r="K1297" s="43">
        <v>0</v>
      </c>
      <c r="L1297" s="43">
        <v>18185.080000000002</v>
      </c>
      <c r="M1297" s="44">
        <v>0</v>
      </c>
      <c r="N1297" s="44">
        <f t="shared" si="20"/>
        <v>18185.080000000002</v>
      </c>
      <c r="O1297" s="44">
        <v>18185.080000000002</v>
      </c>
      <c r="P1297" s="40" t="s">
        <v>1039</v>
      </c>
      <c r="Q1297" s="40" t="s">
        <v>1040</v>
      </c>
      <c r="R1297" s="40" t="s">
        <v>494</v>
      </c>
      <c r="S1297" s="40" t="s">
        <v>502</v>
      </c>
      <c r="T1297" s="40" t="s">
        <v>289</v>
      </c>
      <c r="U1297" s="40" t="s">
        <v>1041</v>
      </c>
      <c r="V1297" s="40"/>
      <c r="W1297" s="40" t="s">
        <v>1042</v>
      </c>
    </row>
    <row r="1298" spans="1:23" ht="12" x14ac:dyDescent="0.2">
      <c r="A1298" s="39" t="s">
        <v>337</v>
      </c>
      <c r="B1298" s="40" t="s">
        <v>336</v>
      </c>
      <c r="C1298" s="40" t="s">
        <v>7023</v>
      </c>
      <c r="D1298" s="41">
        <v>46070</v>
      </c>
      <c r="E1298" s="41">
        <v>46100</v>
      </c>
      <c r="F1298" s="41">
        <v>46091</v>
      </c>
      <c r="G1298" s="42">
        <v>-9</v>
      </c>
      <c r="H1298" s="40" t="s">
        <v>556</v>
      </c>
      <c r="I1298" s="39" t="s">
        <v>320</v>
      </c>
      <c r="J1298" s="43">
        <v>74140.27</v>
      </c>
      <c r="K1298" s="43">
        <v>0</v>
      </c>
      <c r="L1298" s="43">
        <v>74140.27</v>
      </c>
      <c r="M1298" s="44">
        <v>0</v>
      </c>
      <c r="N1298" s="44">
        <f t="shared" si="20"/>
        <v>74140.27</v>
      </c>
      <c r="O1298" s="44">
        <v>74140.27</v>
      </c>
      <c r="P1298" s="40" t="s">
        <v>1039</v>
      </c>
      <c r="Q1298" s="40" t="s">
        <v>1040</v>
      </c>
      <c r="R1298" s="40" t="s">
        <v>494</v>
      </c>
      <c r="S1298" s="40" t="s">
        <v>502</v>
      </c>
      <c r="T1298" s="40" t="s">
        <v>289</v>
      </c>
      <c r="U1298" s="40" t="s">
        <v>1041</v>
      </c>
      <c r="V1298" s="40"/>
      <c r="W1298" s="40" t="s">
        <v>1042</v>
      </c>
    </row>
    <row r="1299" spans="1:23" ht="12" x14ac:dyDescent="0.2">
      <c r="A1299" s="39" t="s">
        <v>337</v>
      </c>
      <c r="B1299" s="40" t="s">
        <v>336</v>
      </c>
      <c r="C1299" s="40" t="s">
        <v>7024</v>
      </c>
      <c r="D1299" s="41">
        <v>46070</v>
      </c>
      <c r="E1299" s="41">
        <v>46100</v>
      </c>
      <c r="F1299" s="41">
        <v>46091</v>
      </c>
      <c r="G1299" s="42">
        <v>-9</v>
      </c>
      <c r="H1299" s="40" t="s">
        <v>556</v>
      </c>
      <c r="I1299" s="39" t="s">
        <v>320</v>
      </c>
      <c r="J1299" s="43">
        <v>48618.3</v>
      </c>
      <c r="K1299" s="43">
        <v>0</v>
      </c>
      <c r="L1299" s="43">
        <v>48618.3</v>
      </c>
      <c r="M1299" s="44">
        <v>0</v>
      </c>
      <c r="N1299" s="44">
        <f t="shared" si="20"/>
        <v>48618.3</v>
      </c>
      <c r="O1299" s="44">
        <v>48618.3</v>
      </c>
      <c r="P1299" s="40" t="s">
        <v>1039</v>
      </c>
      <c r="Q1299" s="40" t="s">
        <v>1040</v>
      </c>
      <c r="R1299" s="40" t="s">
        <v>494</v>
      </c>
      <c r="S1299" s="40" t="s">
        <v>502</v>
      </c>
      <c r="T1299" s="40" t="s">
        <v>289</v>
      </c>
      <c r="U1299" s="40" t="s">
        <v>1041</v>
      </c>
      <c r="V1299" s="40"/>
      <c r="W1299" s="40" t="s">
        <v>1042</v>
      </c>
    </row>
    <row r="1300" spans="1:23" ht="12" x14ac:dyDescent="0.2">
      <c r="A1300" s="39" t="s">
        <v>595</v>
      </c>
      <c r="B1300" s="40" t="s">
        <v>5766</v>
      </c>
      <c r="C1300" s="40" t="s">
        <v>7025</v>
      </c>
      <c r="D1300" s="41">
        <v>46070</v>
      </c>
      <c r="E1300" s="41">
        <v>46100</v>
      </c>
      <c r="F1300" s="41">
        <v>46091</v>
      </c>
      <c r="G1300" s="42">
        <v>-9</v>
      </c>
      <c r="H1300" s="40" t="s">
        <v>556</v>
      </c>
      <c r="I1300" s="39" t="s">
        <v>320</v>
      </c>
      <c r="J1300" s="43">
        <v>30000</v>
      </c>
      <c r="K1300" s="43">
        <v>0</v>
      </c>
      <c r="L1300" s="43">
        <v>30000</v>
      </c>
      <c r="M1300" s="44">
        <v>0</v>
      </c>
      <c r="N1300" s="44">
        <f t="shared" si="20"/>
        <v>30000</v>
      </c>
      <c r="O1300" s="44">
        <v>30000</v>
      </c>
      <c r="P1300" s="40" t="s">
        <v>7026</v>
      </c>
      <c r="Q1300" s="40" t="s">
        <v>7027</v>
      </c>
      <c r="R1300" s="40" t="s">
        <v>494</v>
      </c>
      <c r="S1300" s="40" t="s">
        <v>502</v>
      </c>
      <c r="T1300" s="40" t="s">
        <v>497</v>
      </c>
      <c r="U1300" s="40" t="s">
        <v>635</v>
      </c>
      <c r="V1300" s="40"/>
      <c r="W1300" s="40" t="s">
        <v>7028</v>
      </c>
    </row>
    <row r="1301" spans="1:23" ht="12" x14ac:dyDescent="0.2">
      <c r="A1301" s="39" t="s">
        <v>7029</v>
      </c>
      <c r="B1301" s="40" t="s">
        <v>7030</v>
      </c>
      <c r="C1301" s="40" t="s">
        <v>7031</v>
      </c>
      <c r="D1301" s="41">
        <v>46071</v>
      </c>
      <c r="E1301" s="41">
        <v>46101</v>
      </c>
      <c r="F1301" s="41">
        <v>46091</v>
      </c>
      <c r="G1301" s="42">
        <v>-10</v>
      </c>
      <c r="H1301" s="40" t="s">
        <v>556</v>
      </c>
      <c r="I1301" s="39" t="s">
        <v>323</v>
      </c>
      <c r="J1301" s="43">
        <v>-8979.68</v>
      </c>
      <c r="K1301" s="43">
        <v>0</v>
      </c>
      <c r="L1301" s="43">
        <v>-8979.68</v>
      </c>
      <c r="M1301" s="44">
        <v>0</v>
      </c>
      <c r="N1301" s="44">
        <f t="shared" si="20"/>
        <v>-7183.74</v>
      </c>
      <c r="O1301" s="44">
        <v>-7183.74</v>
      </c>
      <c r="P1301" s="40" t="s">
        <v>7032</v>
      </c>
      <c r="Q1301" s="40" t="s">
        <v>7033</v>
      </c>
      <c r="R1301" s="40" t="s">
        <v>494</v>
      </c>
      <c r="S1301" s="40" t="s">
        <v>502</v>
      </c>
      <c r="T1301" s="40" t="s">
        <v>286</v>
      </c>
      <c r="U1301" s="40" t="s">
        <v>2940</v>
      </c>
      <c r="V1301" s="40" t="s">
        <v>4017</v>
      </c>
      <c r="W1301" s="40" t="s">
        <v>7034</v>
      </c>
    </row>
    <row r="1302" spans="1:23" ht="12" x14ac:dyDescent="0.2">
      <c r="A1302" s="39" t="s">
        <v>10</v>
      </c>
      <c r="B1302" s="40" t="s">
        <v>393</v>
      </c>
      <c r="C1302" s="40" t="s">
        <v>7035</v>
      </c>
      <c r="D1302" s="41">
        <v>46071</v>
      </c>
      <c r="E1302" s="41">
        <v>46101</v>
      </c>
      <c r="F1302" s="41">
        <v>46091</v>
      </c>
      <c r="G1302" s="42">
        <v>-10</v>
      </c>
      <c r="H1302" s="40" t="s">
        <v>556</v>
      </c>
      <c r="I1302" s="39" t="s">
        <v>320</v>
      </c>
      <c r="J1302" s="43">
        <v>21490</v>
      </c>
      <c r="K1302" s="43">
        <v>0</v>
      </c>
      <c r="L1302" s="43">
        <v>21490</v>
      </c>
      <c r="M1302" s="44">
        <v>0</v>
      </c>
      <c r="N1302" s="44">
        <f t="shared" si="20"/>
        <v>21490</v>
      </c>
      <c r="O1302" s="44">
        <v>21490</v>
      </c>
      <c r="P1302" s="40" t="s">
        <v>7036</v>
      </c>
      <c r="Q1302" s="40" t="s">
        <v>7037</v>
      </c>
      <c r="R1302" s="40" t="s">
        <v>494</v>
      </c>
      <c r="S1302" s="40" t="s">
        <v>502</v>
      </c>
      <c r="T1302" s="40" t="s">
        <v>327</v>
      </c>
      <c r="U1302" s="40" t="s">
        <v>7038</v>
      </c>
      <c r="V1302" s="40"/>
      <c r="W1302" s="40" t="s">
        <v>7039</v>
      </c>
    </row>
    <row r="1303" spans="1:23" ht="12" x14ac:dyDescent="0.2">
      <c r="A1303" s="39" t="s">
        <v>6306</v>
      </c>
      <c r="B1303" s="40" t="s">
        <v>6307</v>
      </c>
      <c r="C1303" s="40" t="s">
        <v>7040</v>
      </c>
      <c r="D1303" s="41">
        <v>46071</v>
      </c>
      <c r="E1303" s="41">
        <v>46101</v>
      </c>
      <c r="F1303" s="41">
        <v>46091</v>
      </c>
      <c r="G1303" s="42">
        <v>-10</v>
      </c>
      <c r="H1303" s="40" t="s">
        <v>556</v>
      </c>
      <c r="I1303" s="39" t="s">
        <v>320</v>
      </c>
      <c r="J1303" s="43">
        <v>113203.2</v>
      </c>
      <c r="K1303" s="43">
        <v>18867.2</v>
      </c>
      <c r="L1303" s="43">
        <v>113203.2</v>
      </c>
      <c r="M1303" s="44">
        <v>18867.2</v>
      </c>
      <c r="N1303" s="44">
        <f t="shared" si="20"/>
        <v>94336</v>
      </c>
      <c r="O1303" s="44">
        <v>113203.2</v>
      </c>
      <c r="P1303" s="40" t="s">
        <v>7041</v>
      </c>
      <c r="Q1303" s="40" t="s">
        <v>7042</v>
      </c>
      <c r="R1303" s="40" t="s">
        <v>494</v>
      </c>
      <c r="S1303" s="40" t="s">
        <v>502</v>
      </c>
      <c r="T1303" s="40" t="s">
        <v>305</v>
      </c>
      <c r="U1303" s="40" t="s">
        <v>6311</v>
      </c>
      <c r="V1303" s="40" t="s">
        <v>7043</v>
      </c>
      <c r="W1303" s="40" t="s">
        <v>2898</v>
      </c>
    </row>
    <row r="1304" spans="1:23" ht="12" x14ac:dyDescent="0.2">
      <c r="A1304" s="39" t="s">
        <v>10</v>
      </c>
      <c r="B1304" s="40" t="s">
        <v>393</v>
      </c>
      <c r="C1304" s="40" t="s">
        <v>7044</v>
      </c>
      <c r="D1304" s="41">
        <v>46071</v>
      </c>
      <c r="E1304" s="41">
        <v>46101</v>
      </c>
      <c r="F1304" s="41">
        <v>46091</v>
      </c>
      <c r="G1304" s="42">
        <v>-10</v>
      </c>
      <c r="H1304" s="40" t="s">
        <v>556</v>
      </c>
      <c r="I1304" s="39" t="s">
        <v>320</v>
      </c>
      <c r="J1304" s="43">
        <v>15742</v>
      </c>
      <c r="K1304" s="43">
        <v>0</v>
      </c>
      <c r="L1304" s="43">
        <v>15742</v>
      </c>
      <c r="M1304" s="44">
        <v>0</v>
      </c>
      <c r="N1304" s="44">
        <f t="shared" si="20"/>
        <v>15742</v>
      </c>
      <c r="O1304" s="44">
        <v>15742</v>
      </c>
      <c r="P1304" s="40" t="s">
        <v>7045</v>
      </c>
      <c r="Q1304" s="40" t="s">
        <v>7046</v>
      </c>
      <c r="R1304" s="40" t="s">
        <v>494</v>
      </c>
      <c r="S1304" s="40" t="s">
        <v>495</v>
      </c>
      <c r="T1304" s="40" t="s">
        <v>204</v>
      </c>
      <c r="U1304" s="40" t="s">
        <v>7047</v>
      </c>
      <c r="V1304" s="40"/>
      <c r="W1304" s="40" t="s">
        <v>7048</v>
      </c>
    </row>
    <row r="1305" spans="1:23" ht="12" x14ac:dyDescent="0.2">
      <c r="A1305" s="39" t="s">
        <v>28</v>
      </c>
      <c r="B1305" s="40" t="s">
        <v>2578</v>
      </c>
      <c r="C1305" s="40" t="s">
        <v>7049</v>
      </c>
      <c r="D1305" s="41">
        <v>46071</v>
      </c>
      <c r="E1305" s="41">
        <v>46101</v>
      </c>
      <c r="F1305" s="41">
        <v>46091</v>
      </c>
      <c r="G1305" s="42">
        <v>-10</v>
      </c>
      <c r="H1305" s="40" t="s">
        <v>556</v>
      </c>
      <c r="I1305" s="39" t="s">
        <v>323</v>
      </c>
      <c r="J1305" s="43">
        <v>-8057.85</v>
      </c>
      <c r="K1305" s="43">
        <v>0</v>
      </c>
      <c r="L1305" s="43">
        <v>-8057.85</v>
      </c>
      <c r="M1305" s="44">
        <v>0</v>
      </c>
      <c r="N1305" s="44">
        <f t="shared" si="20"/>
        <v>-6323.85</v>
      </c>
      <c r="O1305" s="44">
        <v>-6323.85</v>
      </c>
      <c r="P1305" s="40" t="s">
        <v>7050</v>
      </c>
      <c r="Q1305" s="40" t="s">
        <v>7051</v>
      </c>
      <c r="R1305" s="40" t="s">
        <v>494</v>
      </c>
      <c r="S1305" s="40" t="s">
        <v>495</v>
      </c>
      <c r="T1305" s="40" t="s">
        <v>512</v>
      </c>
      <c r="U1305" s="40" t="s">
        <v>2579</v>
      </c>
      <c r="V1305" s="40" t="s">
        <v>4017</v>
      </c>
      <c r="W1305" s="40" t="s">
        <v>7052</v>
      </c>
    </row>
    <row r="1306" spans="1:23" ht="12" x14ac:dyDescent="0.2">
      <c r="A1306" s="39" t="s">
        <v>778</v>
      </c>
      <c r="B1306" s="40" t="s">
        <v>779</v>
      </c>
      <c r="C1306" s="40" t="s">
        <v>7053</v>
      </c>
      <c r="D1306" s="41">
        <v>46071</v>
      </c>
      <c r="E1306" s="41">
        <v>46101</v>
      </c>
      <c r="F1306" s="41">
        <v>46091</v>
      </c>
      <c r="G1306" s="42">
        <v>-10</v>
      </c>
      <c r="H1306" s="40" t="s">
        <v>556</v>
      </c>
      <c r="I1306" s="39" t="s">
        <v>320</v>
      </c>
      <c r="J1306" s="43">
        <v>9197.31</v>
      </c>
      <c r="K1306" s="43">
        <v>0</v>
      </c>
      <c r="L1306" s="43">
        <v>9197.31</v>
      </c>
      <c r="M1306" s="44">
        <v>0</v>
      </c>
      <c r="N1306" s="44">
        <f t="shared" si="20"/>
        <v>9197.31</v>
      </c>
      <c r="O1306" s="44">
        <v>9197.31</v>
      </c>
      <c r="P1306" s="40" t="s">
        <v>3647</v>
      </c>
      <c r="Q1306" s="40" t="s">
        <v>3648</v>
      </c>
      <c r="R1306" s="40" t="s">
        <v>494</v>
      </c>
      <c r="S1306" s="40" t="s">
        <v>502</v>
      </c>
      <c r="T1306" s="40" t="s">
        <v>506</v>
      </c>
      <c r="U1306" s="40" t="s">
        <v>586</v>
      </c>
      <c r="V1306" s="40"/>
      <c r="W1306" s="40" t="s">
        <v>3649</v>
      </c>
    </row>
    <row r="1307" spans="1:23" ht="12" x14ac:dyDescent="0.2">
      <c r="A1307" s="39" t="s">
        <v>339</v>
      </c>
      <c r="B1307" s="40" t="s">
        <v>338</v>
      </c>
      <c r="C1307" s="40" t="s">
        <v>7054</v>
      </c>
      <c r="D1307" s="41">
        <v>46071</v>
      </c>
      <c r="E1307" s="41">
        <v>46101</v>
      </c>
      <c r="F1307" s="41">
        <v>46091</v>
      </c>
      <c r="G1307" s="42">
        <v>-10</v>
      </c>
      <c r="H1307" s="40" t="s">
        <v>556</v>
      </c>
      <c r="I1307" s="39" t="s">
        <v>320</v>
      </c>
      <c r="J1307" s="43">
        <v>144150.21</v>
      </c>
      <c r="K1307" s="43">
        <v>0</v>
      </c>
      <c r="L1307" s="43">
        <v>144150.21</v>
      </c>
      <c r="M1307" s="44">
        <v>0</v>
      </c>
      <c r="N1307" s="44">
        <f t="shared" si="20"/>
        <v>144150.21</v>
      </c>
      <c r="O1307" s="44">
        <v>144150.21</v>
      </c>
      <c r="P1307" s="40" t="s">
        <v>7055</v>
      </c>
      <c r="Q1307" s="40" t="s">
        <v>7056</v>
      </c>
      <c r="R1307" s="40" t="s">
        <v>494</v>
      </c>
      <c r="S1307" s="40" t="s">
        <v>495</v>
      </c>
      <c r="T1307" s="40" t="s">
        <v>529</v>
      </c>
      <c r="U1307" s="40" t="s">
        <v>2697</v>
      </c>
      <c r="V1307" s="40"/>
      <c r="W1307" s="40" t="s">
        <v>7057</v>
      </c>
    </row>
    <row r="1308" spans="1:23" ht="12" x14ac:dyDescent="0.2">
      <c r="A1308" s="39" t="s">
        <v>814</v>
      </c>
      <c r="B1308" s="40" t="s">
        <v>834</v>
      </c>
      <c r="C1308" s="40" t="s">
        <v>7058</v>
      </c>
      <c r="D1308" s="41">
        <v>46071</v>
      </c>
      <c r="E1308" s="41">
        <v>46101</v>
      </c>
      <c r="F1308" s="41">
        <v>46091</v>
      </c>
      <c r="G1308" s="42">
        <v>-10</v>
      </c>
      <c r="H1308" s="40" t="s">
        <v>556</v>
      </c>
      <c r="I1308" s="39" t="s">
        <v>320</v>
      </c>
      <c r="J1308" s="43">
        <v>47216.9</v>
      </c>
      <c r="K1308" s="43">
        <v>0</v>
      </c>
      <c r="L1308" s="43">
        <v>47216.9</v>
      </c>
      <c r="M1308" s="44">
        <v>0</v>
      </c>
      <c r="N1308" s="44">
        <f t="shared" si="20"/>
        <v>47216.9</v>
      </c>
      <c r="O1308" s="44">
        <v>47216.9</v>
      </c>
      <c r="P1308" s="40" t="s">
        <v>7059</v>
      </c>
      <c r="Q1308" s="40" t="s">
        <v>7060</v>
      </c>
      <c r="R1308" s="40" t="s">
        <v>494</v>
      </c>
      <c r="S1308" s="40" t="s">
        <v>502</v>
      </c>
      <c r="T1308" s="40" t="s">
        <v>284</v>
      </c>
      <c r="U1308" s="40" t="s">
        <v>694</v>
      </c>
      <c r="V1308" s="40"/>
      <c r="W1308" s="40" t="s">
        <v>7061</v>
      </c>
    </row>
    <row r="1309" spans="1:23" ht="12" x14ac:dyDescent="0.2">
      <c r="A1309" s="39" t="s">
        <v>814</v>
      </c>
      <c r="B1309" s="40" t="s">
        <v>834</v>
      </c>
      <c r="C1309" s="40" t="s">
        <v>7062</v>
      </c>
      <c r="D1309" s="41">
        <v>46071</v>
      </c>
      <c r="E1309" s="41">
        <v>46101</v>
      </c>
      <c r="F1309" s="41">
        <v>46091</v>
      </c>
      <c r="G1309" s="42">
        <v>-10</v>
      </c>
      <c r="H1309" s="40" t="s">
        <v>556</v>
      </c>
      <c r="I1309" s="39" t="s">
        <v>320</v>
      </c>
      <c r="J1309" s="43">
        <v>51423.4</v>
      </c>
      <c r="K1309" s="43">
        <v>0</v>
      </c>
      <c r="L1309" s="43">
        <v>51423.4</v>
      </c>
      <c r="M1309" s="44">
        <v>0</v>
      </c>
      <c r="N1309" s="44">
        <f t="shared" si="20"/>
        <v>51423.4</v>
      </c>
      <c r="O1309" s="44">
        <v>51423.4</v>
      </c>
      <c r="P1309" s="40" t="s">
        <v>7059</v>
      </c>
      <c r="Q1309" s="40" t="s">
        <v>7060</v>
      </c>
      <c r="R1309" s="40" t="s">
        <v>494</v>
      </c>
      <c r="S1309" s="40" t="s">
        <v>502</v>
      </c>
      <c r="T1309" s="40" t="s">
        <v>284</v>
      </c>
      <c r="U1309" s="40" t="s">
        <v>694</v>
      </c>
      <c r="V1309" s="40"/>
      <c r="W1309" s="40" t="s">
        <v>7061</v>
      </c>
    </row>
    <row r="1310" spans="1:23" ht="12" x14ac:dyDescent="0.2">
      <c r="A1310" s="39" t="s">
        <v>2059</v>
      </c>
      <c r="B1310" s="40" t="s">
        <v>2285</v>
      </c>
      <c r="C1310" s="40" t="s">
        <v>7063</v>
      </c>
      <c r="D1310" s="41">
        <v>46071</v>
      </c>
      <c r="E1310" s="41">
        <v>46101</v>
      </c>
      <c r="F1310" s="41">
        <v>46091</v>
      </c>
      <c r="G1310" s="42">
        <v>-10</v>
      </c>
      <c r="H1310" s="40" t="s">
        <v>556</v>
      </c>
      <c r="I1310" s="39" t="s">
        <v>320</v>
      </c>
      <c r="J1310" s="43">
        <v>4000</v>
      </c>
      <c r="K1310" s="43">
        <v>0</v>
      </c>
      <c r="L1310" s="43">
        <v>4000</v>
      </c>
      <c r="M1310" s="44">
        <v>0</v>
      </c>
      <c r="N1310" s="44">
        <f t="shared" si="20"/>
        <v>4000</v>
      </c>
      <c r="O1310" s="44">
        <v>4000</v>
      </c>
      <c r="P1310" s="40" t="s">
        <v>2058</v>
      </c>
      <c r="Q1310" s="40" t="s">
        <v>2286</v>
      </c>
      <c r="R1310" s="40" t="s">
        <v>494</v>
      </c>
      <c r="S1310" s="40" t="s">
        <v>502</v>
      </c>
      <c r="T1310" s="40" t="s">
        <v>327</v>
      </c>
      <c r="U1310" s="40" t="s">
        <v>537</v>
      </c>
      <c r="V1310" s="40"/>
      <c r="W1310" s="40" t="s">
        <v>2287</v>
      </c>
    </row>
    <row r="1311" spans="1:23" ht="12" x14ac:dyDescent="0.2">
      <c r="A1311" s="39" t="s">
        <v>58</v>
      </c>
      <c r="B1311" s="40" t="s">
        <v>1479</v>
      </c>
      <c r="C1311" s="40" t="s">
        <v>7064</v>
      </c>
      <c r="D1311" s="41">
        <v>46071</v>
      </c>
      <c r="E1311" s="41">
        <v>46101</v>
      </c>
      <c r="F1311" s="41">
        <v>46091</v>
      </c>
      <c r="G1311" s="42">
        <v>-10</v>
      </c>
      <c r="H1311" s="40" t="s">
        <v>556</v>
      </c>
      <c r="I1311" s="39" t="s">
        <v>320</v>
      </c>
      <c r="J1311" s="43">
        <v>5000</v>
      </c>
      <c r="K1311" s="43">
        <v>0</v>
      </c>
      <c r="L1311" s="43">
        <v>5000</v>
      </c>
      <c r="M1311" s="44">
        <v>0</v>
      </c>
      <c r="N1311" s="44">
        <f t="shared" si="20"/>
        <v>5000</v>
      </c>
      <c r="O1311" s="44">
        <v>5000</v>
      </c>
      <c r="P1311" s="40" t="s">
        <v>7065</v>
      </c>
      <c r="Q1311" s="40" t="s">
        <v>7066</v>
      </c>
      <c r="R1311" s="40" t="s">
        <v>494</v>
      </c>
      <c r="S1311" s="40" t="s">
        <v>502</v>
      </c>
      <c r="T1311" s="40" t="s">
        <v>305</v>
      </c>
      <c r="U1311" s="40" t="s">
        <v>7067</v>
      </c>
      <c r="V1311" s="40"/>
      <c r="W1311" s="40" t="s">
        <v>7068</v>
      </c>
    </row>
    <row r="1312" spans="1:23" ht="12" x14ac:dyDescent="0.2">
      <c r="A1312" s="39" t="s">
        <v>442</v>
      </c>
      <c r="B1312" s="40" t="s">
        <v>441</v>
      </c>
      <c r="C1312" s="40" t="s">
        <v>7069</v>
      </c>
      <c r="D1312" s="41">
        <v>46071</v>
      </c>
      <c r="E1312" s="41">
        <v>46101</v>
      </c>
      <c r="F1312" s="41">
        <v>46091</v>
      </c>
      <c r="G1312" s="42">
        <v>-10</v>
      </c>
      <c r="H1312" s="40" t="s">
        <v>556</v>
      </c>
      <c r="I1312" s="39" t="s">
        <v>320</v>
      </c>
      <c r="J1312" s="43">
        <v>-8138.27</v>
      </c>
      <c r="K1312" s="43">
        <v>0</v>
      </c>
      <c r="L1312" s="43">
        <v>-8138.27</v>
      </c>
      <c r="M1312" s="44">
        <v>0</v>
      </c>
      <c r="N1312" s="44">
        <f t="shared" si="20"/>
        <v>-8138.27</v>
      </c>
      <c r="O1312" s="44">
        <v>-8138.27</v>
      </c>
      <c r="P1312" s="40" t="s">
        <v>7070</v>
      </c>
      <c r="Q1312" s="40" t="s">
        <v>7071</v>
      </c>
      <c r="R1312" s="40" t="s">
        <v>494</v>
      </c>
      <c r="S1312" s="40" t="s">
        <v>495</v>
      </c>
      <c r="T1312" s="40" t="s">
        <v>216</v>
      </c>
      <c r="U1312" s="40" t="s">
        <v>2624</v>
      </c>
      <c r="V1312" s="40"/>
      <c r="W1312" s="40" t="s">
        <v>7072</v>
      </c>
    </row>
    <row r="1313" spans="1:23" ht="12" x14ac:dyDescent="0.2">
      <c r="A1313" s="39" t="s">
        <v>17</v>
      </c>
      <c r="B1313" s="40" t="s">
        <v>342</v>
      </c>
      <c r="C1313" s="40" t="s">
        <v>7073</v>
      </c>
      <c r="D1313" s="41">
        <v>46071</v>
      </c>
      <c r="E1313" s="41">
        <v>46101</v>
      </c>
      <c r="F1313" s="41">
        <v>46091</v>
      </c>
      <c r="G1313" s="42">
        <v>-10</v>
      </c>
      <c r="H1313" s="40" t="s">
        <v>556</v>
      </c>
      <c r="I1313" s="39" t="s">
        <v>320</v>
      </c>
      <c r="J1313" s="43">
        <v>20605</v>
      </c>
      <c r="K1313" s="43">
        <v>0</v>
      </c>
      <c r="L1313" s="43">
        <v>20605</v>
      </c>
      <c r="M1313" s="44">
        <v>0</v>
      </c>
      <c r="N1313" s="44">
        <f t="shared" si="20"/>
        <v>20605</v>
      </c>
      <c r="O1313" s="44">
        <v>20605</v>
      </c>
      <c r="P1313" s="40" t="s">
        <v>7074</v>
      </c>
      <c r="Q1313" s="40" t="s">
        <v>7075</v>
      </c>
      <c r="R1313" s="40" t="s">
        <v>494</v>
      </c>
      <c r="S1313" s="40" t="s">
        <v>502</v>
      </c>
      <c r="T1313" s="40" t="s">
        <v>508</v>
      </c>
      <c r="U1313" s="40" t="s">
        <v>2587</v>
      </c>
      <c r="V1313" s="40"/>
      <c r="W1313" s="40" t="s">
        <v>7076</v>
      </c>
    </row>
    <row r="1314" spans="1:23" ht="12" x14ac:dyDescent="0.2">
      <c r="A1314" s="39" t="s">
        <v>684</v>
      </c>
      <c r="B1314" s="40" t="s">
        <v>685</v>
      </c>
      <c r="C1314" s="40" t="s">
        <v>7077</v>
      </c>
      <c r="D1314" s="41">
        <v>46071</v>
      </c>
      <c r="E1314" s="41">
        <v>46101</v>
      </c>
      <c r="F1314" s="41">
        <v>46091</v>
      </c>
      <c r="G1314" s="42">
        <v>-10</v>
      </c>
      <c r="H1314" s="40" t="s">
        <v>556</v>
      </c>
      <c r="I1314" s="39" t="s">
        <v>323</v>
      </c>
      <c r="J1314" s="43">
        <v>-4319.3500000000004</v>
      </c>
      <c r="K1314" s="43">
        <v>0</v>
      </c>
      <c r="L1314" s="43">
        <v>-4319.3500000000004</v>
      </c>
      <c r="M1314" s="44">
        <v>0</v>
      </c>
      <c r="N1314" s="44">
        <f t="shared" si="20"/>
        <v>-3085.25</v>
      </c>
      <c r="O1314" s="44">
        <v>-3085.25</v>
      </c>
      <c r="P1314" s="40" t="s">
        <v>7078</v>
      </c>
      <c r="Q1314" s="40" t="s">
        <v>7079</v>
      </c>
      <c r="R1314" s="40" t="s">
        <v>494</v>
      </c>
      <c r="S1314" s="40" t="s">
        <v>495</v>
      </c>
      <c r="T1314" s="40" t="s">
        <v>327</v>
      </c>
      <c r="U1314" s="40" t="s">
        <v>2913</v>
      </c>
      <c r="V1314" s="40" t="s">
        <v>4017</v>
      </c>
      <c r="W1314" s="40" t="s">
        <v>321</v>
      </c>
    </row>
    <row r="1315" spans="1:23" ht="12" x14ac:dyDescent="0.2">
      <c r="A1315" s="39" t="s">
        <v>7080</v>
      </c>
      <c r="B1315" s="40" t="s">
        <v>7081</v>
      </c>
      <c r="C1315" s="40" t="s">
        <v>7082</v>
      </c>
      <c r="D1315" s="41">
        <v>46072</v>
      </c>
      <c r="E1315" s="41">
        <v>46102</v>
      </c>
      <c r="F1315" s="41">
        <v>46091</v>
      </c>
      <c r="G1315" s="42">
        <v>-11</v>
      </c>
      <c r="H1315" s="40" t="s">
        <v>556</v>
      </c>
      <c r="I1315" s="39" t="s">
        <v>323</v>
      </c>
      <c r="J1315" s="43">
        <v>221678.4</v>
      </c>
      <c r="K1315" s="43">
        <v>36946.400000000001</v>
      </c>
      <c r="L1315" s="43">
        <v>221678.4</v>
      </c>
      <c r="M1315" s="44">
        <v>29557.119999999999</v>
      </c>
      <c r="N1315" s="44">
        <f t="shared" si="20"/>
        <v>140396.32</v>
      </c>
      <c r="O1315" s="44">
        <v>177342.72</v>
      </c>
      <c r="P1315" s="40" t="s">
        <v>7083</v>
      </c>
      <c r="Q1315" s="40" t="s">
        <v>7084</v>
      </c>
      <c r="R1315" s="40" t="s">
        <v>494</v>
      </c>
      <c r="S1315" s="40" t="s">
        <v>502</v>
      </c>
      <c r="T1315" s="40" t="s">
        <v>284</v>
      </c>
      <c r="U1315" s="40" t="s">
        <v>7085</v>
      </c>
      <c r="V1315" s="40"/>
      <c r="W1315" s="40" t="s">
        <v>7086</v>
      </c>
    </row>
    <row r="1316" spans="1:23" ht="12" x14ac:dyDescent="0.2">
      <c r="A1316" s="39" t="s">
        <v>337</v>
      </c>
      <c r="B1316" s="40" t="s">
        <v>336</v>
      </c>
      <c r="C1316" s="40" t="s">
        <v>7087</v>
      </c>
      <c r="D1316" s="41">
        <v>46072</v>
      </c>
      <c r="E1316" s="41">
        <v>46102</v>
      </c>
      <c r="F1316" s="41">
        <v>46091</v>
      </c>
      <c r="G1316" s="42">
        <v>-11</v>
      </c>
      <c r="H1316" s="40" t="s">
        <v>556</v>
      </c>
      <c r="I1316" s="39" t="s">
        <v>320</v>
      </c>
      <c r="J1316" s="43">
        <v>520796.97</v>
      </c>
      <c r="K1316" s="43">
        <v>0</v>
      </c>
      <c r="L1316" s="43">
        <v>520796.97</v>
      </c>
      <c r="M1316" s="44">
        <v>0</v>
      </c>
      <c r="N1316" s="44">
        <f t="shared" si="20"/>
        <v>520796.97</v>
      </c>
      <c r="O1316" s="44">
        <v>520796.97</v>
      </c>
      <c r="P1316" s="40" t="s">
        <v>1039</v>
      </c>
      <c r="Q1316" s="40" t="s">
        <v>1040</v>
      </c>
      <c r="R1316" s="40" t="s">
        <v>494</v>
      </c>
      <c r="S1316" s="40" t="s">
        <v>502</v>
      </c>
      <c r="T1316" s="40" t="s">
        <v>289</v>
      </c>
      <c r="U1316" s="40" t="s">
        <v>1041</v>
      </c>
      <c r="V1316" s="40"/>
      <c r="W1316" s="40" t="s">
        <v>1042</v>
      </c>
    </row>
    <row r="1317" spans="1:23" ht="12" x14ac:dyDescent="0.2">
      <c r="A1317" s="39" t="s">
        <v>34</v>
      </c>
      <c r="B1317" s="40" t="s">
        <v>465</v>
      </c>
      <c r="C1317" s="40" t="s">
        <v>7088</v>
      </c>
      <c r="D1317" s="41">
        <v>46072</v>
      </c>
      <c r="E1317" s="41">
        <v>46102</v>
      </c>
      <c r="F1317" s="41">
        <v>46091</v>
      </c>
      <c r="G1317" s="42">
        <v>-11</v>
      </c>
      <c r="H1317" s="40" t="s">
        <v>556</v>
      </c>
      <c r="I1317" s="39" t="s">
        <v>320</v>
      </c>
      <c r="J1317" s="43">
        <v>902.09</v>
      </c>
      <c r="K1317" s="43">
        <v>0</v>
      </c>
      <c r="L1317" s="43">
        <v>902.09</v>
      </c>
      <c r="M1317" s="44">
        <v>0</v>
      </c>
      <c r="N1317" s="44">
        <f t="shared" si="20"/>
        <v>902.09</v>
      </c>
      <c r="O1317" s="44">
        <v>902.09</v>
      </c>
      <c r="P1317" s="40" t="s">
        <v>7089</v>
      </c>
      <c r="Q1317" s="40" t="s">
        <v>7090</v>
      </c>
      <c r="R1317" s="40" t="s">
        <v>494</v>
      </c>
      <c r="S1317" s="40" t="s">
        <v>502</v>
      </c>
      <c r="T1317" s="40" t="s">
        <v>535</v>
      </c>
      <c r="U1317" s="40" t="s">
        <v>573</v>
      </c>
      <c r="V1317" s="40"/>
      <c r="W1317" s="40" t="s">
        <v>7091</v>
      </c>
    </row>
    <row r="1318" spans="1:23" ht="12" x14ac:dyDescent="0.2">
      <c r="A1318" s="39" t="s">
        <v>15</v>
      </c>
      <c r="B1318" s="40" t="s">
        <v>361</v>
      </c>
      <c r="C1318" s="40" t="s">
        <v>7092</v>
      </c>
      <c r="D1318" s="41">
        <v>46072</v>
      </c>
      <c r="E1318" s="41">
        <v>46102</v>
      </c>
      <c r="F1318" s="41">
        <v>46091</v>
      </c>
      <c r="G1318" s="42">
        <v>-11</v>
      </c>
      <c r="H1318" s="40" t="s">
        <v>556</v>
      </c>
      <c r="I1318" s="39" t="s">
        <v>341</v>
      </c>
      <c r="J1318" s="43">
        <v>19250</v>
      </c>
      <c r="K1318" s="43">
        <v>0</v>
      </c>
      <c r="L1318" s="43">
        <v>19250</v>
      </c>
      <c r="M1318" s="44">
        <v>0</v>
      </c>
      <c r="N1318" s="44">
        <f t="shared" si="20"/>
        <v>14807.69</v>
      </c>
      <c r="O1318" s="44">
        <v>14807.69</v>
      </c>
      <c r="P1318" s="40" t="s">
        <v>7093</v>
      </c>
      <c r="Q1318" s="40" t="s">
        <v>7094</v>
      </c>
      <c r="R1318" s="40" t="s">
        <v>494</v>
      </c>
      <c r="S1318" s="40" t="s">
        <v>502</v>
      </c>
      <c r="T1318" s="40" t="s">
        <v>538</v>
      </c>
      <c r="U1318" s="40" t="s">
        <v>7095</v>
      </c>
      <c r="V1318" s="40"/>
      <c r="W1318" s="40" t="s">
        <v>7096</v>
      </c>
    </row>
    <row r="1319" spans="1:23" ht="12" x14ac:dyDescent="0.2">
      <c r="A1319" s="39" t="s">
        <v>49</v>
      </c>
      <c r="B1319" s="40" t="s">
        <v>396</v>
      </c>
      <c r="C1319" s="40" t="s">
        <v>7097</v>
      </c>
      <c r="D1319" s="41">
        <v>46072</v>
      </c>
      <c r="E1319" s="41">
        <v>46102</v>
      </c>
      <c r="F1319" s="41">
        <v>46091</v>
      </c>
      <c r="G1319" s="42">
        <v>-11</v>
      </c>
      <c r="H1319" s="40" t="s">
        <v>556</v>
      </c>
      <c r="I1319" s="39" t="s">
        <v>320</v>
      </c>
      <c r="J1319" s="43">
        <v>34488.269999999997</v>
      </c>
      <c r="K1319" s="43">
        <v>0</v>
      </c>
      <c r="L1319" s="43">
        <v>34488.269999999997</v>
      </c>
      <c r="M1319" s="44">
        <v>0</v>
      </c>
      <c r="N1319" s="44">
        <f t="shared" si="20"/>
        <v>34488.269999999997</v>
      </c>
      <c r="O1319" s="44">
        <v>34488.269999999997</v>
      </c>
      <c r="P1319" s="40" t="s">
        <v>7098</v>
      </c>
      <c r="Q1319" s="40" t="s">
        <v>7099</v>
      </c>
      <c r="R1319" s="40" t="s">
        <v>494</v>
      </c>
      <c r="S1319" s="40" t="s">
        <v>502</v>
      </c>
      <c r="T1319" s="40" t="s">
        <v>218</v>
      </c>
      <c r="U1319" s="40" t="s">
        <v>3511</v>
      </c>
      <c r="V1319" s="40"/>
      <c r="W1319" s="40" t="s">
        <v>7100</v>
      </c>
    </row>
    <row r="1320" spans="1:23" ht="12" x14ac:dyDescent="0.2">
      <c r="A1320" s="39" t="s">
        <v>54</v>
      </c>
      <c r="B1320" s="40" t="s">
        <v>455</v>
      </c>
      <c r="C1320" s="40" t="s">
        <v>7101</v>
      </c>
      <c r="D1320" s="41">
        <v>46072</v>
      </c>
      <c r="E1320" s="41">
        <v>46102</v>
      </c>
      <c r="F1320" s="41">
        <v>46091</v>
      </c>
      <c r="G1320" s="42">
        <v>-11</v>
      </c>
      <c r="H1320" s="40" t="s">
        <v>556</v>
      </c>
      <c r="I1320" s="39" t="s">
        <v>323</v>
      </c>
      <c r="J1320" s="43">
        <v>4034.7</v>
      </c>
      <c r="K1320" s="43">
        <v>0</v>
      </c>
      <c r="L1320" s="43">
        <v>4034.7</v>
      </c>
      <c r="M1320" s="44">
        <v>0</v>
      </c>
      <c r="N1320" s="44">
        <f t="shared" si="20"/>
        <v>2988.67</v>
      </c>
      <c r="O1320" s="44">
        <v>2988.67</v>
      </c>
      <c r="P1320" s="40" t="s">
        <v>4577</v>
      </c>
      <c r="Q1320" s="40" t="s">
        <v>4578</v>
      </c>
      <c r="R1320" s="40" t="s">
        <v>494</v>
      </c>
      <c r="S1320" s="40" t="s">
        <v>495</v>
      </c>
      <c r="T1320" s="40" t="s">
        <v>363</v>
      </c>
      <c r="U1320" s="40" t="s">
        <v>4579</v>
      </c>
      <c r="V1320" s="40"/>
      <c r="W1320" s="40" t="s">
        <v>4580</v>
      </c>
    </row>
    <row r="1321" spans="1:23" ht="12" x14ac:dyDescent="0.2">
      <c r="A1321" s="39" t="s">
        <v>461</v>
      </c>
      <c r="B1321" s="40" t="s">
        <v>460</v>
      </c>
      <c r="C1321" s="40" t="s">
        <v>7102</v>
      </c>
      <c r="D1321" s="41">
        <v>46072</v>
      </c>
      <c r="E1321" s="41">
        <v>46102</v>
      </c>
      <c r="F1321" s="41">
        <v>46091</v>
      </c>
      <c r="G1321" s="42">
        <v>-11</v>
      </c>
      <c r="H1321" s="40" t="s">
        <v>556</v>
      </c>
      <c r="I1321" s="39" t="s">
        <v>320</v>
      </c>
      <c r="J1321" s="43">
        <v>26658.34</v>
      </c>
      <c r="K1321" s="43">
        <v>0</v>
      </c>
      <c r="L1321" s="43">
        <v>26658.34</v>
      </c>
      <c r="M1321" s="44">
        <v>0</v>
      </c>
      <c r="N1321" s="44">
        <f t="shared" si="20"/>
        <v>26658.34</v>
      </c>
      <c r="O1321" s="44">
        <v>26658.34</v>
      </c>
      <c r="P1321" s="40" t="s">
        <v>7103</v>
      </c>
      <c r="Q1321" s="40" t="s">
        <v>7104</v>
      </c>
      <c r="R1321" s="40" t="s">
        <v>494</v>
      </c>
      <c r="S1321" s="40" t="s">
        <v>502</v>
      </c>
      <c r="T1321" s="40" t="s">
        <v>538</v>
      </c>
      <c r="U1321" s="40" t="s">
        <v>7105</v>
      </c>
      <c r="V1321" s="40"/>
      <c r="W1321" s="40" t="s">
        <v>7106</v>
      </c>
    </row>
    <row r="1322" spans="1:23" ht="12" x14ac:dyDescent="0.2">
      <c r="A1322" s="39" t="s">
        <v>911</v>
      </c>
      <c r="B1322" s="40" t="s">
        <v>912</v>
      </c>
      <c r="C1322" s="40" t="s">
        <v>7107</v>
      </c>
      <c r="D1322" s="41">
        <v>46072</v>
      </c>
      <c r="E1322" s="41">
        <v>46102</v>
      </c>
      <c r="F1322" s="41">
        <v>46091</v>
      </c>
      <c r="G1322" s="42">
        <v>-11</v>
      </c>
      <c r="H1322" s="40" t="s">
        <v>556</v>
      </c>
      <c r="I1322" s="39" t="s">
        <v>323</v>
      </c>
      <c r="J1322" s="43">
        <v>336.06</v>
      </c>
      <c r="K1322" s="43">
        <v>0</v>
      </c>
      <c r="L1322" s="43">
        <v>336.06</v>
      </c>
      <c r="M1322" s="44">
        <v>0</v>
      </c>
      <c r="N1322" s="44">
        <f t="shared" si="20"/>
        <v>248.93</v>
      </c>
      <c r="O1322" s="44">
        <v>248.93</v>
      </c>
      <c r="P1322" s="40" t="s">
        <v>7108</v>
      </c>
      <c r="Q1322" s="40" t="s">
        <v>7109</v>
      </c>
      <c r="R1322" s="40" t="s">
        <v>494</v>
      </c>
      <c r="S1322" s="40" t="s">
        <v>502</v>
      </c>
      <c r="T1322" s="40" t="s">
        <v>218</v>
      </c>
      <c r="U1322" s="40" t="s">
        <v>7110</v>
      </c>
      <c r="V1322" s="40"/>
      <c r="W1322" s="40" t="s">
        <v>7111</v>
      </c>
    </row>
    <row r="1323" spans="1:23" ht="12" x14ac:dyDescent="0.2">
      <c r="A1323" s="39" t="s">
        <v>337</v>
      </c>
      <c r="B1323" s="40" t="s">
        <v>336</v>
      </c>
      <c r="C1323" s="40" t="s">
        <v>7112</v>
      </c>
      <c r="D1323" s="41">
        <v>46072</v>
      </c>
      <c r="E1323" s="41">
        <v>46102</v>
      </c>
      <c r="F1323" s="41">
        <v>46091</v>
      </c>
      <c r="G1323" s="42">
        <v>-11</v>
      </c>
      <c r="H1323" s="40" t="s">
        <v>556</v>
      </c>
      <c r="I1323" s="39" t="s">
        <v>320</v>
      </c>
      <c r="J1323" s="43">
        <v>106915.71</v>
      </c>
      <c r="K1323" s="43">
        <v>0</v>
      </c>
      <c r="L1323" s="43">
        <v>106915.71</v>
      </c>
      <c r="M1323" s="44">
        <v>0</v>
      </c>
      <c r="N1323" s="44">
        <f t="shared" si="20"/>
        <v>106915.71</v>
      </c>
      <c r="O1323" s="44">
        <v>106915.71</v>
      </c>
      <c r="P1323" s="40" t="s">
        <v>1467</v>
      </c>
      <c r="Q1323" s="40" t="s">
        <v>1468</v>
      </c>
      <c r="R1323" s="40" t="s">
        <v>494</v>
      </c>
      <c r="S1323" s="40" t="s">
        <v>502</v>
      </c>
      <c r="T1323" s="40" t="s">
        <v>289</v>
      </c>
      <c r="U1323" s="40" t="s">
        <v>554</v>
      </c>
      <c r="V1323" s="40"/>
      <c r="W1323" s="40" t="s">
        <v>1469</v>
      </c>
    </row>
    <row r="1324" spans="1:23" ht="12" x14ac:dyDescent="0.2">
      <c r="A1324" s="39" t="s">
        <v>1616</v>
      </c>
      <c r="B1324" s="40" t="s">
        <v>7113</v>
      </c>
      <c r="C1324" s="40" t="s">
        <v>7114</v>
      </c>
      <c r="D1324" s="41">
        <v>46072</v>
      </c>
      <c r="E1324" s="41">
        <v>46102</v>
      </c>
      <c r="F1324" s="41">
        <v>46091</v>
      </c>
      <c r="G1324" s="42">
        <v>-11</v>
      </c>
      <c r="H1324" s="40" t="s">
        <v>556</v>
      </c>
      <c r="I1324" s="39" t="s">
        <v>320</v>
      </c>
      <c r="J1324" s="43">
        <v>8712.7000000000007</v>
      </c>
      <c r="K1324" s="43">
        <v>0</v>
      </c>
      <c r="L1324" s="43">
        <v>8712.7000000000007</v>
      </c>
      <c r="M1324" s="44">
        <v>0</v>
      </c>
      <c r="N1324" s="44">
        <f t="shared" si="20"/>
        <v>8712.7000000000007</v>
      </c>
      <c r="O1324" s="44">
        <v>8712.7000000000007</v>
      </c>
      <c r="P1324" s="40" t="s">
        <v>1615</v>
      </c>
      <c r="Q1324" s="40" t="s">
        <v>7115</v>
      </c>
      <c r="R1324" s="40" t="s">
        <v>494</v>
      </c>
      <c r="S1324" s="40" t="s">
        <v>502</v>
      </c>
      <c r="T1324" s="40" t="s">
        <v>534</v>
      </c>
      <c r="U1324" s="40" t="s">
        <v>1220</v>
      </c>
      <c r="V1324" s="40"/>
      <c r="W1324" s="40" t="s">
        <v>321</v>
      </c>
    </row>
    <row r="1325" spans="1:23" ht="12" x14ac:dyDescent="0.2">
      <c r="A1325" s="39" t="s">
        <v>1542</v>
      </c>
      <c r="B1325" s="40" t="s">
        <v>1995</v>
      </c>
      <c r="C1325" s="40" t="s">
        <v>7116</v>
      </c>
      <c r="D1325" s="41">
        <v>46072</v>
      </c>
      <c r="E1325" s="41">
        <v>46102</v>
      </c>
      <c r="F1325" s="41">
        <v>46091</v>
      </c>
      <c r="G1325" s="42">
        <v>-11</v>
      </c>
      <c r="H1325" s="40" t="s">
        <v>556</v>
      </c>
      <c r="I1325" s="39" t="s">
        <v>320</v>
      </c>
      <c r="J1325" s="43">
        <v>1915.51</v>
      </c>
      <c r="K1325" s="43">
        <v>0</v>
      </c>
      <c r="L1325" s="43">
        <v>1915.51</v>
      </c>
      <c r="M1325" s="44">
        <v>0</v>
      </c>
      <c r="N1325" s="44">
        <f t="shared" si="20"/>
        <v>1915.51</v>
      </c>
      <c r="O1325" s="44">
        <v>1915.51</v>
      </c>
      <c r="P1325" s="40" t="s">
        <v>1996</v>
      </c>
      <c r="Q1325" s="40" t="s">
        <v>7117</v>
      </c>
      <c r="R1325" s="40" t="s">
        <v>494</v>
      </c>
      <c r="S1325" s="40" t="s">
        <v>495</v>
      </c>
      <c r="T1325" s="40" t="s">
        <v>330</v>
      </c>
      <c r="U1325" s="40" t="s">
        <v>688</v>
      </c>
      <c r="V1325" s="40"/>
      <c r="W1325" s="40" t="s">
        <v>7118</v>
      </c>
    </row>
    <row r="1326" spans="1:23" ht="12" x14ac:dyDescent="0.2">
      <c r="A1326" s="39" t="s">
        <v>57</v>
      </c>
      <c r="B1326" s="40" t="s">
        <v>397</v>
      </c>
      <c r="C1326" s="40" t="s">
        <v>7119</v>
      </c>
      <c r="D1326" s="41">
        <v>46072</v>
      </c>
      <c r="E1326" s="41">
        <v>46102</v>
      </c>
      <c r="F1326" s="41">
        <v>46091</v>
      </c>
      <c r="G1326" s="42">
        <v>-11</v>
      </c>
      <c r="H1326" s="40" t="s">
        <v>556</v>
      </c>
      <c r="I1326" s="39" t="s">
        <v>320</v>
      </c>
      <c r="J1326" s="43">
        <v>28077.8</v>
      </c>
      <c r="K1326" s="43">
        <v>0</v>
      </c>
      <c r="L1326" s="43">
        <v>28077.8</v>
      </c>
      <c r="M1326" s="44">
        <v>0</v>
      </c>
      <c r="N1326" s="44">
        <f t="shared" si="20"/>
        <v>28077.8</v>
      </c>
      <c r="O1326" s="44">
        <v>28077.8</v>
      </c>
      <c r="P1326" s="40" t="s">
        <v>3125</v>
      </c>
      <c r="Q1326" s="40" t="s">
        <v>3126</v>
      </c>
      <c r="R1326" s="40" t="s">
        <v>494</v>
      </c>
      <c r="S1326" s="40" t="s">
        <v>502</v>
      </c>
      <c r="T1326" s="40" t="s">
        <v>301</v>
      </c>
      <c r="U1326" s="40" t="s">
        <v>3127</v>
      </c>
      <c r="V1326" s="40"/>
      <c r="W1326" s="40" t="s">
        <v>3128</v>
      </c>
    </row>
    <row r="1327" spans="1:23" ht="12" x14ac:dyDescent="0.2">
      <c r="A1327" s="39" t="s">
        <v>44</v>
      </c>
      <c r="B1327" s="40" t="s">
        <v>345</v>
      </c>
      <c r="C1327" s="40" t="s">
        <v>7120</v>
      </c>
      <c r="D1327" s="41">
        <v>46072</v>
      </c>
      <c r="E1327" s="41">
        <v>46102</v>
      </c>
      <c r="F1327" s="41">
        <v>46091</v>
      </c>
      <c r="G1327" s="42">
        <v>-11</v>
      </c>
      <c r="H1327" s="40" t="s">
        <v>556</v>
      </c>
      <c r="I1327" s="39" t="s">
        <v>320</v>
      </c>
      <c r="J1327" s="43">
        <v>22377.27</v>
      </c>
      <c r="K1327" s="43">
        <v>0</v>
      </c>
      <c r="L1327" s="43">
        <v>22377.27</v>
      </c>
      <c r="M1327" s="44">
        <v>0</v>
      </c>
      <c r="N1327" s="44">
        <f t="shared" si="20"/>
        <v>22377.27</v>
      </c>
      <c r="O1327" s="44">
        <v>22377.27</v>
      </c>
      <c r="P1327" s="40" t="s">
        <v>7121</v>
      </c>
      <c r="Q1327" s="40" t="s">
        <v>7122</v>
      </c>
      <c r="R1327" s="40" t="s">
        <v>494</v>
      </c>
      <c r="S1327" s="40" t="s">
        <v>502</v>
      </c>
      <c r="T1327" s="40" t="s">
        <v>178</v>
      </c>
      <c r="U1327" s="40" t="s">
        <v>7123</v>
      </c>
      <c r="V1327" s="40"/>
      <c r="W1327" s="40" t="s">
        <v>7124</v>
      </c>
    </row>
    <row r="1328" spans="1:23" ht="12" x14ac:dyDescent="0.2">
      <c r="A1328" s="39" t="s">
        <v>1518</v>
      </c>
      <c r="B1328" s="40" t="s">
        <v>5378</v>
      </c>
      <c r="C1328" s="40" t="s">
        <v>7125</v>
      </c>
      <c r="D1328" s="41">
        <v>46072</v>
      </c>
      <c r="E1328" s="41">
        <v>46102</v>
      </c>
      <c r="F1328" s="41">
        <v>46091</v>
      </c>
      <c r="G1328" s="42">
        <v>-11</v>
      </c>
      <c r="H1328" s="40" t="s">
        <v>556</v>
      </c>
      <c r="I1328" s="39" t="s">
        <v>320</v>
      </c>
      <c r="J1328" s="43">
        <v>52313.4</v>
      </c>
      <c r="K1328" s="43">
        <v>8718.9</v>
      </c>
      <c r="L1328" s="43">
        <v>52313.4</v>
      </c>
      <c r="M1328" s="44">
        <v>8718.9</v>
      </c>
      <c r="N1328" s="44">
        <f t="shared" si="20"/>
        <v>43594.5</v>
      </c>
      <c r="O1328" s="44">
        <v>52313.4</v>
      </c>
      <c r="P1328" s="40" t="s">
        <v>2049</v>
      </c>
      <c r="Q1328" s="40" t="s">
        <v>7126</v>
      </c>
      <c r="R1328" s="40" t="s">
        <v>494</v>
      </c>
      <c r="S1328" s="40" t="s">
        <v>502</v>
      </c>
      <c r="T1328" s="40" t="s">
        <v>513</v>
      </c>
      <c r="U1328" s="40" t="s">
        <v>7127</v>
      </c>
      <c r="V1328" s="40" t="s">
        <v>7128</v>
      </c>
      <c r="W1328" s="40" t="s">
        <v>7129</v>
      </c>
    </row>
    <row r="1329" spans="1:23" ht="12" x14ac:dyDescent="0.2">
      <c r="A1329" s="39" t="s">
        <v>3485</v>
      </c>
      <c r="B1329" s="40" t="s">
        <v>3486</v>
      </c>
      <c r="C1329" s="40" t="s">
        <v>7130</v>
      </c>
      <c r="D1329" s="41">
        <v>46072</v>
      </c>
      <c r="E1329" s="41">
        <v>46102</v>
      </c>
      <c r="F1329" s="41">
        <v>46091</v>
      </c>
      <c r="G1329" s="42">
        <v>-11</v>
      </c>
      <c r="H1329" s="40" t="s">
        <v>556</v>
      </c>
      <c r="I1329" s="39" t="s">
        <v>341</v>
      </c>
      <c r="J1329" s="43">
        <v>18000</v>
      </c>
      <c r="K1329" s="43">
        <v>0</v>
      </c>
      <c r="L1329" s="43">
        <v>18000</v>
      </c>
      <c r="M1329" s="44">
        <v>0</v>
      </c>
      <c r="N1329" s="44">
        <f t="shared" si="20"/>
        <v>14400</v>
      </c>
      <c r="O1329" s="44">
        <v>14400</v>
      </c>
      <c r="P1329" s="40" t="s">
        <v>3487</v>
      </c>
      <c r="Q1329" s="40" t="s">
        <v>3488</v>
      </c>
      <c r="R1329" s="40" t="s">
        <v>494</v>
      </c>
      <c r="S1329" s="40" t="s">
        <v>502</v>
      </c>
      <c r="T1329" s="40" t="s">
        <v>218</v>
      </c>
      <c r="U1329" s="40" t="s">
        <v>3489</v>
      </c>
      <c r="V1329" s="40"/>
      <c r="W1329" s="40" t="s">
        <v>3490</v>
      </c>
    </row>
    <row r="1330" spans="1:23" ht="12" x14ac:dyDescent="0.2">
      <c r="A1330" s="39" t="s">
        <v>1596</v>
      </c>
      <c r="B1330" s="40" t="s">
        <v>3375</v>
      </c>
      <c r="C1330" s="40" t="s">
        <v>7131</v>
      </c>
      <c r="D1330" s="41">
        <v>46072</v>
      </c>
      <c r="E1330" s="41">
        <v>46102</v>
      </c>
      <c r="F1330" s="41">
        <v>46091</v>
      </c>
      <c r="G1330" s="42">
        <v>-11</v>
      </c>
      <c r="H1330" s="40" t="s">
        <v>556</v>
      </c>
      <c r="I1330" s="39" t="s">
        <v>320</v>
      </c>
      <c r="J1330" s="43">
        <v>102282</v>
      </c>
      <c r="K1330" s="43">
        <v>0</v>
      </c>
      <c r="L1330" s="43">
        <v>102282</v>
      </c>
      <c r="M1330" s="44">
        <v>0</v>
      </c>
      <c r="N1330" s="44">
        <f t="shared" si="20"/>
        <v>102282</v>
      </c>
      <c r="O1330" s="44">
        <v>102282</v>
      </c>
      <c r="P1330" s="40" t="s">
        <v>3376</v>
      </c>
      <c r="Q1330" s="40" t="s">
        <v>3377</v>
      </c>
      <c r="R1330" s="40" t="s">
        <v>494</v>
      </c>
      <c r="S1330" s="40" t="s">
        <v>502</v>
      </c>
      <c r="T1330" s="40" t="s">
        <v>218</v>
      </c>
      <c r="U1330" s="40" t="s">
        <v>3378</v>
      </c>
      <c r="V1330" s="40" t="s">
        <v>7132</v>
      </c>
      <c r="W1330" s="40" t="s">
        <v>6359</v>
      </c>
    </row>
    <row r="1331" spans="1:23" ht="12" x14ac:dyDescent="0.2">
      <c r="A1331" s="39" t="s">
        <v>1070</v>
      </c>
      <c r="B1331" s="40" t="s">
        <v>364</v>
      </c>
      <c r="C1331" s="40" t="s">
        <v>7133</v>
      </c>
      <c r="D1331" s="41">
        <v>46072</v>
      </c>
      <c r="E1331" s="41">
        <v>46102</v>
      </c>
      <c r="F1331" s="41">
        <v>46091</v>
      </c>
      <c r="G1331" s="42">
        <v>-11</v>
      </c>
      <c r="H1331" s="40" t="s">
        <v>556</v>
      </c>
      <c r="I1331" s="39" t="s">
        <v>320</v>
      </c>
      <c r="J1331" s="43">
        <v>18997.78</v>
      </c>
      <c r="K1331" s="43">
        <v>0</v>
      </c>
      <c r="L1331" s="43">
        <v>18997.78</v>
      </c>
      <c r="M1331" s="44">
        <v>0</v>
      </c>
      <c r="N1331" s="44">
        <f t="shared" si="20"/>
        <v>18997.78</v>
      </c>
      <c r="O1331" s="44">
        <v>18997.78</v>
      </c>
      <c r="P1331" s="40" t="s">
        <v>4331</v>
      </c>
      <c r="Q1331" s="40" t="s">
        <v>4332</v>
      </c>
      <c r="R1331" s="40" t="s">
        <v>494</v>
      </c>
      <c r="S1331" s="40" t="s">
        <v>502</v>
      </c>
      <c r="T1331" s="40" t="s">
        <v>287</v>
      </c>
      <c r="U1331" s="40" t="s">
        <v>4333</v>
      </c>
      <c r="V1331" s="40"/>
      <c r="W1331" s="40" t="s">
        <v>4335</v>
      </c>
    </row>
    <row r="1332" spans="1:23" ht="12" x14ac:dyDescent="0.2">
      <c r="A1332" s="39" t="s">
        <v>344</v>
      </c>
      <c r="B1332" s="40" t="s">
        <v>1371</v>
      </c>
      <c r="C1332" s="40" t="s">
        <v>7134</v>
      </c>
      <c r="D1332" s="41">
        <v>46072</v>
      </c>
      <c r="E1332" s="41">
        <v>46102</v>
      </c>
      <c r="F1332" s="41">
        <v>46091</v>
      </c>
      <c r="G1332" s="42">
        <v>-11</v>
      </c>
      <c r="H1332" s="40" t="s">
        <v>556</v>
      </c>
      <c r="I1332" s="39" t="s">
        <v>320</v>
      </c>
      <c r="J1332" s="43">
        <v>-4378.79</v>
      </c>
      <c r="K1332" s="43">
        <v>0</v>
      </c>
      <c r="L1332" s="43">
        <v>-4378.79</v>
      </c>
      <c r="M1332" s="44">
        <v>0</v>
      </c>
      <c r="N1332" s="44">
        <f t="shared" si="20"/>
        <v>-4378.79</v>
      </c>
      <c r="O1332" s="44">
        <v>-4378.79</v>
      </c>
      <c r="P1332" s="40" t="s">
        <v>2291</v>
      </c>
      <c r="Q1332" s="40" t="s">
        <v>2292</v>
      </c>
      <c r="R1332" s="40" t="s">
        <v>494</v>
      </c>
      <c r="S1332" s="40" t="s">
        <v>495</v>
      </c>
      <c r="T1332" s="40" t="s">
        <v>733</v>
      </c>
      <c r="U1332" s="40" t="s">
        <v>2293</v>
      </c>
      <c r="V1332" s="40"/>
      <c r="W1332" s="40" t="s">
        <v>2294</v>
      </c>
    </row>
    <row r="1333" spans="1:23" ht="12" x14ac:dyDescent="0.2">
      <c r="A1333" s="39" t="s">
        <v>891</v>
      </c>
      <c r="B1333" s="40" t="s">
        <v>892</v>
      </c>
      <c r="C1333" s="40" t="s">
        <v>7135</v>
      </c>
      <c r="D1333" s="41">
        <v>46072</v>
      </c>
      <c r="E1333" s="41">
        <v>46102</v>
      </c>
      <c r="F1333" s="41">
        <v>46091</v>
      </c>
      <c r="G1333" s="42">
        <v>-11</v>
      </c>
      <c r="H1333" s="40" t="s">
        <v>556</v>
      </c>
      <c r="I1333" s="39" t="s">
        <v>320</v>
      </c>
      <c r="J1333" s="43">
        <v>175166.92</v>
      </c>
      <c r="K1333" s="43">
        <v>0</v>
      </c>
      <c r="L1333" s="43">
        <v>175166.92</v>
      </c>
      <c r="M1333" s="44">
        <v>0</v>
      </c>
      <c r="N1333" s="44">
        <f t="shared" si="20"/>
        <v>175166.92</v>
      </c>
      <c r="O1333" s="44">
        <v>175166.92</v>
      </c>
      <c r="P1333" s="40" t="s">
        <v>7136</v>
      </c>
      <c r="Q1333" s="40" t="s">
        <v>7137</v>
      </c>
      <c r="R1333" s="40" t="s">
        <v>494</v>
      </c>
      <c r="S1333" s="40" t="s">
        <v>502</v>
      </c>
      <c r="T1333" s="40" t="s">
        <v>309</v>
      </c>
      <c r="U1333" s="40" t="s">
        <v>772</v>
      </c>
      <c r="V1333" s="40"/>
      <c r="W1333" s="40" t="s">
        <v>7138</v>
      </c>
    </row>
    <row r="1334" spans="1:23" ht="12" x14ac:dyDescent="0.2">
      <c r="A1334" s="39" t="s">
        <v>474</v>
      </c>
      <c r="B1334" s="40" t="s">
        <v>473</v>
      </c>
      <c r="C1334" s="40" t="s">
        <v>7139</v>
      </c>
      <c r="D1334" s="41">
        <v>46072</v>
      </c>
      <c r="E1334" s="41">
        <v>46102</v>
      </c>
      <c r="F1334" s="41">
        <v>46091</v>
      </c>
      <c r="G1334" s="42">
        <v>-11</v>
      </c>
      <c r="H1334" s="40" t="s">
        <v>556</v>
      </c>
      <c r="I1334" s="39" t="s">
        <v>323</v>
      </c>
      <c r="J1334" s="43">
        <v>15355.06</v>
      </c>
      <c r="K1334" s="43">
        <v>0</v>
      </c>
      <c r="L1334" s="43">
        <v>15355.06</v>
      </c>
      <c r="M1334" s="44">
        <v>0</v>
      </c>
      <c r="N1334" s="44">
        <f t="shared" si="20"/>
        <v>10967.9</v>
      </c>
      <c r="O1334" s="44">
        <v>10967.9</v>
      </c>
      <c r="P1334" s="40" t="s">
        <v>1064</v>
      </c>
      <c r="Q1334" s="40" t="s">
        <v>1271</v>
      </c>
      <c r="R1334" s="40" t="s">
        <v>494</v>
      </c>
      <c r="S1334" s="40" t="s">
        <v>502</v>
      </c>
      <c r="T1334" s="40" t="s">
        <v>330</v>
      </c>
      <c r="U1334" s="40" t="s">
        <v>633</v>
      </c>
      <c r="V1334" s="40"/>
      <c r="W1334" s="40" t="s">
        <v>1272</v>
      </c>
    </row>
    <row r="1335" spans="1:23" ht="12" x14ac:dyDescent="0.2">
      <c r="A1335" s="39" t="s">
        <v>7140</v>
      </c>
      <c r="B1335" s="40" t="s">
        <v>7141</v>
      </c>
      <c r="C1335" s="40" t="s">
        <v>7142</v>
      </c>
      <c r="D1335" s="41">
        <v>46072</v>
      </c>
      <c r="E1335" s="41">
        <v>46102</v>
      </c>
      <c r="F1335" s="41">
        <v>46091</v>
      </c>
      <c r="G1335" s="42">
        <v>-11</v>
      </c>
      <c r="H1335" s="40" t="s">
        <v>556</v>
      </c>
      <c r="I1335" s="39" t="s">
        <v>341</v>
      </c>
      <c r="J1335" s="43">
        <v>480000</v>
      </c>
      <c r="K1335" s="43">
        <v>0</v>
      </c>
      <c r="L1335" s="43">
        <v>480000</v>
      </c>
      <c r="M1335" s="44">
        <v>0</v>
      </c>
      <c r="N1335" s="44">
        <f t="shared" si="20"/>
        <v>384000</v>
      </c>
      <c r="O1335" s="44">
        <v>384000</v>
      </c>
      <c r="P1335" s="40" t="s">
        <v>7143</v>
      </c>
      <c r="Q1335" s="40" t="s">
        <v>7144</v>
      </c>
      <c r="R1335" s="40" t="s">
        <v>494</v>
      </c>
      <c r="S1335" s="40" t="s">
        <v>502</v>
      </c>
      <c r="T1335" s="40" t="s">
        <v>3715</v>
      </c>
      <c r="U1335" s="40" t="s">
        <v>585</v>
      </c>
      <c r="V1335" s="40" t="s">
        <v>7145</v>
      </c>
      <c r="W1335" s="40" t="s">
        <v>7146</v>
      </c>
    </row>
    <row r="1336" spans="1:23" ht="12" x14ac:dyDescent="0.2">
      <c r="A1336" s="39" t="s">
        <v>10</v>
      </c>
      <c r="B1336" s="40" t="s">
        <v>393</v>
      </c>
      <c r="C1336" s="40" t="s">
        <v>7147</v>
      </c>
      <c r="D1336" s="41">
        <v>46072</v>
      </c>
      <c r="E1336" s="41">
        <v>46102</v>
      </c>
      <c r="F1336" s="41">
        <v>46091</v>
      </c>
      <c r="G1336" s="42">
        <v>-11</v>
      </c>
      <c r="H1336" s="40" t="s">
        <v>556</v>
      </c>
      <c r="I1336" s="39" t="s">
        <v>320</v>
      </c>
      <c r="J1336" s="43">
        <v>84054.78</v>
      </c>
      <c r="K1336" s="43">
        <v>0</v>
      </c>
      <c r="L1336" s="43">
        <v>84054.78</v>
      </c>
      <c r="M1336" s="44">
        <v>0</v>
      </c>
      <c r="N1336" s="44">
        <f t="shared" si="20"/>
        <v>84054.78</v>
      </c>
      <c r="O1336" s="44">
        <v>84054.78</v>
      </c>
      <c r="P1336" s="40" t="s">
        <v>3465</v>
      </c>
      <c r="Q1336" s="40" t="s">
        <v>3466</v>
      </c>
      <c r="R1336" s="40" t="s">
        <v>494</v>
      </c>
      <c r="S1336" s="40" t="s">
        <v>495</v>
      </c>
      <c r="T1336" s="40" t="s">
        <v>273</v>
      </c>
      <c r="U1336" s="40" t="s">
        <v>3381</v>
      </c>
      <c r="V1336" s="40"/>
      <c r="W1336" s="40" t="s">
        <v>3467</v>
      </c>
    </row>
    <row r="1337" spans="1:23" ht="12" x14ac:dyDescent="0.2">
      <c r="A1337" s="39" t="s">
        <v>339</v>
      </c>
      <c r="B1337" s="40" t="s">
        <v>338</v>
      </c>
      <c r="C1337" s="40" t="s">
        <v>7148</v>
      </c>
      <c r="D1337" s="41">
        <v>46072</v>
      </c>
      <c r="E1337" s="41">
        <v>46102</v>
      </c>
      <c r="F1337" s="41">
        <v>46091</v>
      </c>
      <c r="G1337" s="42">
        <v>-11</v>
      </c>
      <c r="H1337" s="40" t="s">
        <v>556</v>
      </c>
      <c r="I1337" s="39" t="s">
        <v>320</v>
      </c>
      <c r="J1337" s="43">
        <v>69211.179999999993</v>
      </c>
      <c r="K1337" s="43">
        <v>0</v>
      </c>
      <c r="L1337" s="43">
        <v>69211.179999999993</v>
      </c>
      <c r="M1337" s="44">
        <v>0</v>
      </c>
      <c r="N1337" s="44">
        <f t="shared" si="20"/>
        <v>69211.179999999993</v>
      </c>
      <c r="O1337" s="44">
        <v>69211.179999999993</v>
      </c>
      <c r="P1337" s="40" t="s">
        <v>7149</v>
      </c>
      <c r="Q1337" s="40" t="s">
        <v>7150</v>
      </c>
      <c r="R1337" s="40" t="s">
        <v>494</v>
      </c>
      <c r="S1337" s="40" t="s">
        <v>495</v>
      </c>
      <c r="T1337" s="40" t="s">
        <v>225</v>
      </c>
      <c r="U1337" s="40" t="s">
        <v>574</v>
      </c>
      <c r="V1337" s="40"/>
      <c r="W1337" s="40" t="s">
        <v>7151</v>
      </c>
    </row>
    <row r="1338" spans="1:23" ht="12" x14ac:dyDescent="0.2">
      <c r="A1338" s="39" t="s">
        <v>337</v>
      </c>
      <c r="B1338" s="40" t="s">
        <v>336</v>
      </c>
      <c r="C1338" s="40" t="s">
        <v>7152</v>
      </c>
      <c r="D1338" s="41">
        <v>46072</v>
      </c>
      <c r="E1338" s="41">
        <v>46102</v>
      </c>
      <c r="F1338" s="41">
        <v>46091</v>
      </c>
      <c r="G1338" s="42">
        <v>-11</v>
      </c>
      <c r="H1338" s="40" t="s">
        <v>556</v>
      </c>
      <c r="I1338" s="39" t="s">
        <v>320</v>
      </c>
      <c r="J1338" s="43">
        <v>152174.42000000001</v>
      </c>
      <c r="K1338" s="43">
        <v>0</v>
      </c>
      <c r="L1338" s="43">
        <v>152174.42000000001</v>
      </c>
      <c r="M1338" s="44">
        <v>0</v>
      </c>
      <c r="N1338" s="44">
        <f t="shared" si="20"/>
        <v>152174.42000000001</v>
      </c>
      <c r="O1338" s="44">
        <v>152174.42000000001</v>
      </c>
      <c r="P1338" s="40" t="s">
        <v>1039</v>
      </c>
      <c r="Q1338" s="40" t="s">
        <v>1040</v>
      </c>
      <c r="R1338" s="40" t="s">
        <v>494</v>
      </c>
      <c r="S1338" s="40" t="s">
        <v>502</v>
      </c>
      <c r="T1338" s="40" t="s">
        <v>289</v>
      </c>
      <c r="U1338" s="40" t="s">
        <v>1041</v>
      </c>
      <c r="V1338" s="40"/>
      <c r="W1338" s="40" t="s">
        <v>1042</v>
      </c>
    </row>
    <row r="1339" spans="1:23" ht="12" x14ac:dyDescent="0.2">
      <c r="A1339" s="39" t="s">
        <v>1593</v>
      </c>
      <c r="B1339" s="40" t="s">
        <v>3400</v>
      </c>
      <c r="C1339" s="40" t="s">
        <v>7153</v>
      </c>
      <c r="D1339" s="41">
        <v>46072</v>
      </c>
      <c r="E1339" s="41">
        <v>46102</v>
      </c>
      <c r="F1339" s="41">
        <v>46091</v>
      </c>
      <c r="G1339" s="42">
        <v>-11</v>
      </c>
      <c r="H1339" s="40" t="s">
        <v>556</v>
      </c>
      <c r="I1339" s="39" t="s">
        <v>320</v>
      </c>
      <c r="J1339" s="43">
        <v>98230.52</v>
      </c>
      <c r="K1339" s="43">
        <v>0</v>
      </c>
      <c r="L1339" s="43">
        <v>98230.52</v>
      </c>
      <c r="M1339" s="44">
        <v>0</v>
      </c>
      <c r="N1339" s="44">
        <f t="shared" si="20"/>
        <v>98230.52</v>
      </c>
      <c r="O1339" s="44">
        <v>98230.52</v>
      </c>
      <c r="P1339" s="40" t="s">
        <v>7154</v>
      </c>
      <c r="Q1339" s="40" t="s">
        <v>7155</v>
      </c>
      <c r="R1339" s="40" t="s">
        <v>494</v>
      </c>
      <c r="S1339" s="40" t="s">
        <v>502</v>
      </c>
      <c r="T1339" s="40" t="s">
        <v>534</v>
      </c>
      <c r="U1339" s="40" t="s">
        <v>7156</v>
      </c>
      <c r="V1339" s="40"/>
      <c r="W1339" s="40" t="s">
        <v>7157</v>
      </c>
    </row>
    <row r="1340" spans="1:23" ht="12" x14ac:dyDescent="0.2">
      <c r="A1340" s="39" t="s">
        <v>7158</v>
      </c>
      <c r="B1340" s="40" t="s">
        <v>7159</v>
      </c>
      <c r="C1340" s="40" t="s">
        <v>7160</v>
      </c>
      <c r="D1340" s="41">
        <v>46073</v>
      </c>
      <c r="E1340" s="41">
        <v>46103</v>
      </c>
      <c r="F1340" s="41">
        <v>46091</v>
      </c>
      <c r="G1340" s="42">
        <v>-12</v>
      </c>
      <c r="H1340" s="40" t="s">
        <v>556</v>
      </c>
      <c r="I1340" s="39" t="s">
        <v>320</v>
      </c>
      <c r="J1340" s="43">
        <v>46641.77</v>
      </c>
      <c r="K1340" s="43">
        <v>0</v>
      </c>
      <c r="L1340" s="43">
        <v>46641.77</v>
      </c>
      <c r="M1340" s="44">
        <v>0</v>
      </c>
      <c r="N1340" s="44">
        <f t="shared" si="20"/>
        <v>46641.77</v>
      </c>
      <c r="O1340" s="44">
        <v>46641.77</v>
      </c>
      <c r="P1340" s="40" t="s">
        <v>7161</v>
      </c>
      <c r="Q1340" s="40" t="s">
        <v>7162</v>
      </c>
      <c r="R1340" s="40" t="s">
        <v>494</v>
      </c>
      <c r="S1340" s="40" t="s">
        <v>502</v>
      </c>
      <c r="T1340" s="40" t="s">
        <v>733</v>
      </c>
      <c r="U1340" s="40" t="s">
        <v>7163</v>
      </c>
      <c r="V1340" s="40"/>
      <c r="W1340" s="40" t="s">
        <v>7164</v>
      </c>
    </row>
    <row r="1341" spans="1:23" ht="12" x14ac:dyDescent="0.2">
      <c r="A1341" s="39" t="s">
        <v>337</v>
      </c>
      <c r="B1341" s="40" t="s">
        <v>336</v>
      </c>
      <c r="C1341" s="40" t="s">
        <v>7165</v>
      </c>
      <c r="D1341" s="41">
        <v>46073</v>
      </c>
      <c r="E1341" s="41">
        <v>46103</v>
      </c>
      <c r="F1341" s="41">
        <v>46091</v>
      </c>
      <c r="G1341" s="42">
        <v>-12</v>
      </c>
      <c r="H1341" s="40" t="s">
        <v>556</v>
      </c>
      <c r="I1341" s="39" t="s">
        <v>320</v>
      </c>
      <c r="J1341" s="43">
        <v>11515.47</v>
      </c>
      <c r="K1341" s="43">
        <v>0</v>
      </c>
      <c r="L1341" s="43">
        <v>11515.47</v>
      </c>
      <c r="M1341" s="44">
        <v>0</v>
      </c>
      <c r="N1341" s="44">
        <f t="shared" si="20"/>
        <v>11515.47</v>
      </c>
      <c r="O1341" s="44">
        <v>11515.47</v>
      </c>
      <c r="P1341" s="40" t="s">
        <v>7166</v>
      </c>
      <c r="Q1341" s="40" t="s">
        <v>7167</v>
      </c>
      <c r="R1341" s="40" t="s">
        <v>494</v>
      </c>
      <c r="S1341" s="40" t="s">
        <v>502</v>
      </c>
      <c r="T1341" s="40" t="s">
        <v>289</v>
      </c>
      <c r="U1341" s="40" t="s">
        <v>1927</v>
      </c>
      <c r="V1341" s="40"/>
      <c r="W1341" s="40" t="s">
        <v>7168</v>
      </c>
    </row>
    <row r="1342" spans="1:23" ht="12" x14ac:dyDescent="0.2">
      <c r="A1342" s="39" t="s">
        <v>7169</v>
      </c>
      <c r="B1342" s="40" t="s">
        <v>7170</v>
      </c>
      <c r="C1342" s="40" t="s">
        <v>7171</v>
      </c>
      <c r="D1342" s="41">
        <v>46073</v>
      </c>
      <c r="E1342" s="41">
        <v>46103</v>
      </c>
      <c r="F1342" s="41">
        <v>46091</v>
      </c>
      <c r="G1342" s="42">
        <v>-12</v>
      </c>
      <c r="H1342" s="40" t="s">
        <v>556</v>
      </c>
      <c r="I1342" s="39" t="s">
        <v>323</v>
      </c>
      <c r="J1342" s="43">
        <v>24126.49</v>
      </c>
      <c r="K1342" s="43">
        <v>0</v>
      </c>
      <c r="L1342" s="43">
        <v>24126.49</v>
      </c>
      <c r="M1342" s="44">
        <v>0</v>
      </c>
      <c r="N1342" s="44">
        <f t="shared" si="20"/>
        <v>16638.96</v>
      </c>
      <c r="O1342" s="44">
        <v>16638.96</v>
      </c>
      <c r="P1342" s="40" t="s">
        <v>7172</v>
      </c>
      <c r="Q1342" s="40" t="s">
        <v>7173</v>
      </c>
      <c r="R1342" s="40" t="s">
        <v>494</v>
      </c>
      <c r="S1342" s="40" t="s">
        <v>502</v>
      </c>
      <c r="T1342" s="40" t="s">
        <v>178</v>
      </c>
      <c r="U1342" s="40" t="s">
        <v>625</v>
      </c>
      <c r="V1342" s="40"/>
      <c r="W1342" s="40" t="s">
        <v>7174</v>
      </c>
    </row>
    <row r="1343" spans="1:23" ht="12" x14ac:dyDescent="0.2">
      <c r="A1343" s="39" t="s">
        <v>796</v>
      </c>
      <c r="B1343" s="40" t="s">
        <v>797</v>
      </c>
      <c r="C1343" s="40" t="s">
        <v>7175</v>
      </c>
      <c r="D1343" s="41">
        <v>46073</v>
      </c>
      <c r="E1343" s="41">
        <v>46103</v>
      </c>
      <c r="F1343" s="41">
        <v>46091</v>
      </c>
      <c r="G1343" s="42">
        <v>-12</v>
      </c>
      <c r="H1343" s="40" t="s">
        <v>556</v>
      </c>
      <c r="I1343" s="39" t="s">
        <v>320</v>
      </c>
      <c r="J1343" s="43">
        <v>71505.259999999995</v>
      </c>
      <c r="K1343" s="43">
        <v>0</v>
      </c>
      <c r="L1343" s="43">
        <v>71505.259999999995</v>
      </c>
      <c r="M1343" s="44">
        <v>0</v>
      </c>
      <c r="N1343" s="44">
        <f t="shared" si="20"/>
        <v>71505.259999999995</v>
      </c>
      <c r="O1343" s="44">
        <v>71505.259999999995</v>
      </c>
      <c r="P1343" s="40" t="s">
        <v>1823</v>
      </c>
      <c r="Q1343" s="40" t="s">
        <v>1824</v>
      </c>
      <c r="R1343" s="40" t="s">
        <v>494</v>
      </c>
      <c r="S1343" s="40" t="s">
        <v>502</v>
      </c>
      <c r="T1343" s="40" t="s">
        <v>189</v>
      </c>
      <c r="U1343" s="40" t="s">
        <v>1825</v>
      </c>
      <c r="V1343" s="40"/>
      <c r="W1343" s="40" t="s">
        <v>3426</v>
      </c>
    </row>
    <row r="1344" spans="1:23" ht="12" x14ac:dyDescent="0.2">
      <c r="A1344" s="39" t="s">
        <v>337</v>
      </c>
      <c r="B1344" s="40" t="s">
        <v>336</v>
      </c>
      <c r="C1344" s="40" t="s">
        <v>7176</v>
      </c>
      <c r="D1344" s="41">
        <v>46073</v>
      </c>
      <c r="E1344" s="41">
        <v>46103</v>
      </c>
      <c r="F1344" s="41">
        <v>46091</v>
      </c>
      <c r="G1344" s="42">
        <v>-12</v>
      </c>
      <c r="H1344" s="40" t="s">
        <v>556</v>
      </c>
      <c r="I1344" s="39" t="s">
        <v>320</v>
      </c>
      <c r="J1344" s="43">
        <v>65600.55</v>
      </c>
      <c r="K1344" s="43">
        <v>0</v>
      </c>
      <c r="L1344" s="43">
        <v>65600.55</v>
      </c>
      <c r="M1344" s="44">
        <v>0</v>
      </c>
      <c r="N1344" s="44">
        <f t="shared" si="20"/>
        <v>65600.55</v>
      </c>
      <c r="O1344" s="44">
        <v>65600.55</v>
      </c>
      <c r="P1344" s="40" t="s">
        <v>1746</v>
      </c>
      <c r="Q1344" s="40" t="s">
        <v>1747</v>
      </c>
      <c r="R1344" s="40" t="s">
        <v>494</v>
      </c>
      <c r="S1344" s="40" t="s">
        <v>502</v>
      </c>
      <c r="T1344" s="40" t="s">
        <v>289</v>
      </c>
      <c r="U1344" s="40" t="s">
        <v>5529</v>
      </c>
      <c r="V1344" s="40" t="s">
        <v>3880</v>
      </c>
      <c r="W1344" s="40" t="s">
        <v>1749</v>
      </c>
    </row>
    <row r="1345" spans="1:23" ht="12" x14ac:dyDescent="0.2">
      <c r="A1345" s="39" t="s">
        <v>1609</v>
      </c>
      <c r="B1345" s="40" t="s">
        <v>3544</v>
      </c>
      <c r="C1345" s="40" t="s">
        <v>7177</v>
      </c>
      <c r="D1345" s="41">
        <v>46073</v>
      </c>
      <c r="E1345" s="41">
        <v>46103</v>
      </c>
      <c r="F1345" s="41">
        <v>46091</v>
      </c>
      <c r="G1345" s="42">
        <v>-12</v>
      </c>
      <c r="H1345" s="40" t="s">
        <v>556</v>
      </c>
      <c r="I1345" s="39" t="s">
        <v>323</v>
      </c>
      <c r="J1345" s="43">
        <v>43111.09</v>
      </c>
      <c r="K1345" s="43">
        <v>0</v>
      </c>
      <c r="L1345" s="43">
        <v>43111.09</v>
      </c>
      <c r="M1345" s="44">
        <v>0</v>
      </c>
      <c r="N1345" s="44">
        <f t="shared" si="20"/>
        <v>31934.14</v>
      </c>
      <c r="O1345" s="44">
        <v>31934.14</v>
      </c>
      <c r="P1345" s="40" t="s">
        <v>7178</v>
      </c>
      <c r="Q1345" s="40" t="s">
        <v>7179</v>
      </c>
      <c r="R1345" s="40" t="s">
        <v>494</v>
      </c>
      <c r="S1345" s="40" t="s">
        <v>502</v>
      </c>
      <c r="T1345" s="40" t="s">
        <v>813</v>
      </c>
      <c r="U1345" s="40" t="s">
        <v>623</v>
      </c>
      <c r="V1345" s="40"/>
      <c r="W1345" s="40" t="s">
        <v>7180</v>
      </c>
    </row>
    <row r="1346" spans="1:23" ht="12" x14ac:dyDescent="0.2">
      <c r="A1346" s="39" t="s">
        <v>34</v>
      </c>
      <c r="B1346" s="40" t="s">
        <v>465</v>
      </c>
      <c r="C1346" s="40" t="s">
        <v>7181</v>
      </c>
      <c r="D1346" s="41">
        <v>46073</v>
      </c>
      <c r="E1346" s="41">
        <v>46103</v>
      </c>
      <c r="F1346" s="41">
        <v>46091</v>
      </c>
      <c r="G1346" s="42">
        <v>-12</v>
      </c>
      <c r="H1346" s="40" t="s">
        <v>556</v>
      </c>
      <c r="I1346" s="39" t="s">
        <v>320</v>
      </c>
      <c r="J1346" s="43">
        <v>1210.77</v>
      </c>
      <c r="K1346" s="43">
        <v>0</v>
      </c>
      <c r="L1346" s="43">
        <v>1210.77</v>
      </c>
      <c r="M1346" s="44">
        <v>0</v>
      </c>
      <c r="N1346" s="44">
        <f t="shared" si="20"/>
        <v>1210.77</v>
      </c>
      <c r="O1346" s="44">
        <v>1210.77</v>
      </c>
      <c r="P1346" s="40" t="s">
        <v>1568</v>
      </c>
      <c r="Q1346" s="40" t="s">
        <v>7182</v>
      </c>
      <c r="R1346" s="40" t="s">
        <v>494</v>
      </c>
      <c r="S1346" s="40" t="s">
        <v>502</v>
      </c>
      <c r="T1346" s="40" t="s">
        <v>764</v>
      </c>
      <c r="U1346" s="40" t="s">
        <v>7183</v>
      </c>
      <c r="V1346" s="40"/>
      <c r="W1346" s="40" t="s">
        <v>7184</v>
      </c>
    </row>
    <row r="1347" spans="1:23" ht="12" x14ac:dyDescent="0.2">
      <c r="A1347" s="39" t="s">
        <v>3282</v>
      </c>
      <c r="B1347" s="40" t="s">
        <v>3283</v>
      </c>
      <c r="C1347" s="40" t="s">
        <v>7185</v>
      </c>
      <c r="D1347" s="41">
        <v>46073</v>
      </c>
      <c r="E1347" s="41">
        <v>46103</v>
      </c>
      <c r="F1347" s="41">
        <v>46091</v>
      </c>
      <c r="G1347" s="42">
        <v>-12</v>
      </c>
      <c r="H1347" s="40" t="s">
        <v>556</v>
      </c>
      <c r="I1347" s="39" t="s">
        <v>320</v>
      </c>
      <c r="J1347" s="43">
        <v>41040.720000000001</v>
      </c>
      <c r="K1347" s="43">
        <v>0</v>
      </c>
      <c r="L1347" s="43">
        <v>41040.720000000001</v>
      </c>
      <c r="M1347" s="44">
        <v>0</v>
      </c>
      <c r="N1347" s="44">
        <f t="shared" ref="N1347:N1410" si="21">IF(I1347="GBP",L1347-K1347,O1347-K1347)</f>
        <v>41040.720000000001</v>
      </c>
      <c r="O1347" s="44">
        <v>41040.720000000001</v>
      </c>
      <c r="P1347" s="40" t="s">
        <v>3284</v>
      </c>
      <c r="Q1347" s="40" t="s">
        <v>3285</v>
      </c>
      <c r="R1347" s="40" t="s">
        <v>494</v>
      </c>
      <c r="S1347" s="40" t="s">
        <v>502</v>
      </c>
      <c r="T1347" s="40" t="s">
        <v>512</v>
      </c>
      <c r="U1347" s="40" t="s">
        <v>3286</v>
      </c>
      <c r="V1347" s="40"/>
      <c r="W1347" s="40" t="s">
        <v>3287</v>
      </c>
    </row>
    <row r="1348" spans="1:23" ht="12" x14ac:dyDescent="0.2">
      <c r="A1348" s="39" t="s">
        <v>3282</v>
      </c>
      <c r="B1348" s="40" t="s">
        <v>3283</v>
      </c>
      <c r="C1348" s="40" t="s">
        <v>7186</v>
      </c>
      <c r="D1348" s="41">
        <v>46073</v>
      </c>
      <c r="E1348" s="41">
        <v>46103</v>
      </c>
      <c r="F1348" s="41">
        <v>46091</v>
      </c>
      <c r="G1348" s="42">
        <v>-12</v>
      </c>
      <c r="H1348" s="40" t="s">
        <v>556</v>
      </c>
      <c r="I1348" s="39" t="s">
        <v>320</v>
      </c>
      <c r="J1348" s="43">
        <v>30144.34</v>
      </c>
      <c r="K1348" s="43">
        <v>0</v>
      </c>
      <c r="L1348" s="43">
        <v>30144.34</v>
      </c>
      <c r="M1348" s="44">
        <v>0</v>
      </c>
      <c r="N1348" s="44">
        <f t="shared" si="21"/>
        <v>30144.34</v>
      </c>
      <c r="O1348" s="44">
        <v>30144.34</v>
      </c>
      <c r="P1348" s="40" t="s">
        <v>3284</v>
      </c>
      <c r="Q1348" s="40" t="s">
        <v>3285</v>
      </c>
      <c r="R1348" s="40" t="s">
        <v>494</v>
      </c>
      <c r="S1348" s="40" t="s">
        <v>502</v>
      </c>
      <c r="T1348" s="40" t="s">
        <v>512</v>
      </c>
      <c r="U1348" s="40" t="s">
        <v>3286</v>
      </c>
      <c r="V1348" s="40"/>
      <c r="W1348" s="40" t="s">
        <v>3287</v>
      </c>
    </row>
    <row r="1349" spans="1:23" ht="12" x14ac:dyDescent="0.2">
      <c r="A1349" s="39" t="s">
        <v>3282</v>
      </c>
      <c r="B1349" s="40" t="s">
        <v>3283</v>
      </c>
      <c r="C1349" s="40" t="s">
        <v>7187</v>
      </c>
      <c r="D1349" s="41">
        <v>46073</v>
      </c>
      <c r="E1349" s="41">
        <v>46103</v>
      </c>
      <c r="F1349" s="41">
        <v>46091</v>
      </c>
      <c r="G1349" s="42">
        <v>-12</v>
      </c>
      <c r="H1349" s="40" t="s">
        <v>556</v>
      </c>
      <c r="I1349" s="39" t="s">
        <v>320</v>
      </c>
      <c r="J1349" s="43">
        <v>27533.24</v>
      </c>
      <c r="K1349" s="43">
        <v>0</v>
      </c>
      <c r="L1349" s="43">
        <v>27533.24</v>
      </c>
      <c r="M1349" s="44">
        <v>0</v>
      </c>
      <c r="N1349" s="44">
        <f t="shared" si="21"/>
        <v>27533.24</v>
      </c>
      <c r="O1349" s="44">
        <v>27533.24</v>
      </c>
      <c r="P1349" s="40" t="s">
        <v>3284</v>
      </c>
      <c r="Q1349" s="40" t="s">
        <v>3285</v>
      </c>
      <c r="R1349" s="40" t="s">
        <v>494</v>
      </c>
      <c r="S1349" s="40" t="s">
        <v>502</v>
      </c>
      <c r="T1349" s="40" t="s">
        <v>512</v>
      </c>
      <c r="U1349" s="40" t="s">
        <v>3286</v>
      </c>
      <c r="V1349" s="40"/>
      <c r="W1349" s="40" t="s">
        <v>3287</v>
      </c>
    </row>
    <row r="1350" spans="1:23" ht="12" x14ac:dyDescent="0.2">
      <c r="A1350" s="39" t="s">
        <v>595</v>
      </c>
      <c r="B1350" s="40" t="s">
        <v>5766</v>
      </c>
      <c r="C1350" s="40" t="s">
        <v>7188</v>
      </c>
      <c r="D1350" s="41">
        <v>46073</v>
      </c>
      <c r="E1350" s="41">
        <v>46103</v>
      </c>
      <c r="F1350" s="41">
        <v>46091</v>
      </c>
      <c r="G1350" s="42">
        <v>-12</v>
      </c>
      <c r="H1350" s="40" t="s">
        <v>556</v>
      </c>
      <c r="I1350" s="39" t="s">
        <v>320</v>
      </c>
      <c r="J1350" s="43">
        <v>12414.73</v>
      </c>
      <c r="K1350" s="43">
        <v>0</v>
      </c>
      <c r="L1350" s="43">
        <v>12414.73</v>
      </c>
      <c r="M1350" s="44">
        <v>0</v>
      </c>
      <c r="N1350" s="44">
        <f t="shared" si="21"/>
        <v>12414.73</v>
      </c>
      <c r="O1350" s="44">
        <v>12414.73</v>
      </c>
      <c r="P1350" s="40" t="s">
        <v>7189</v>
      </c>
      <c r="Q1350" s="40" t="s">
        <v>7190</v>
      </c>
      <c r="R1350" s="40" t="s">
        <v>494</v>
      </c>
      <c r="S1350" s="40" t="s">
        <v>502</v>
      </c>
      <c r="T1350" s="40" t="s">
        <v>363</v>
      </c>
      <c r="U1350" s="40" t="s">
        <v>1657</v>
      </c>
      <c r="V1350" s="40"/>
      <c r="W1350" s="40" t="s">
        <v>7191</v>
      </c>
    </row>
    <row r="1351" spans="1:23" ht="12" x14ac:dyDescent="0.2">
      <c r="A1351" s="39" t="s">
        <v>337</v>
      </c>
      <c r="B1351" s="40" t="s">
        <v>336</v>
      </c>
      <c r="C1351" s="40" t="s">
        <v>7192</v>
      </c>
      <c r="D1351" s="41">
        <v>46073</v>
      </c>
      <c r="E1351" s="41">
        <v>46103</v>
      </c>
      <c r="F1351" s="41">
        <v>46091</v>
      </c>
      <c r="G1351" s="42">
        <v>-12</v>
      </c>
      <c r="H1351" s="40" t="s">
        <v>556</v>
      </c>
      <c r="I1351" s="39" t="s">
        <v>320</v>
      </c>
      <c r="J1351" s="43">
        <v>669158.75</v>
      </c>
      <c r="K1351" s="43">
        <v>0</v>
      </c>
      <c r="L1351" s="43">
        <v>669158.75</v>
      </c>
      <c r="M1351" s="44">
        <v>0</v>
      </c>
      <c r="N1351" s="44">
        <f t="shared" si="21"/>
        <v>669158.75</v>
      </c>
      <c r="O1351" s="44">
        <v>669158.75</v>
      </c>
      <c r="P1351" s="40" t="s">
        <v>2175</v>
      </c>
      <c r="Q1351" s="40" t="s">
        <v>2176</v>
      </c>
      <c r="R1351" s="40" t="s">
        <v>494</v>
      </c>
      <c r="S1351" s="40" t="s">
        <v>502</v>
      </c>
      <c r="T1351" s="40" t="s">
        <v>289</v>
      </c>
      <c r="U1351" s="40" t="s">
        <v>554</v>
      </c>
      <c r="V1351" s="40"/>
      <c r="W1351" s="40" t="s">
        <v>2177</v>
      </c>
    </row>
    <row r="1352" spans="1:23" ht="12" x14ac:dyDescent="0.2">
      <c r="A1352" s="39" t="s">
        <v>48</v>
      </c>
      <c r="B1352" s="40" t="s">
        <v>389</v>
      </c>
      <c r="C1352" s="40" t="s">
        <v>7193</v>
      </c>
      <c r="D1352" s="41">
        <v>46073</v>
      </c>
      <c r="E1352" s="41">
        <v>46103</v>
      </c>
      <c r="F1352" s="41">
        <v>46091</v>
      </c>
      <c r="G1352" s="42">
        <v>-12</v>
      </c>
      <c r="H1352" s="40" t="s">
        <v>556</v>
      </c>
      <c r="I1352" s="39" t="s">
        <v>320</v>
      </c>
      <c r="J1352" s="43">
        <v>-76663.31</v>
      </c>
      <c r="K1352" s="43">
        <v>0</v>
      </c>
      <c r="L1352" s="43">
        <v>-76663.31</v>
      </c>
      <c r="M1352" s="44">
        <v>0</v>
      </c>
      <c r="N1352" s="44">
        <f t="shared" si="21"/>
        <v>-76663.31</v>
      </c>
      <c r="O1352" s="44">
        <v>-76663.31</v>
      </c>
      <c r="P1352" s="40" t="s">
        <v>7194</v>
      </c>
      <c r="Q1352" s="40" t="s">
        <v>7195</v>
      </c>
      <c r="R1352" s="40" t="s">
        <v>494</v>
      </c>
      <c r="S1352" s="40" t="s">
        <v>495</v>
      </c>
      <c r="T1352" s="40" t="s">
        <v>284</v>
      </c>
      <c r="U1352" s="40" t="s">
        <v>566</v>
      </c>
      <c r="V1352" s="40"/>
      <c r="W1352" s="40" t="s">
        <v>7196</v>
      </c>
    </row>
    <row r="1353" spans="1:23" ht="12" x14ac:dyDescent="0.2">
      <c r="A1353" s="39" t="s">
        <v>337</v>
      </c>
      <c r="B1353" s="40" t="s">
        <v>336</v>
      </c>
      <c r="C1353" s="40" t="s">
        <v>7197</v>
      </c>
      <c r="D1353" s="41">
        <v>46073</v>
      </c>
      <c r="E1353" s="41">
        <v>46103</v>
      </c>
      <c r="F1353" s="41">
        <v>46091</v>
      </c>
      <c r="G1353" s="42">
        <v>-12</v>
      </c>
      <c r="H1353" s="40" t="s">
        <v>556</v>
      </c>
      <c r="I1353" s="39" t="s">
        <v>320</v>
      </c>
      <c r="J1353" s="43">
        <v>31741.99</v>
      </c>
      <c r="K1353" s="43">
        <v>0</v>
      </c>
      <c r="L1353" s="43">
        <v>31741.99</v>
      </c>
      <c r="M1353" s="44">
        <v>0</v>
      </c>
      <c r="N1353" s="44">
        <f t="shared" si="21"/>
        <v>31741.99</v>
      </c>
      <c r="O1353" s="44">
        <v>31741.99</v>
      </c>
      <c r="P1353" s="40" t="s">
        <v>7166</v>
      </c>
      <c r="Q1353" s="40" t="s">
        <v>7167</v>
      </c>
      <c r="R1353" s="40" t="s">
        <v>494</v>
      </c>
      <c r="S1353" s="40" t="s">
        <v>502</v>
      </c>
      <c r="T1353" s="40" t="s">
        <v>289</v>
      </c>
      <c r="U1353" s="40" t="s">
        <v>1927</v>
      </c>
      <c r="V1353" s="40"/>
      <c r="W1353" s="40" t="s">
        <v>7168</v>
      </c>
    </row>
    <row r="1354" spans="1:23" ht="12" x14ac:dyDescent="0.2">
      <c r="A1354" s="39" t="s">
        <v>7198</v>
      </c>
      <c r="B1354" s="40" t="s">
        <v>7199</v>
      </c>
      <c r="C1354" s="40" t="s">
        <v>7200</v>
      </c>
      <c r="D1354" s="41">
        <v>46073</v>
      </c>
      <c r="E1354" s="41">
        <v>46103</v>
      </c>
      <c r="F1354" s="41">
        <v>46091</v>
      </c>
      <c r="G1354" s="42">
        <v>-12</v>
      </c>
      <c r="H1354" s="40" t="s">
        <v>556</v>
      </c>
      <c r="I1354" s="39" t="s">
        <v>320</v>
      </c>
      <c r="J1354" s="43">
        <v>59655.82</v>
      </c>
      <c r="K1354" s="43">
        <v>0</v>
      </c>
      <c r="L1354" s="43">
        <v>59655.82</v>
      </c>
      <c r="M1354" s="44">
        <v>0</v>
      </c>
      <c r="N1354" s="44">
        <f t="shared" si="21"/>
        <v>59655.82</v>
      </c>
      <c r="O1354" s="44">
        <v>59655.82</v>
      </c>
      <c r="P1354" s="40" t="s">
        <v>7201</v>
      </c>
      <c r="Q1354" s="40" t="s">
        <v>7202</v>
      </c>
      <c r="R1354" s="40" t="s">
        <v>494</v>
      </c>
      <c r="S1354" s="40" t="s">
        <v>502</v>
      </c>
      <c r="T1354" s="40" t="s">
        <v>343</v>
      </c>
      <c r="U1354" s="40" t="s">
        <v>7203</v>
      </c>
      <c r="V1354" s="40" t="s">
        <v>7204</v>
      </c>
      <c r="W1354" s="40"/>
    </row>
    <row r="1355" spans="1:23" ht="12" x14ac:dyDescent="0.2">
      <c r="A1355" s="39" t="s">
        <v>7205</v>
      </c>
      <c r="B1355" s="40" t="s">
        <v>7206</v>
      </c>
      <c r="C1355" s="40" t="s">
        <v>7207</v>
      </c>
      <c r="D1355" s="41">
        <v>46076</v>
      </c>
      <c r="E1355" s="41">
        <v>46106</v>
      </c>
      <c r="F1355" s="41">
        <v>46091</v>
      </c>
      <c r="G1355" s="42">
        <v>-15</v>
      </c>
      <c r="H1355" s="40" t="s">
        <v>556</v>
      </c>
      <c r="I1355" s="39" t="s">
        <v>341</v>
      </c>
      <c r="J1355" s="43">
        <v>120000</v>
      </c>
      <c r="K1355" s="43">
        <v>0</v>
      </c>
      <c r="L1355" s="43">
        <v>120000</v>
      </c>
      <c r="M1355" s="44">
        <v>0</v>
      </c>
      <c r="N1355" s="44">
        <f t="shared" si="21"/>
        <v>92307.69</v>
      </c>
      <c r="O1355" s="44">
        <v>92307.69</v>
      </c>
      <c r="P1355" s="40" t="s">
        <v>7208</v>
      </c>
      <c r="Q1355" s="40" t="s">
        <v>7209</v>
      </c>
      <c r="R1355" s="40" t="s">
        <v>494</v>
      </c>
      <c r="S1355" s="40" t="s">
        <v>502</v>
      </c>
      <c r="T1355" s="40" t="s">
        <v>501</v>
      </c>
      <c r="U1355" s="40" t="s">
        <v>7210</v>
      </c>
      <c r="V1355" s="40"/>
      <c r="W1355" s="40" t="s">
        <v>7211</v>
      </c>
    </row>
    <row r="1356" spans="1:23" ht="12" x14ac:dyDescent="0.2">
      <c r="A1356" s="39" t="s">
        <v>1763</v>
      </c>
      <c r="B1356" s="40" t="s">
        <v>1764</v>
      </c>
      <c r="C1356" s="40" t="s">
        <v>7212</v>
      </c>
      <c r="D1356" s="41">
        <v>46076</v>
      </c>
      <c r="E1356" s="41">
        <v>46106</v>
      </c>
      <c r="F1356" s="41">
        <v>46091</v>
      </c>
      <c r="G1356" s="42">
        <v>-15</v>
      </c>
      <c r="H1356" s="40" t="s">
        <v>556</v>
      </c>
      <c r="I1356" s="39" t="s">
        <v>320</v>
      </c>
      <c r="J1356" s="43">
        <v>13242.74</v>
      </c>
      <c r="K1356" s="43">
        <v>0</v>
      </c>
      <c r="L1356" s="43">
        <v>13242.74</v>
      </c>
      <c r="M1356" s="44">
        <v>0</v>
      </c>
      <c r="N1356" s="44">
        <f t="shared" si="21"/>
        <v>13242.74</v>
      </c>
      <c r="O1356" s="44">
        <v>13242.74</v>
      </c>
      <c r="P1356" s="40" t="s">
        <v>1765</v>
      </c>
      <c r="Q1356" s="40" t="s">
        <v>1766</v>
      </c>
      <c r="R1356" s="40" t="s">
        <v>494</v>
      </c>
      <c r="S1356" s="40" t="s">
        <v>502</v>
      </c>
      <c r="T1356" s="40" t="s">
        <v>282</v>
      </c>
      <c r="U1356" s="40" t="s">
        <v>1767</v>
      </c>
      <c r="V1356" s="40"/>
      <c r="W1356" s="40" t="s">
        <v>1768</v>
      </c>
    </row>
    <row r="1357" spans="1:23" ht="12" x14ac:dyDescent="0.2">
      <c r="A1357" s="39" t="s">
        <v>36</v>
      </c>
      <c r="B1357" s="40" t="s">
        <v>352</v>
      </c>
      <c r="C1357" s="40" t="s">
        <v>7213</v>
      </c>
      <c r="D1357" s="41">
        <v>46076</v>
      </c>
      <c r="E1357" s="41">
        <v>46106</v>
      </c>
      <c r="F1357" s="41">
        <v>46091</v>
      </c>
      <c r="G1357" s="42">
        <v>-15</v>
      </c>
      <c r="H1357" s="40" t="s">
        <v>556</v>
      </c>
      <c r="I1357" s="39" t="s">
        <v>320</v>
      </c>
      <c r="J1357" s="43">
        <v>3774.94</v>
      </c>
      <c r="K1357" s="43">
        <v>0</v>
      </c>
      <c r="L1357" s="43">
        <v>3774.94</v>
      </c>
      <c r="M1357" s="44">
        <v>0</v>
      </c>
      <c r="N1357" s="44">
        <f t="shared" si="21"/>
        <v>3774.94</v>
      </c>
      <c r="O1357" s="44">
        <v>3774.94</v>
      </c>
      <c r="P1357" s="40" t="s">
        <v>7214</v>
      </c>
      <c r="Q1357" s="40" t="s">
        <v>7215</v>
      </c>
      <c r="R1357" s="40" t="s">
        <v>494</v>
      </c>
      <c r="S1357" s="40" t="s">
        <v>502</v>
      </c>
      <c r="T1357" s="40" t="s">
        <v>287</v>
      </c>
      <c r="U1357" s="40" t="s">
        <v>3124</v>
      </c>
      <c r="V1357" s="40"/>
      <c r="W1357" s="40" t="s">
        <v>7216</v>
      </c>
    </row>
    <row r="1358" spans="1:23" ht="12" x14ac:dyDescent="0.2">
      <c r="A1358" s="39" t="s">
        <v>471</v>
      </c>
      <c r="B1358" s="40" t="s">
        <v>3229</v>
      </c>
      <c r="C1358" s="40" t="s">
        <v>7217</v>
      </c>
      <c r="D1358" s="41">
        <v>46076</v>
      </c>
      <c r="E1358" s="41">
        <v>46106</v>
      </c>
      <c r="F1358" s="41">
        <v>46091</v>
      </c>
      <c r="G1358" s="42">
        <v>-15</v>
      </c>
      <c r="H1358" s="40" t="s">
        <v>556</v>
      </c>
      <c r="I1358" s="39" t="s">
        <v>320</v>
      </c>
      <c r="J1358" s="43">
        <v>2999.45</v>
      </c>
      <c r="K1358" s="43">
        <v>0</v>
      </c>
      <c r="L1358" s="43">
        <v>2999.45</v>
      </c>
      <c r="M1358" s="44">
        <v>0</v>
      </c>
      <c r="N1358" s="44">
        <f t="shared" si="21"/>
        <v>2999.45</v>
      </c>
      <c r="O1358" s="44">
        <v>2999.45</v>
      </c>
      <c r="P1358" s="40" t="s">
        <v>3320</v>
      </c>
      <c r="Q1358" s="40" t="s">
        <v>3321</v>
      </c>
      <c r="R1358" s="40" t="s">
        <v>494</v>
      </c>
      <c r="S1358" s="40" t="s">
        <v>502</v>
      </c>
      <c r="T1358" s="40" t="s">
        <v>191</v>
      </c>
      <c r="U1358" s="40" t="s">
        <v>3060</v>
      </c>
      <c r="V1358" s="40"/>
      <c r="W1358" s="40" t="s">
        <v>3322</v>
      </c>
    </row>
    <row r="1359" spans="1:23" ht="12" x14ac:dyDescent="0.2">
      <c r="A1359" s="39" t="s">
        <v>413</v>
      </c>
      <c r="B1359" s="40" t="s">
        <v>774</v>
      </c>
      <c r="C1359" s="40" t="s">
        <v>7218</v>
      </c>
      <c r="D1359" s="41">
        <v>46076</v>
      </c>
      <c r="E1359" s="41">
        <v>46106</v>
      </c>
      <c r="F1359" s="41">
        <v>46091</v>
      </c>
      <c r="G1359" s="42">
        <v>-15</v>
      </c>
      <c r="H1359" s="40" t="s">
        <v>556</v>
      </c>
      <c r="I1359" s="39" t="s">
        <v>320</v>
      </c>
      <c r="J1359" s="43">
        <v>5735.1</v>
      </c>
      <c r="K1359" s="43">
        <v>0</v>
      </c>
      <c r="L1359" s="43">
        <v>5735.1</v>
      </c>
      <c r="M1359" s="44">
        <v>0</v>
      </c>
      <c r="N1359" s="44">
        <f t="shared" si="21"/>
        <v>5735.1</v>
      </c>
      <c r="O1359" s="44">
        <v>5735.1</v>
      </c>
      <c r="P1359" s="40" t="s">
        <v>3334</v>
      </c>
      <c r="Q1359" s="40" t="s">
        <v>3335</v>
      </c>
      <c r="R1359" s="40" t="s">
        <v>494</v>
      </c>
      <c r="S1359" s="40" t="s">
        <v>502</v>
      </c>
      <c r="T1359" s="40" t="s">
        <v>282</v>
      </c>
      <c r="U1359" s="40" t="s">
        <v>3336</v>
      </c>
      <c r="V1359" s="40"/>
      <c r="W1359" s="40" t="s">
        <v>3337</v>
      </c>
    </row>
    <row r="1360" spans="1:23" ht="12" x14ac:dyDescent="0.2">
      <c r="A1360" s="39" t="s">
        <v>37</v>
      </c>
      <c r="B1360" s="40" t="s">
        <v>452</v>
      </c>
      <c r="C1360" s="40" t="s">
        <v>7219</v>
      </c>
      <c r="D1360" s="41">
        <v>46076</v>
      </c>
      <c r="E1360" s="41">
        <v>46106</v>
      </c>
      <c r="F1360" s="41">
        <v>46091</v>
      </c>
      <c r="G1360" s="42">
        <v>-15</v>
      </c>
      <c r="H1360" s="40" t="s">
        <v>556</v>
      </c>
      <c r="I1360" s="39" t="s">
        <v>320</v>
      </c>
      <c r="J1360" s="43">
        <v>9527.11</v>
      </c>
      <c r="K1360" s="43">
        <v>0</v>
      </c>
      <c r="L1360" s="43">
        <v>9527.11</v>
      </c>
      <c r="M1360" s="44">
        <v>0</v>
      </c>
      <c r="N1360" s="44">
        <f t="shared" si="21"/>
        <v>9527.11</v>
      </c>
      <c r="O1360" s="44">
        <v>9527.11</v>
      </c>
      <c r="P1360" s="40" t="s">
        <v>7220</v>
      </c>
      <c r="Q1360" s="40" t="s">
        <v>7221</v>
      </c>
      <c r="R1360" s="40" t="s">
        <v>494</v>
      </c>
      <c r="S1360" s="40" t="s">
        <v>502</v>
      </c>
      <c r="T1360" s="40" t="s">
        <v>185</v>
      </c>
      <c r="U1360" s="40" t="s">
        <v>2419</v>
      </c>
      <c r="V1360" s="40"/>
      <c r="W1360" s="40" t="s">
        <v>7222</v>
      </c>
    </row>
    <row r="1361" spans="1:23" ht="12" x14ac:dyDescent="0.2">
      <c r="A1361" s="39" t="s">
        <v>437</v>
      </c>
      <c r="B1361" s="40" t="s">
        <v>916</v>
      </c>
      <c r="C1361" s="40" t="s">
        <v>7223</v>
      </c>
      <c r="D1361" s="41">
        <v>46076</v>
      </c>
      <c r="E1361" s="41">
        <v>46106</v>
      </c>
      <c r="F1361" s="41">
        <v>46091</v>
      </c>
      <c r="G1361" s="42">
        <v>-15</v>
      </c>
      <c r="H1361" s="40" t="s">
        <v>556</v>
      </c>
      <c r="I1361" s="39" t="s">
        <v>320</v>
      </c>
      <c r="J1361" s="43">
        <v>56454.9</v>
      </c>
      <c r="K1361" s="43">
        <v>0</v>
      </c>
      <c r="L1361" s="43">
        <v>56454.9</v>
      </c>
      <c r="M1361" s="44">
        <v>0</v>
      </c>
      <c r="N1361" s="44">
        <f t="shared" si="21"/>
        <v>56454.9</v>
      </c>
      <c r="O1361" s="44">
        <v>56454.9</v>
      </c>
      <c r="P1361" s="40" t="s">
        <v>1495</v>
      </c>
      <c r="Q1361" s="40" t="s">
        <v>3290</v>
      </c>
      <c r="R1361" s="40" t="s">
        <v>494</v>
      </c>
      <c r="S1361" s="40" t="s">
        <v>502</v>
      </c>
      <c r="T1361" s="40" t="s">
        <v>282</v>
      </c>
      <c r="U1361" s="40" t="s">
        <v>3291</v>
      </c>
      <c r="V1361" s="40"/>
      <c r="W1361" s="40" t="s">
        <v>3292</v>
      </c>
    </row>
    <row r="1362" spans="1:23" ht="12" x14ac:dyDescent="0.2">
      <c r="A1362" s="39" t="s">
        <v>47</v>
      </c>
      <c r="B1362" s="40" t="s">
        <v>1222</v>
      </c>
      <c r="C1362" s="40" t="s">
        <v>7224</v>
      </c>
      <c r="D1362" s="41">
        <v>46076</v>
      </c>
      <c r="E1362" s="41">
        <v>46106</v>
      </c>
      <c r="F1362" s="41">
        <v>46091</v>
      </c>
      <c r="G1362" s="42">
        <v>-15</v>
      </c>
      <c r="H1362" s="40" t="s">
        <v>556</v>
      </c>
      <c r="I1362" s="39" t="s">
        <v>320</v>
      </c>
      <c r="J1362" s="43">
        <v>20900.919999999998</v>
      </c>
      <c r="K1362" s="43">
        <v>0</v>
      </c>
      <c r="L1362" s="43">
        <v>20900.919999999998</v>
      </c>
      <c r="M1362" s="44">
        <v>0</v>
      </c>
      <c r="N1362" s="44">
        <f t="shared" si="21"/>
        <v>20900.919999999998</v>
      </c>
      <c r="O1362" s="44">
        <v>20900.919999999998</v>
      </c>
      <c r="P1362" s="40" t="s">
        <v>7225</v>
      </c>
      <c r="Q1362" s="40" t="s">
        <v>7226</v>
      </c>
      <c r="R1362" s="40" t="s">
        <v>494</v>
      </c>
      <c r="S1362" s="40" t="s">
        <v>502</v>
      </c>
      <c r="T1362" s="40" t="s">
        <v>176</v>
      </c>
      <c r="U1362" s="40" t="s">
        <v>7227</v>
      </c>
      <c r="V1362" s="40"/>
      <c r="W1362" s="40" t="s">
        <v>7228</v>
      </c>
    </row>
    <row r="1363" spans="1:23" ht="12" x14ac:dyDescent="0.2">
      <c r="A1363" s="39" t="s">
        <v>63</v>
      </c>
      <c r="B1363" s="40" t="s">
        <v>886</v>
      </c>
      <c r="C1363" s="40" t="s">
        <v>7229</v>
      </c>
      <c r="D1363" s="41">
        <v>46076</v>
      </c>
      <c r="E1363" s="41">
        <v>46106</v>
      </c>
      <c r="F1363" s="41">
        <v>46091</v>
      </c>
      <c r="G1363" s="42">
        <v>-15</v>
      </c>
      <c r="H1363" s="40" t="s">
        <v>556</v>
      </c>
      <c r="I1363" s="39" t="s">
        <v>320</v>
      </c>
      <c r="J1363" s="43">
        <v>4496.5</v>
      </c>
      <c r="K1363" s="43">
        <v>0</v>
      </c>
      <c r="L1363" s="43">
        <v>4496.5</v>
      </c>
      <c r="M1363" s="44">
        <v>0</v>
      </c>
      <c r="N1363" s="44">
        <f t="shared" si="21"/>
        <v>4496.5</v>
      </c>
      <c r="O1363" s="44">
        <v>4496.5</v>
      </c>
      <c r="P1363" s="40" t="s">
        <v>7230</v>
      </c>
      <c r="Q1363" s="40" t="s">
        <v>7231</v>
      </c>
      <c r="R1363" s="40" t="s">
        <v>494</v>
      </c>
      <c r="S1363" s="40" t="s">
        <v>502</v>
      </c>
      <c r="T1363" s="40" t="s">
        <v>286</v>
      </c>
      <c r="U1363" s="40" t="s">
        <v>7232</v>
      </c>
      <c r="V1363" s="40"/>
      <c r="W1363" s="40" t="s">
        <v>7233</v>
      </c>
    </row>
    <row r="1364" spans="1:23" ht="12" x14ac:dyDescent="0.2">
      <c r="A1364" s="39" t="s">
        <v>7234</v>
      </c>
      <c r="B1364" s="40" t="s">
        <v>7235</v>
      </c>
      <c r="C1364" s="40" t="s">
        <v>7236</v>
      </c>
      <c r="D1364" s="41">
        <v>46076</v>
      </c>
      <c r="E1364" s="41">
        <v>46106</v>
      </c>
      <c r="F1364" s="41">
        <v>46091</v>
      </c>
      <c r="G1364" s="42">
        <v>-15</v>
      </c>
      <c r="H1364" s="40" t="s">
        <v>556</v>
      </c>
      <c r="I1364" s="39" t="s">
        <v>323</v>
      </c>
      <c r="J1364" s="43">
        <v>44167</v>
      </c>
      <c r="K1364" s="43">
        <v>0</v>
      </c>
      <c r="L1364" s="43">
        <v>44167</v>
      </c>
      <c r="M1364" s="44">
        <v>0</v>
      </c>
      <c r="N1364" s="44">
        <f t="shared" si="21"/>
        <v>35333.599999999999</v>
      </c>
      <c r="O1364" s="44">
        <v>35333.599999999999</v>
      </c>
      <c r="P1364" s="40" t="s">
        <v>7237</v>
      </c>
      <c r="Q1364" s="40" t="s">
        <v>7238</v>
      </c>
      <c r="R1364" s="40" t="s">
        <v>494</v>
      </c>
      <c r="S1364" s="40" t="s">
        <v>502</v>
      </c>
      <c r="T1364" s="40" t="s">
        <v>225</v>
      </c>
      <c r="U1364" s="40" t="s">
        <v>7239</v>
      </c>
      <c r="V1364" s="40"/>
      <c r="W1364" s="40" t="s">
        <v>7240</v>
      </c>
    </row>
    <row r="1365" spans="1:23" ht="12" x14ac:dyDescent="0.2">
      <c r="A1365" s="39" t="s">
        <v>347</v>
      </c>
      <c r="B1365" s="40" t="s">
        <v>346</v>
      </c>
      <c r="C1365" s="40" t="s">
        <v>7241</v>
      </c>
      <c r="D1365" s="41">
        <v>46076</v>
      </c>
      <c r="E1365" s="41">
        <v>46106</v>
      </c>
      <c r="F1365" s="41">
        <v>46091</v>
      </c>
      <c r="G1365" s="42">
        <v>-15</v>
      </c>
      <c r="H1365" s="40" t="s">
        <v>556</v>
      </c>
      <c r="I1365" s="39" t="s">
        <v>323</v>
      </c>
      <c r="J1365" s="43">
        <v>-667.65</v>
      </c>
      <c r="K1365" s="43">
        <v>0</v>
      </c>
      <c r="L1365" s="43">
        <v>-667.65</v>
      </c>
      <c r="M1365" s="44">
        <v>0</v>
      </c>
      <c r="N1365" s="44">
        <f t="shared" si="21"/>
        <v>-534.12</v>
      </c>
      <c r="O1365" s="44">
        <v>-534.12</v>
      </c>
      <c r="P1365" s="40" t="s">
        <v>3731</v>
      </c>
      <c r="Q1365" s="40" t="s">
        <v>3732</v>
      </c>
      <c r="R1365" s="40" t="s">
        <v>494</v>
      </c>
      <c r="S1365" s="40" t="s">
        <v>495</v>
      </c>
      <c r="T1365" s="40" t="s">
        <v>190</v>
      </c>
      <c r="U1365" s="40" t="s">
        <v>3733</v>
      </c>
      <c r="V1365" s="40"/>
      <c r="W1365" s="40" t="s">
        <v>3734</v>
      </c>
    </row>
    <row r="1366" spans="1:23" ht="12" x14ac:dyDescent="0.2">
      <c r="A1366" s="39" t="s">
        <v>26</v>
      </c>
      <c r="B1366" s="40" t="s">
        <v>457</v>
      </c>
      <c r="C1366" s="40" t="s">
        <v>7242</v>
      </c>
      <c r="D1366" s="41">
        <v>46076</v>
      </c>
      <c r="E1366" s="41">
        <v>46106</v>
      </c>
      <c r="F1366" s="41">
        <v>46091</v>
      </c>
      <c r="G1366" s="42">
        <v>-15</v>
      </c>
      <c r="H1366" s="40" t="s">
        <v>556</v>
      </c>
      <c r="I1366" s="39" t="s">
        <v>320</v>
      </c>
      <c r="J1366" s="43">
        <v>38886.46</v>
      </c>
      <c r="K1366" s="43">
        <v>0</v>
      </c>
      <c r="L1366" s="43">
        <v>38886.46</v>
      </c>
      <c r="M1366" s="44">
        <v>0</v>
      </c>
      <c r="N1366" s="44">
        <f t="shared" si="21"/>
        <v>38886.46</v>
      </c>
      <c r="O1366" s="44">
        <v>38886.46</v>
      </c>
      <c r="P1366" s="40" t="s">
        <v>1161</v>
      </c>
      <c r="Q1366" s="40" t="s">
        <v>1162</v>
      </c>
      <c r="R1366" s="40" t="s">
        <v>494</v>
      </c>
      <c r="S1366" s="40" t="s">
        <v>502</v>
      </c>
      <c r="T1366" s="40" t="s">
        <v>362</v>
      </c>
      <c r="U1366" s="40" t="s">
        <v>832</v>
      </c>
      <c r="V1366" s="40" t="s">
        <v>3845</v>
      </c>
      <c r="W1366" s="40" t="s">
        <v>1163</v>
      </c>
    </row>
    <row r="1367" spans="1:23" ht="12" x14ac:dyDescent="0.2">
      <c r="A1367" s="39" t="s">
        <v>366</v>
      </c>
      <c r="B1367" s="40" t="s">
        <v>365</v>
      </c>
      <c r="C1367" s="40" t="s">
        <v>7243</v>
      </c>
      <c r="D1367" s="41">
        <v>46076</v>
      </c>
      <c r="E1367" s="41">
        <v>46106</v>
      </c>
      <c r="F1367" s="41">
        <v>46091</v>
      </c>
      <c r="G1367" s="42">
        <v>-15</v>
      </c>
      <c r="H1367" s="40" t="s">
        <v>556</v>
      </c>
      <c r="I1367" s="39" t="s">
        <v>320</v>
      </c>
      <c r="J1367" s="43">
        <v>232930.69</v>
      </c>
      <c r="K1367" s="43">
        <v>0</v>
      </c>
      <c r="L1367" s="43">
        <v>232930.69</v>
      </c>
      <c r="M1367" s="44">
        <v>0</v>
      </c>
      <c r="N1367" s="44">
        <f t="shared" si="21"/>
        <v>232930.69</v>
      </c>
      <c r="O1367" s="44">
        <v>232930.69</v>
      </c>
      <c r="P1367" s="40" t="s">
        <v>7244</v>
      </c>
      <c r="Q1367" s="40" t="s">
        <v>7245</v>
      </c>
      <c r="R1367" s="40" t="s">
        <v>494</v>
      </c>
      <c r="S1367" s="40" t="s">
        <v>502</v>
      </c>
      <c r="T1367" s="40" t="s">
        <v>218</v>
      </c>
      <c r="U1367" s="40" t="s">
        <v>557</v>
      </c>
      <c r="V1367" s="40" t="s">
        <v>6932</v>
      </c>
      <c r="W1367" s="40" t="s">
        <v>7246</v>
      </c>
    </row>
    <row r="1368" spans="1:23" ht="12" x14ac:dyDescent="0.2">
      <c r="A1368" s="39" t="s">
        <v>469</v>
      </c>
      <c r="B1368" s="40" t="s">
        <v>468</v>
      </c>
      <c r="C1368" s="40" t="s">
        <v>7247</v>
      </c>
      <c r="D1368" s="41">
        <v>46076</v>
      </c>
      <c r="E1368" s="41">
        <v>46106</v>
      </c>
      <c r="F1368" s="41">
        <v>46091</v>
      </c>
      <c r="G1368" s="42">
        <v>-15</v>
      </c>
      <c r="H1368" s="40" t="s">
        <v>556</v>
      </c>
      <c r="I1368" s="39" t="s">
        <v>320</v>
      </c>
      <c r="J1368" s="43">
        <v>17085.060000000001</v>
      </c>
      <c r="K1368" s="43">
        <v>0</v>
      </c>
      <c r="L1368" s="43">
        <v>17085.060000000001</v>
      </c>
      <c r="M1368" s="44">
        <v>0</v>
      </c>
      <c r="N1368" s="44">
        <f t="shared" si="21"/>
        <v>17085.060000000001</v>
      </c>
      <c r="O1368" s="44">
        <v>17085.060000000001</v>
      </c>
      <c r="P1368" s="40" t="s">
        <v>4693</v>
      </c>
      <c r="Q1368" s="40" t="s">
        <v>4694</v>
      </c>
      <c r="R1368" s="40" t="s">
        <v>494</v>
      </c>
      <c r="S1368" s="40" t="s">
        <v>502</v>
      </c>
      <c r="T1368" s="40" t="s">
        <v>191</v>
      </c>
      <c r="U1368" s="40" t="s">
        <v>1392</v>
      </c>
      <c r="V1368" s="40"/>
      <c r="W1368" s="40" t="s">
        <v>322</v>
      </c>
    </row>
    <row r="1369" spans="1:23" ht="12" x14ac:dyDescent="0.2">
      <c r="A1369" s="39" t="s">
        <v>1763</v>
      </c>
      <c r="B1369" s="40" t="s">
        <v>1764</v>
      </c>
      <c r="C1369" s="40" t="s">
        <v>7248</v>
      </c>
      <c r="D1369" s="41">
        <v>46076</v>
      </c>
      <c r="E1369" s="41">
        <v>46106</v>
      </c>
      <c r="F1369" s="41">
        <v>46091</v>
      </c>
      <c r="G1369" s="42">
        <v>-15</v>
      </c>
      <c r="H1369" s="40" t="s">
        <v>556</v>
      </c>
      <c r="I1369" s="39" t="s">
        <v>320</v>
      </c>
      <c r="J1369" s="43">
        <v>12956.3</v>
      </c>
      <c r="K1369" s="43">
        <v>0</v>
      </c>
      <c r="L1369" s="43">
        <v>12956.3</v>
      </c>
      <c r="M1369" s="44">
        <v>0</v>
      </c>
      <c r="N1369" s="44">
        <f t="shared" si="21"/>
        <v>12956.3</v>
      </c>
      <c r="O1369" s="44">
        <v>12956.3</v>
      </c>
      <c r="P1369" s="40" t="s">
        <v>1765</v>
      </c>
      <c r="Q1369" s="40" t="s">
        <v>1766</v>
      </c>
      <c r="R1369" s="40" t="s">
        <v>494</v>
      </c>
      <c r="S1369" s="40" t="s">
        <v>502</v>
      </c>
      <c r="T1369" s="40" t="s">
        <v>282</v>
      </c>
      <c r="U1369" s="40" t="s">
        <v>1767</v>
      </c>
      <c r="V1369" s="40"/>
      <c r="W1369" s="40" t="s">
        <v>1768</v>
      </c>
    </row>
    <row r="1370" spans="1:23" ht="12" x14ac:dyDescent="0.2">
      <c r="A1370" s="39" t="s">
        <v>7249</v>
      </c>
      <c r="B1370" s="40" t="s">
        <v>7250</v>
      </c>
      <c r="C1370" s="40" t="s">
        <v>7251</v>
      </c>
      <c r="D1370" s="41">
        <v>46076</v>
      </c>
      <c r="E1370" s="41">
        <v>46106</v>
      </c>
      <c r="F1370" s="41">
        <v>46091</v>
      </c>
      <c r="G1370" s="42">
        <v>-15</v>
      </c>
      <c r="H1370" s="40" t="s">
        <v>556</v>
      </c>
      <c r="I1370" s="39" t="s">
        <v>320</v>
      </c>
      <c r="J1370" s="43">
        <v>3333.33</v>
      </c>
      <c r="K1370" s="43">
        <v>0</v>
      </c>
      <c r="L1370" s="43">
        <v>3333.33</v>
      </c>
      <c r="M1370" s="44">
        <v>0</v>
      </c>
      <c r="N1370" s="44">
        <f t="shared" si="21"/>
        <v>3333.33</v>
      </c>
      <c r="O1370" s="44">
        <v>3333.33</v>
      </c>
      <c r="P1370" s="40" t="s">
        <v>7252</v>
      </c>
      <c r="Q1370" s="40" t="s">
        <v>7253</v>
      </c>
      <c r="R1370" s="40" t="s">
        <v>494</v>
      </c>
      <c r="S1370" s="40" t="s">
        <v>502</v>
      </c>
      <c r="T1370" s="40" t="s">
        <v>238</v>
      </c>
      <c r="U1370" s="40" t="s">
        <v>7254</v>
      </c>
      <c r="V1370" s="40"/>
      <c r="W1370" s="40" t="s">
        <v>7255</v>
      </c>
    </row>
    <row r="1371" spans="1:23" ht="12" x14ac:dyDescent="0.2">
      <c r="A1371" s="39" t="s">
        <v>3323</v>
      </c>
      <c r="B1371" s="40" t="s">
        <v>3324</v>
      </c>
      <c r="C1371" s="40" t="s">
        <v>7256</v>
      </c>
      <c r="D1371" s="41">
        <v>46077</v>
      </c>
      <c r="E1371" s="41">
        <v>46107</v>
      </c>
      <c r="F1371" s="41">
        <v>46091</v>
      </c>
      <c r="G1371" s="42">
        <v>-16</v>
      </c>
      <c r="H1371" s="40" t="s">
        <v>556</v>
      </c>
      <c r="I1371" s="39" t="s">
        <v>320</v>
      </c>
      <c r="J1371" s="43">
        <v>2231.96</v>
      </c>
      <c r="K1371" s="43">
        <v>0</v>
      </c>
      <c r="L1371" s="43">
        <v>2231.96</v>
      </c>
      <c r="M1371" s="44">
        <v>0</v>
      </c>
      <c r="N1371" s="44">
        <f t="shared" si="21"/>
        <v>2231.96</v>
      </c>
      <c r="O1371" s="44">
        <v>2231.96</v>
      </c>
      <c r="P1371" s="40" t="s">
        <v>3325</v>
      </c>
      <c r="Q1371" s="40" t="s">
        <v>3326</v>
      </c>
      <c r="R1371" s="40" t="s">
        <v>494</v>
      </c>
      <c r="S1371" s="40" t="s">
        <v>502</v>
      </c>
      <c r="T1371" s="40" t="s">
        <v>191</v>
      </c>
      <c r="U1371" s="40" t="s">
        <v>2448</v>
      </c>
      <c r="V1371" s="40"/>
      <c r="W1371" s="40" t="s">
        <v>3327</v>
      </c>
    </row>
    <row r="1372" spans="1:23" ht="12" x14ac:dyDescent="0.2">
      <c r="A1372" s="39" t="s">
        <v>23</v>
      </c>
      <c r="B1372" s="40" t="s">
        <v>370</v>
      </c>
      <c r="C1372" s="40" t="s">
        <v>7257</v>
      </c>
      <c r="D1372" s="41">
        <v>46077</v>
      </c>
      <c r="E1372" s="41">
        <v>46107</v>
      </c>
      <c r="F1372" s="41">
        <v>46091</v>
      </c>
      <c r="G1372" s="42">
        <v>-16</v>
      </c>
      <c r="H1372" s="40" t="s">
        <v>556</v>
      </c>
      <c r="I1372" s="39" t="s">
        <v>320</v>
      </c>
      <c r="J1372" s="43">
        <v>12597.92</v>
      </c>
      <c r="K1372" s="43">
        <v>0</v>
      </c>
      <c r="L1372" s="43">
        <v>12597.92</v>
      </c>
      <c r="M1372" s="44">
        <v>0</v>
      </c>
      <c r="N1372" s="44">
        <f t="shared" si="21"/>
        <v>12597.92</v>
      </c>
      <c r="O1372" s="44">
        <v>12597.92</v>
      </c>
      <c r="P1372" s="40" t="s">
        <v>941</v>
      </c>
      <c r="Q1372" s="40" t="s">
        <v>7258</v>
      </c>
      <c r="R1372" s="40" t="s">
        <v>494</v>
      </c>
      <c r="S1372" s="40" t="s">
        <v>502</v>
      </c>
      <c r="T1372" s="40" t="s">
        <v>514</v>
      </c>
      <c r="U1372" s="40" t="s">
        <v>1491</v>
      </c>
      <c r="V1372" s="40"/>
      <c r="W1372" s="40" t="s">
        <v>7259</v>
      </c>
    </row>
    <row r="1373" spans="1:23" ht="12" x14ac:dyDescent="0.2">
      <c r="A1373" s="39" t="s">
        <v>943</v>
      </c>
      <c r="B1373" s="40" t="s">
        <v>944</v>
      </c>
      <c r="C1373" s="40" t="s">
        <v>7260</v>
      </c>
      <c r="D1373" s="41">
        <v>46077</v>
      </c>
      <c r="E1373" s="41">
        <v>46107</v>
      </c>
      <c r="F1373" s="41">
        <v>46091</v>
      </c>
      <c r="G1373" s="42">
        <v>-16</v>
      </c>
      <c r="H1373" s="40" t="s">
        <v>556</v>
      </c>
      <c r="I1373" s="39" t="s">
        <v>320</v>
      </c>
      <c r="J1373" s="43">
        <v>68254.62</v>
      </c>
      <c r="K1373" s="43">
        <v>0</v>
      </c>
      <c r="L1373" s="43">
        <v>68254.62</v>
      </c>
      <c r="M1373" s="44">
        <v>0</v>
      </c>
      <c r="N1373" s="44">
        <f t="shared" si="21"/>
        <v>68254.62</v>
      </c>
      <c r="O1373" s="44">
        <v>68254.62</v>
      </c>
      <c r="P1373" s="40" t="s">
        <v>7261</v>
      </c>
      <c r="Q1373" s="40" t="s">
        <v>7262</v>
      </c>
      <c r="R1373" s="40" t="s">
        <v>494</v>
      </c>
      <c r="S1373" s="40" t="s">
        <v>502</v>
      </c>
      <c r="T1373" s="40" t="s">
        <v>284</v>
      </c>
      <c r="U1373" s="40" t="s">
        <v>1096</v>
      </c>
      <c r="V1373" s="40"/>
      <c r="W1373" s="40" t="s">
        <v>7263</v>
      </c>
    </row>
    <row r="1374" spans="1:23" ht="12" x14ac:dyDescent="0.2">
      <c r="A1374" s="39" t="s">
        <v>7264</v>
      </c>
      <c r="B1374" s="40" t="s">
        <v>7265</v>
      </c>
      <c r="C1374" s="40" t="s">
        <v>7266</v>
      </c>
      <c r="D1374" s="41">
        <v>46077</v>
      </c>
      <c r="E1374" s="41">
        <v>46107</v>
      </c>
      <c r="F1374" s="41">
        <v>46091</v>
      </c>
      <c r="G1374" s="42">
        <v>-16</v>
      </c>
      <c r="H1374" s="40" t="s">
        <v>556</v>
      </c>
      <c r="I1374" s="39" t="s">
        <v>341</v>
      </c>
      <c r="J1374" s="43">
        <v>616653.01</v>
      </c>
      <c r="K1374" s="43">
        <v>0</v>
      </c>
      <c r="L1374" s="43">
        <v>616653.01</v>
      </c>
      <c r="M1374" s="44">
        <v>0</v>
      </c>
      <c r="N1374" s="44">
        <f t="shared" si="21"/>
        <v>474348.47</v>
      </c>
      <c r="O1374" s="44">
        <v>474348.47</v>
      </c>
      <c r="P1374" s="40" t="s">
        <v>7267</v>
      </c>
      <c r="Q1374" s="40" t="s">
        <v>7268</v>
      </c>
      <c r="R1374" s="40" t="s">
        <v>494</v>
      </c>
      <c r="S1374" s="40" t="s">
        <v>502</v>
      </c>
      <c r="T1374" s="40" t="s">
        <v>284</v>
      </c>
      <c r="U1374" s="40" t="s">
        <v>1461</v>
      </c>
      <c r="V1374" s="40" t="s">
        <v>4853</v>
      </c>
      <c r="W1374" s="40" t="s">
        <v>7269</v>
      </c>
    </row>
    <row r="1375" spans="1:23" ht="12" x14ac:dyDescent="0.2">
      <c r="A1375" s="39" t="s">
        <v>7270</v>
      </c>
      <c r="B1375" s="40" t="s">
        <v>7271</v>
      </c>
      <c r="C1375" s="40" t="s">
        <v>7272</v>
      </c>
      <c r="D1375" s="41">
        <v>46077</v>
      </c>
      <c r="E1375" s="41">
        <v>46107</v>
      </c>
      <c r="F1375" s="41">
        <v>46091</v>
      </c>
      <c r="G1375" s="42">
        <v>-16</v>
      </c>
      <c r="H1375" s="40" t="s">
        <v>556</v>
      </c>
      <c r="I1375" s="39" t="s">
        <v>760</v>
      </c>
      <c r="J1375" s="43">
        <v>88056.53</v>
      </c>
      <c r="K1375" s="43">
        <v>0</v>
      </c>
      <c r="L1375" s="43">
        <v>88056.53</v>
      </c>
      <c r="M1375" s="44">
        <v>0</v>
      </c>
      <c r="N1375" s="44">
        <f t="shared" si="21"/>
        <v>51037.85</v>
      </c>
      <c r="O1375" s="44">
        <v>51037.85</v>
      </c>
      <c r="P1375" s="40" t="s">
        <v>7273</v>
      </c>
      <c r="Q1375" s="40" t="s">
        <v>7274</v>
      </c>
      <c r="R1375" s="40" t="s">
        <v>494</v>
      </c>
      <c r="S1375" s="40" t="s">
        <v>502</v>
      </c>
      <c r="T1375" s="40" t="s">
        <v>166</v>
      </c>
      <c r="U1375" s="40" t="s">
        <v>537</v>
      </c>
      <c r="V1375" s="40"/>
      <c r="W1375" s="40" t="s">
        <v>7275</v>
      </c>
    </row>
    <row r="1376" spans="1:23" ht="12" x14ac:dyDescent="0.2">
      <c r="A1376" s="39" t="s">
        <v>337</v>
      </c>
      <c r="B1376" s="40" t="s">
        <v>336</v>
      </c>
      <c r="C1376" s="40" t="s">
        <v>7276</v>
      </c>
      <c r="D1376" s="41">
        <v>46077</v>
      </c>
      <c r="E1376" s="41">
        <v>46107</v>
      </c>
      <c r="F1376" s="41">
        <v>46091</v>
      </c>
      <c r="G1376" s="42">
        <v>-16</v>
      </c>
      <c r="H1376" s="40" t="s">
        <v>556</v>
      </c>
      <c r="I1376" s="39" t="s">
        <v>320</v>
      </c>
      <c r="J1376" s="43">
        <v>65588.7</v>
      </c>
      <c r="K1376" s="43">
        <v>0</v>
      </c>
      <c r="L1376" s="43">
        <v>65588.7</v>
      </c>
      <c r="M1376" s="44">
        <v>0</v>
      </c>
      <c r="N1376" s="44">
        <f t="shared" si="21"/>
        <v>65588.7</v>
      </c>
      <c r="O1376" s="44">
        <v>65588.7</v>
      </c>
      <c r="P1376" s="40" t="s">
        <v>5651</v>
      </c>
      <c r="Q1376" s="40" t="s">
        <v>5652</v>
      </c>
      <c r="R1376" s="40" t="s">
        <v>494</v>
      </c>
      <c r="S1376" s="40" t="s">
        <v>502</v>
      </c>
      <c r="T1376" s="40" t="s">
        <v>997</v>
      </c>
      <c r="U1376" s="40" t="s">
        <v>5653</v>
      </c>
      <c r="V1376" s="40"/>
      <c r="W1376" s="40" t="s">
        <v>5655</v>
      </c>
    </row>
    <row r="1377" spans="1:23" ht="12" x14ac:dyDescent="0.2">
      <c r="A1377" s="39" t="s">
        <v>469</v>
      </c>
      <c r="B1377" s="40" t="s">
        <v>468</v>
      </c>
      <c r="C1377" s="40" t="s">
        <v>7277</v>
      </c>
      <c r="D1377" s="41">
        <v>46077</v>
      </c>
      <c r="E1377" s="41">
        <v>46107</v>
      </c>
      <c r="F1377" s="41">
        <v>46091</v>
      </c>
      <c r="G1377" s="42">
        <v>-16</v>
      </c>
      <c r="H1377" s="40" t="s">
        <v>556</v>
      </c>
      <c r="I1377" s="39" t="s">
        <v>320</v>
      </c>
      <c r="J1377" s="43">
        <v>4999.7</v>
      </c>
      <c r="K1377" s="43">
        <v>0</v>
      </c>
      <c r="L1377" s="43">
        <v>4999.7</v>
      </c>
      <c r="M1377" s="44">
        <v>0</v>
      </c>
      <c r="N1377" s="44">
        <f t="shared" si="21"/>
        <v>4999.7</v>
      </c>
      <c r="O1377" s="44">
        <v>4999.7</v>
      </c>
      <c r="P1377" s="40" t="s">
        <v>7278</v>
      </c>
      <c r="Q1377" s="40" t="s">
        <v>7279</v>
      </c>
      <c r="R1377" s="40" t="s">
        <v>494</v>
      </c>
      <c r="S1377" s="40" t="s">
        <v>502</v>
      </c>
      <c r="T1377" s="40" t="s">
        <v>191</v>
      </c>
      <c r="U1377" s="40" t="s">
        <v>7280</v>
      </c>
      <c r="V1377" s="40"/>
      <c r="W1377" s="40" t="s">
        <v>7281</v>
      </c>
    </row>
    <row r="1378" spans="1:23" ht="12" x14ac:dyDescent="0.2">
      <c r="A1378" s="39" t="s">
        <v>27</v>
      </c>
      <c r="B1378" s="40" t="s">
        <v>476</v>
      </c>
      <c r="C1378" s="40" t="s">
        <v>7282</v>
      </c>
      <c r="D1378" s="41">
        <v>46077</v>
      </c>
      <c r="E1378" s="41">
        <v>46107</v>
      </c>
      <c r="F1378" s="41">
        <v>46091</v>
      </c>
      <c r="G1378" s="42">
        <v>-16</v>
      </c>
      <c r="H1378" s="40" t="s">
        <v>556</v>
      </c>
      <c r="I1378" s="39" t="s">
        <v>320</v>
      </c>
      <c r="J1378" s="43">
        <v>22954.27</v>
      </c>
      <c r="K1378" s="43">
        <v>0</v>
      </c>
      <c r="L1378" s="43">
        <v>22954.27</v>
      </c>
      <c r="M1378" s="44">
        <v>0</v>
      </c>
      <c r="N1378" s="44">
        <f t="shared" si="21"/>
        <v>22954.27</v>
      </c>
      <c r="O1378" s="44">
        <v>22954.27</v>
      </c>
      <c r="P1378" s="40" t="s">
        <v>2231</v>
      </c>
      <c r="Q1378" s="40" t="s">
        <v>2232</v>
      </c>
      <c r="R1378" s="40" t="s">
        <v>494</v>
      </c>
      <c r="S1378" s="40" t="s">
        <v>495</v>
      </c>
      <c r="T1378" s="40" t="s">
        <v>178</v>
      </c>
      <c r="U1378" s="40" t="s">
        <v>1865</v>
      </c>
      <c r="V1378" s="40"/>
      <c r="W1378" s="40" t="s">
        <v>2233</v>
      </c>
    </row>
    <row r="1379" spans="1:23" ht="12" x14ac:dyDescent="0.2">
      <c r="A1379" s="39" t="s">
        <v>1589</v>
      </c>
      <c r="B1379" s="40" t="s">
        <v>7283</v>
      </c>
      <c r="C1379" s="40" t="s">
        <v>7284</v>
      </c>
      <c r="D1379" s="41">
        <v>46077</v>
      </c>
      <c r="E1379" s="41">
        <v>46107</v>
      </c>
      <c r="F1379" s="41">
        <v>46091</v>
      </c>
      <c r="G1379" s="42">
        <v>-16</v>
      </c>
      <c r="H1379" s="40" t="s">
        <v>556</v>
      </c>
      <c r="I1379" s="39" t="s">
        <v>323</v>
      </c>
      <c r="J1379" s="43">
        <v>136695.34</v>
      </c>
      <c r="K1379" s="43">
        <v>0</v>
      </c>
      <c r="L1379" s="43">
        <v>136695.34</v>
      </c>
      <c r="M1379" s="44">
        <v>0</v>
      </c>
      <c r="N1379" s="44">
        <f t="shared" si="21"/>
        <v>101255.81</v>
      </c>
      <c r="O1379" s="44">
        <v>101255.81</v>
      </c>
      <c r="P1379" s="40" t="s">
        <v>7285</v>
      </c>
      <c r="Q1379" s="40" t="s">
        <v>7286</v>
      </c>
      <c r="R1379" s="40" t="s">
        <v>494</v>
      </c>
      <c r="S1379" s="40" t="s">
        <v>502</v>
      </c>
      <c r="T1379" s="40" t="s">
        <v>507</v>
      </c>
      <c r="U1379" s="40" t="s">
        <v>577</v>
      </c>
      <c r="V1379" s="40"/>
      <c r="W1379" s="40" t="s">
        <v>7287</v>
      </c>
    </row>
    <row r="1380" spans="1:23" ht="12" x14ac:dyDescent="0.2">
      <c r="A1380" s="39" t="s">
        <v>335</v>
      </c>
      <c r="B1380" s="40" t="s">
        <v>334</v>
      </c>
      <c r="C1380" s="40" t="s">
        <v>7288</v>
      </c>
      <c r="D1380" s="41">
        <v>46077</v>
      </c>
      <c r="E1380" s="41">
        <v>46107</v>
      </c>
      <c r="F1380" s="41">
        <v>46091</v>
      </c>
      <c r="G1380" s="42">
        <v>-16</v>
      </c>
      <c r="H1380" s="40" t="s">
        <v>556</v>
      </c>
      <c r="I1380" s="39" t="s">
        <v>320</v>
      </c>
      <c r="J1380" s="43">
        <v>-421.49</v>
      </c>
      <c r="K1380" s="43">
        <v>0</v>
      </c>
      <c r="L1380" s="43">
        <v>-421.49</v>
      </c>
      <c r="M1380" s="44">
        <v>0</v>
      </c>
      <c r="N1380" s="44">
        <f t="shared" si="21"/>
        <v>-421.49</v>
      </c>
      <c r="O1380" s="44">
        <v>-421.49</v>
      </c>
      <c r="P1380" s="40" t="s">
        <v>7289</v>
      </c>
      <c r="Q1380" s="40" t="s">
        <v>7290</v>
      </c>
      <c r="R1380" s="40" t="s">
        <v>494</v>
      </c>
      <c r="S1380" s="40" t="s">
        <v>495</v>
      </c>
      <c r="T1380" s="40" t="s">
        <v>303</v>
      </c>
      <c r="U1380" s="40" t="s">
        <v>7291</v>
      </c>
      <c r="V1380" s="40"/>
      <c r="W1380" s="40" t="s">
        <v>7292</v>
      </c>
    </row>
    <row r="1381" spans="1:23" ht="12" x14ac:dyDescent="0.2">
      <c r="A1381" s="39" t="s">
        <v>1818</v>
      </c>
      <c r="B1381" s="40" t="s">
        <v>1819</v>
      </c>
      <c r="C1381" s="40" t="s">
        <v>7293</v>
      </c>
      <c r="D1381" s="41">
        <v>46077</v>
      </c>
      <c r="E1381" s="41">
        <v>46107</v>
      </c>
      <c r="F1381" s="41">
        <v>46091</v>
      </c>
      <c r="G1381" s="42">
        <v>-16</v>
      </c>
      <c r="H1381" s="40" t="s">
        <v>556</v>
      </c>
      <c r="I1381" s="39" t="s">
        <v>320</v>
      </c>
      <c r="J1381" s="43">
        <v>-223.69</v>
      </c>
      <c r="K1381" s="43">
        <v>0</v>
      </c>
      <c r="L1381" s="43">
        <v>-223.69</v>
      </c>
      <c r="M1381" s="44">
        <v>0</v>
      </c>
      <c r="N1381" s="44">
        <f t="shared" si="21"/>
        <v>-223.69</v>
      </c>
      <c r="O1381" s="44">
        <v>-223.69</v>
      </c>
      <c r="P1381" s="40" t="s">
        <v>7294</v>
      </c>
      <c r="Q1381" s="40" t="s">
        <v>7295</v>
      </c>
      <c r="R1381" s="40" t="s">
        <v>494</v>
      </c>
      <c r="S1381" s="40" t="s">
        <v>495</v>
      </c>
      <c r="T1381" s="40" t="s">
        <v>218</v>
      </c>
      <c r="U1381" s="40" t="s">
        <v>4532</v>
      </c>
      <c r="V1381" s="40"/>
      <c r="W1381" s="40" t="s">
        <v>7296</v>
      </c>
    </row>
    <row r="1382" spans="1:23" ht="12" x14ac:dyDescent="0.2">
      <c r="A1382" s="39" t="s">
        <v>23</v>
      </c>
      <c r="B1382" s="40" t="s">
        <v>370</v>
      </c>
      <c r="C1382" s="40" t="s">
        <v>7297</v>
      </c>
      <c r="D1382" s="41">
        <v>46077</v>
      </c>
      <c r="E1382" s="41">
        <v>46107</v>
      </c>
      <c r="F1382" s="41">
        <v>46091</v>
      </c>
      <c r="G1382" s="42">
        <v>-16</v>
      </c>
      <c r="H1382" s="40" t="s">
        <v>556</v>
      </c>
      <c r="I1382" s="39" t="s">
        <v>320</v>
      </c>
      <c r="J1382" s="43">
        <v>91298.12</v>
      </c>
      <c r="K1382" s="43">
        <v>0</v>
      </c>
      <c r="L1382" s="43">
        <v>91298.12</v>
      </c>
      <c r="M1382" s="44">
        <v>0</v>
      </c>
      <c r="N1382" s="44">
        <f t="shared" si="21"/>
        <v>91298.12</v>
      </c>
      <c r="O1382" s="44">
        <v>91298.12</v>
      </c>
      <c r="P1382" s="40" t="s">
        <v>7298</v>
      </c>
      <c r="Q1382" s="40" t="s">
        <v>7299</v>
      </c>
      <c r="R1382" s="40" t="s">
        <v>494</v>
      </c>
      <c r="S1382" s="40" t="s">
        <v>502</v>
      </c>
      <c r="T1382" s="40" t="s">
        <v>514</v>
      </c>
      <c r="U1382" s="40" t="s">
        <v>602</v>
      </c>
      <c r="V1382" s="40"/>
      <c r="W1382" s="40" t="s">
        <v>7300</v>
      </c>
    </row>
    <row r="1383" spans="1:23" ht="12" x14ac:dyDescent="0.2">
      <c r="A1383" s="39" t="s">
        <v>337</v>
      </c>
      <c r="B1383" s="40" t="s">
        <v>336</v>
      </c>
      <c r="C1383" s="40" t="s">
        <v>7301</v>
      </c>
      <c r="D1383" s="41">
        <v>46077</v>
      </c>
      <c r="E1383" s="41">
        <v>46107</v>
      </c>
      <c r="F1383" s="41">
        <v>46091</v>
      </c>
      <c r="G1383" s="42">
        <v>-16</v>
      </c>
      <c r="H1383" s="40" t="s">
        <v>556</v>
      </c>
      <c r="I1383" s="39" t="s">
        <v>320</v>
      </c>
      <c r="J1383" s="43">
        <v>103270.47</v>
      </c>
      <c r="K1383" s="43">
        <v>0</v>
      </c>
      <c r="L1383" s="43">
        <v>103270.47</v>
      </c>
      <c r="M1383" s="44">
        <v>0</v>
      </c>
      <c r="N1383" s="44">
        <f t="shared" si="21"/>
        <v>103270.47</v>
      </c>
      <c r="O1383" s="44">
        <v>103270.47</v>
      </c>
      <c r="P1383" s="40" t="s">
        <v>1467</v>
      </c>
      <c r="Q1383" s="40" t="s">
        <v>1468</v>
      </c>
      <c r="R1383" s="40" t="s">
        <v>494</v>
      </c>
      <c r="S1383" s="40" t="s">
        <v>502</v>
      </c>
      <c r="T1383" s="40" t="s">
        <v>289</v>
      </c>
      <c r="U1383" s="40" t="s">
        <v>554</v>
      </c>
      <c r="V1383" s="40"/>
      <c r="W1383" s="40" t="s">
        <v>1469</v>
      </c>
    </row>
    <row r="1384" spans="1:23" ht="12" x14ac:dyDescent="0.2">
      <c r="A1384" s="39" t="s">
        <v>66</v>
      </c>
      <c r="B1384" s="40" t="s">
        <v>945</v>
      </c>
      <c r="C1384" s="40" t="s">
        <v>7302</v>
      </c>
      <c r="D1384" s="41">
        <v>46077</v>
      </c>
      <c r="E1384" s="41">
        <v>46107</v>
      </c>
      <c r="F1384" s="41">
        <v>46091</v>
      </c>
      <c r="G1384" s="42">
        <v>-16</v>
      </c>
      <c r="H1384" s="40" t="s">
        <v>556</v>
      </c>
      <c r="I1384" s="39" t="s">
        <v>320</v>
      </c>
      <c r="J1384" s="43">
        <v>64000</v>
      </c>
      <c r="K1384" s="43">
        <v>0</v>
      </c>
      <c r="L1384" s="43">
        <v>64000</v>
      </c>
      <c r="M1384" s="44">
        <v>0</v>
      </c>
      <c r="N1384" s="44">
        <f t="shared" si="21"/>
        <v>64000</v>
      </c>
      <c r="O1384" s="44">
        <v>64000</v>
      </c>
      <c r="P1384" s="40" t="s">
        <v>7303</v>
      </c>
      <c r="Q1384" s="40" t="s">
        <v>7304</v>
      </c>
      <c r="R1384" s="40" t="s">
        <v>494</v>
      </c>
      <c r="S1384" s="40" t="s">
        <v>502</v>
      </c>
      <c r="T1384" s="40" t="s">
        <v>1669</v>
      </c>
      <c r="U1384" s="40" t="s">
        <v>1670</v>
      </c>
      <c r="V1384" s="40"/>
      <c r="W1384" s="40" t="s">
        <v>7305</v>
      </c>
    </row>
    <row r="1385" spans="1:23" ht="12" x14ac:dyDescent="0.2">
      <c r="A1385" s="39" t="s">
        <v>7306</v>
      </c>
      <c r="B1385" s="40" t="s">
        <v>7307</v>
      </c>
      <c r="C1385" s="40" t="s">
        <v>7308</v>
      </c>
      <c r="D1385" s="41">
        <v>46077</v>
      </c>
      <c r="E1385" s="41">
        <v>46107</v>
      </c>
      <c r="F1385" s="41">
        <v>46091</v>
      </c>
      <c r="G1385" s="42">
        <v>-16</v>
      </c>
      <c r="H1385" s="40" t="s">
        <v>556</v>
      </c>
      <c r="I1385" s="39" t="s">
        <v>320</v>
      </c>
      <c r="J1385" s="43">
        <v>16122.27</v>
      </c>
      <c r="K1385" s="43">
        <v>0</v>
      </c>
      <c r="L1385" s="43">
        <v>16122.27</v>
      </c>
      <c r="M1385" s="44">
        <v>0</v>
      </c>
      <c r="N1385" s="44">
        <f t="shared" si="21"/>
        <v>16122.27</v>
      </c>
      <c r="O1385" s="44">
        <v>16122.27</v>
      </c>
      <c r="P1385" s="40" t="s">
        <v>7309</v>
      </c>
      <c r="Q1385" s="40" t="s">
        <v>7310</v>
      </c>
      <c r="R1385" s="40" t="s">
        <v>494</v>
      </c>
      <c r="S1385" s="40" t="s">
        <v>502</v>
      </c>
      <c r="T1385" s="40" t="s">
        <v>204</v>
      </c>
      <c r="U1385" s="40" t="s">
        <v>7311</v>
      </c>
      <c r="V1385" s="40"/>
      <c r="W1385" s="40" t="s">
        <v>7312</v>
      </c>
    </row>
    <row r="1386" spans="1:23" ht="12" x14ac:dyDescent="0.2">
      <c r="A1386" s="39" t="s">
        <v>15</v>
      </c>
      <c r="B1386" s="40" t="s">
        <v>361</v>
      </c>
      <c r="C1386" s="40" t="s">
        <v>7313</v>
      </c>
      <c r="D1386" s="41">
        <v>46077</v>
      </c>
      <c r="E1386" s="41">
        <v>46107</v>
      </c>
      <c r="F1386" s="41">
        <v>46091</v>
      </c>
      <c r="G1386" s="42">
        <v>-16</v>
      </c>
      <c r="H1386" s="40" t="s">
        <v>556</v>
      </c>
      <c r="I1386" s="39" t="s">
        <v>341</v>
      </c>
      <c r="J1386" s="43">
        <v>249997</v>
      </c>
      <c r="K1386" s="43">
        <v>0</v>
      </c>
      <c r="L1386" s="43">
        <v>249997</v>
      </c>
      <c r="M1386" s="44">
        <v>0</v>
      </c>
      <c r="N1386" s="44">
        <f t="shared" si="21"/>
        <v>199997.6</v>
      </c>
      <c r="O1386" s="44">
        <v>199997.6</v>
      </c>
      <c r="P1386" s="40" t="s">
        <v>7314</v>
      </c>
      <c r="Q1386" s="40" t="s">
        <v>7315</v>
      </c>
      <c r="R1386" s="40" t="s">
        <v>494</v>
      </c>
      <c r="S1386" s="40" t="s">
        <v>502</v>
      </c>
      <c r="T1386" s="40" t="s">
        <v>185</v>
      </c>
      <c r="U1386" s="40" t="s">
        <v>7316</v>
      </c>
      <c r="V1386" s="40"/>
      <c r="W1386" s="40" t="s">
        <v>7317</v>
      </c>
    </row>
    <row r="1387" spans="1:23" ht="12" x14ac:dyDescent="0.2">
      <c r="A1387" s="39" t="s">
        <v>23</v>
      </c>
      <c r="B1387" s="40" t="s">
        <v>370</v>
      </c>
      <c r="C1387" s="40" t="s">
        <v>7318</v>
      </c>
      <c r="D1387" s="41">
        <v>46077</v>
      </c>
      <c r="E1387" s="41">
        <v>46107</v>
      </c>
      <c r="F1387" s="41">
        <v>46091</v>
      </c>
      <c r="G1387" s="42">
        <v>-16</v>
      </c>
      <c r="H1387" s="40" t="s">
        <v>556</v>
      </c>
      <c r="I1387" s="39" t="s">
        <v>320</v>
      </c>
      <c r="J1387" s="43">
        <v>52225.25</v>
      </c>
      <c r="K1387" s="43">
        <v>0</v>
      </c>
      <c r="L1387" s="43">
        <v>52225.25</v>
      </c>
      <c r="M1387" s="44">
        <v>0</v>
      </c>
      <c r="N1387" s="44">
        <f t="shared" si="21"/>
        <v>52225.25</v>
      </c>
      <c r="O1387" s="44">
        <v>52225.25</v>
      </c>
      <c r="P1387" s="40" t="s">
        <v>798</v>
      </c>
      <c r="Q1387" s="40" t="s">
        <v>7319</v>
      </c>
      <c r="R1387" s="40" t="s">
        <v>494</v>
      </c>
      <c r="S1387" s="40" t="s">
        <v>502</v>
      </c>
      <c r="T1387" s="40" t="s">
        <v>514</v>
      </c>
      <c r="U1387" s="40" t="s">
        <v>575</v>
      </c>
      <c r="V1387" s="40"/>
      <c r="W1387" s="40" t="s">
        <v>7320</v>
      </c>
    </row>
    <row r="1388" spans="1:23" ht="12" x14ac:dyDescent="0.2">
      <c r="A1388" s="39" t="s">
        <v>23</v>
      </c>
      <c r="B1388" s="40" t="s">
        <v>370</v>
      </c>
      <c r="C1388" s="40" t="s">
        <v>7321</v>
      </c>
      <c r="D1388" s="41">
        <v>46077</v>
      </c>
      <c r="E1388" s="41">
        <v>46107</v>
      </c>
      <c r="F1388" s="41">
        <v>46091</v>
      </c>
      <c r="G1388" s="42">
        <v>-16</v>
      </c>
      <c r="H1388" s="40" t="s">
        <v>556</v>
      </c>
      <c r="I1388" s="39" t="s">
        <v>320</v>
      </c>
      <c r="J1388" s="43">
        <v>17238.25</v>
      </c>
      <c r="K1388" s="43">
        <v>0</v>
      </c>
      <c r="L1388" s="43">
        <v>17238.25</v>
      </c>
      <c r="M1388" s="44">
        <v>0</v>
      </c>
      <c r="N1388" s="44">
        <f t="shared" si="21"/>
        <v>17238.25</v>
      </c>
      <c r="O1388" s="44">
        <v>17238.25</v>
      </c>
      <c r="P1388" s="40" t="s">
        <v>653</v>
      </c>
      <c r="Q1388" s="40" t="s">
        <v>7322</v>
      </c>
      <c r="R1388" s="40" t="s">
        <v>494</v>
      </c>
      <c r="S1388" s="40" t="s">
        <v>502</v>
      </c>
      <c r="T1388" s="40" t="s">
        <v>514</v>
      </c>
      <c r="U1388" s="40" t="s">
        <v>580</v>
      </c>
      <c r="V1388" s="40"/>
      <c r="W1388" s="40" t="s">
        <v>7323</v>
      </c>
    </row>
    <row r="1389" spans="1:23" ht="12" x14ac:dyDescent="0.2">
      <c r="A1389" s="39" t="s">
        <v>337</v>
      </c>
      <c r="B1389" s="40" t="s">
        <v>336</v>
      </c>
      <c r="C1389" s="40" t="s">
        <v>7324</v>
      </c>
      <c r="D1389" s="41">
        <v>46077</v>
      </c>
      <c r="E1389" s="41">
        <v>46107</v>
      </c>
      <c r="F1389" s="41">
        <v>46091</v>
      </c>
      <c r="G1389" s="42">
        <v>-16</v>
      </c>
      <c r="H1389" s="40" t="s">
        <v>556</v>
      </c>
      <c r="I1389" s="39" t="s">
        <v>320</v>
      </c>
      <c r="J1389" s="43">
        <v>-211.07</v>
      </c>
      <c r="K1389" s="43">
        <v>0</v>
      </c>
      <c r="L1389" s="43">
        <v>-211.07</v>
      </c>
      <c r="M1389" s="44">
        <v>0</v>
      </c>
      <c r="N1389" s="44">
        <f t="shared" si="21"/>
        <v>-211.07</v>
      </c>
      <c r="O1389" s="44">
        <v>-211.07</v>
      </c>
      <c r="P1389" s="40" t="s">
        <v>1884</v>
      </c>
      <c r="Q1389" s="40" t="s">
        <v>1885</v>
      </c>
      <c r="R1389" s="40" t="s">
        <v>494</v>
      </c>
      <c r="S1389" s="40" t="s">
        <v>495</v>
      </c>
      <c r="T1389" s="40" t="s">
        <v>289</v>
      </c>
      <c r="U1389" s="40" t="s">
        <v>554</v>
      </c>
      <c r="V1389" s="40" t="s">
        <v>3865</v>
      </c>
      <c r="W1389" s="40" t="s">
        <v>1886</v>
      </c>
    </row>
    <row r="1390" spans="1:23" ht="12" x14ac:dyDescent="0.2">
      <c r="A1390" s="39" t="s">
        <v>357</v>
      </c>
      <c r="B1390" s="40" t="s">
        <v>356</v>
      </c>
      <c r="C1390" s="40" t="s">
        <v>7325</v>
      </c>
      <c r="D1390" s="41">
        <v>46077</v>
      </c>
      <c r="E1390" s="41">
        <v>46107</v>
      </c>
      <c r="F1390" s="41">
        <v>46091</v>
      </c>
      <c r="G1390" s="42">
        <v>-16</v>
      </c>
      <c r="H1390" s="40" t="s">
        <v>556</v>
      </c>
      <c r="I1390" s="39" t="s">
        <v>341</v>
      </c>
      <c r="J1390" s="43">
        <v>541084.86</v>
      </c>
      <c r="K1390" s="43">
        <v>0</v>
      </c>
      <c r="L1390" s="43">
        <v>541084.86</v>
      </c>
      <c r="M1390" s="44">
        <v>0</v>
      </c>
      <c r="N1390" s="44">
        <f t="shared" si="21"/>
        <v>460560.61</v>
      </c>
      <c r="O1390" s="44">
        <v>460560.61</v>
      </c>
      <c r="P1390" s="40" t="s">
        <v>7326</v>
      </c>
      <c r="Q1390" s="40" t="s">
        <v>7327</v>
      </c>
      <c r="R1390" s="40" t="s">
        <v>494</v>
      </c>
      <c r="S1390" s="40" t="s">
        <v>502</v>
      </c>
      <c r="T1390" s="40" t="s">
        <v>178</v>
      </c>
      <c r="U1390" s="40" t="s">
        <v>1393</v>
      </c>
      <c r="V1390" s="40"/>
      <c r="W1390" s="40" t="s">
        <v>7328</v>
      </c>
    </row>
    <row r="1391" spans="1:23" ht="12" x14ac:dyDescent="0.2">
      <c r="A1391" s="39" t="s">
        <v>23</v>
      </c>
      <c r="B1391" s="40" t="s">
        <v>370</v>
      </c>
      <c r="C1391" s="40" t="s">
        <v>7329</v>
      </c>
      <c r="D1391" s="41">
        <v>46077</v>
      </c>
      <c r="E1391" s="41">
        <v>46107</v>
      </c>
      <c r="F1391" s="41">
        <v>46091</v>
      </c>
      <c r="G1391" s="42">
        <v>-16</v>
      </c>
      <c r="H1391" s="40" t="s">
        <v>556</v>
      </c>
      <c r="I1391" s="39" t="s">
        <v>320</v>
      </c>
      <c r="J1391" s="43">
        <v>110803.79</v>
      </c>
      <c r="K1391" s="43">
        <v>0</v>
      </c>
      <c r="L1391" s="43">
        <v>110803.79</v>
      </c>
      <c r="M1391" s="44">
        <v>0</v>
      </c>
      <c r="N1391" s="44">
        <f t="shared" si="21"/>
        <v>110803.79</v>
      </c>
      <c r="O1391" s="44">
        <v>110803.79</v>
      </c>
      <c r="P1391" s="40" t="s">
        <v>7330</v>
      </c>
      <c r="Q1391" s="40" t="s">
        <v>7331</v>
      </c>
      <c r="R1391" s="40" t="s">
        <v>494</v>
      </c>
      <c r="S1391" s="40" t="s">
        <v>502</v>
      </c>
      <c r="T1391" s="40" t="s">
        <v>514</v>
      </c>
      <c r="U1391" s="40" t="s">
        <v>575</v>
      </c>
      <c r="V1391" s="40"/>
      <c r="W1391" s="40" t="s">
        <v>7332</v>
      </c>
    </row>
    <row r="1392" spans="1:23" ht="12" x14ac:dyDescent="0.2">
      <c r="A1392" s="39" t="s">
        <v>23</v>
      </c>
      <c r="B1392" s="40" t="s">
        <v>370</v>
      </c>
      <c r="C1392" s="40" t="s">
        <v>7333</v>
      </c>
      <c r="D1392" s="41">
        <v>46077</v>
      </c>
      <c r="E1392" s="41">
        <v>46107</v>
      </c>
      <c r="F1392" s="41">
        <v>46091</v>
      </c>
      <c r="G1392" s="42">
        <v>-16</v>
      </c>
      <c r="H1392" s="40" t="s">
        <v>556</v>
      </c>
      <c r="I1392" s="39" t="s">
        <v>320</v>
      </c>
      <c r="J1392" s="43">
        <v>53584.76</v>
      </c>
      <c r="K1392" s="43">
        <v>0</v>
      </c>
      <c r="L1392" s="43">
        <v>53584.76</v>
      </c>
      <c r="M1392" s="44">
        <v>0</v>
      </c>
      <c r="N1392" s="44">
        <f t="shared" si="21"/>
        <v>53584.76</v>
      </c>
      <c r="O1392" s="44">
        <v>53584.76</v>
      </c>
      <c r="P1392" s="40" t="s">
        <v>7334</v>
      </c>
      <c r="Q1392" s="40" t="s">
        <v>7335</v>
      </c>
      <c r="R1392" s="40" t="s">
        <v>494</v>
      </c>
      <c r="S1392" s="40" t="s">
        <v>502</v>
      </c>
      <c r="T1392" s="40" t="s">
        <v>514</v>
      </c>
      <c r="U1392" s="40" t="s">
        <v>575</v>
      </c>
      <c r="V1392" s="40"/>
      <c r="W1392" s="40" t="s">
        <v>7336</v>
      </c>
    </row>
    <row r="1393" spans="1:23" ht="12" x14ac:dyDescent="0.2">
      <c r="A1393" s="39" t="s">
        <v>23</v>
      </c>
      <c r="B1393" s="40" t="s">
        <v>370</v>
      </c>
      <c r="C1393" s="40" t="s">
        <v>7337</v>
      </c>
      <c r="D1393" s="41">
        <v>46077</v>
      </c>
      <c r="E1393" s="41">
        <v>46107</v>
      </c>
      <c r="F1393" s="41">
        <v>46091</v>
      </c>
      <c r="G1393" s="42">
        <v>-16</v>
      </c>
      <c r="H1393" s="40" t="s">
        <v>556</v>
      </c>
      <c r="I1393" s="39" t="s">
        <v>320</v>
      </c>
      <c r="J1393" s="43">
        <v>59352.98</v>
      </c>
      <c r="K1393" s="43">
        <v>0</v>
      </c>
      <c r="L1393" s="43">
        <v>59352.98</v>
      </c>
      <c r="M1393" s="44">
        <v>0</v>
      </c>
      <c r="N1393" s="44">
        <f t="shared" si="21"/>
        <v>59352.98</v>
      </c>
      <c r="O1393" s="44">
        <v>59352.98</v>
      </c>
      <c r="P1393" s="40" t="s">
        <v>597</v>
      </c>
      <c r="Q1393" s="40" t="s">
        <v>7338</v>
      </c>
      <c r="R1393" s="40" t="s">
        <v>494</v>
      </c>
      <c r="S1393" s="40" t="s">
        <v>502</v>
      </c>
      <c r="T1393" s="40" t="s">
        <v>514</v>
      </c>
      <c r="U1393" s="40" t="s">
        <v>1491</v>
      </c>
      <c r="V1393" s="40"/>
      <c r="W1393" s="40" t="s">
        <v>7339</v>
      </c>
    </row>
    <row r="1394" spans="1:23" ht="12" x14ac:dyDescent="0.2">
      <c r="A1394" s="39" t="s">
        <v>337</v>
      </c>
      <c r="B1394" s="40" t="s">
        <v>336</v>
      </c>
      <c r="C1394" s="40" t="s">
        <v>7340</v>
      </c>
      <c r="D1394" s="41">
        <v>46077</v>
      </c>
      <c r="E1394" s="41">
        <v>46107</v>
      </c>
      <c r="F1394" s="41">
        <v>46091</v>
      </c>
      <c r="G1394" s="42">
        <v>-16</v>
      </c>
      <c r="H1394" s="40" t="s">
        <v>556</v>
      </c>
      <c r="I1394" s="39" t="s">
        <v>320</v>
      </c>
      <c r="J1394" s="43">
        <v>60866.9</v>
      </c>
      <c r="K1394" s="43">
        <v>0</v>
      </c>
      <c r="L1394" s="43">
        <v>60866.9</v>
      </c>
      <c r="M1394" s="44">
        <v>0</v>
      </c>
      <c r="N1394" s="44">
        <f t="shared" si="21"/>
        <v>60866.9</v>
      </c>
      <c r="O1394" s="44">
        <v>60866.9</v>
      </c>
      <c r="P1394" s="40" t="s">
        <v>1286</v>
      </c>
      <c r="Q1394" s="40" t="s">
        <v>1287</v>
      </c>
      <c r="R1394" s="40" t="s">
        <v>494</v>
      </c>
      <c r="S1394" s="40" t="s">
        <v>502</v>
      </c>
      <c r="T1394" s="40" t="s">
        <v>289</v>
      </c>
      <c r="U1394" s="40" t="s">
        <v>1095</v>
      </c>
      <c r="V1394" s="40"/>
      <c r="W1394" s="40" t="s">
        <v>1288</v>
      </c>
    </row>
    <row r="1395" spans="1:23" ht="12" x14ac:dyDescent="0.2">
      <c r="A1395" s="39" t="s">
        <v>23</v>
      </c>
      <c r="B1395" s="40" t="s">
        <v>370</v>
      </c>
      <c r="C1395" s="40" t="s">
        <v>7341</v>
      </c>
      <c r="D1395" s="41">
        <v>46077</v>
      </c>
      <c r="E1395" s="41">
        <v>46107</v>
      </c>
      <c r="F1395" s="41">
        <v>46091</v>
      </c>
      <c r="G1395" s="42">
        <v>-16</v>
      </c>
      <c r="H1395" s="40" t="s">
        <v>556</v>
      </c>
      <c r="I1395" s="39" t="s">
        <v>320</v>
      </c>
      <c r="J1395" s="43">
        <v>19155.25</v>
      </c>
      <c r="K1395" s="43">
        <v>0</v>
      </c>
      <c r="L1395" s="43">
        <v>19155.25</v>
      </c>
      <c r="M1395" s="44">
        <v>0</v>
      </c>
      <c r="N1395" s="44">
        <f t="shared" si="21"/>
        <v>19155.25</v>
      </c>
      <c r="O1395" s="44">
        <v>19155.25</v>
      </c>
      <c r="P1395" s="40" t="s">
        <v>7342</v>
      </c>
      <c r="Q1395" s="40" t="s">
        <v>7343</v>
      </c>
      <c r="R1395" s="40" t="s">
        <v>494</v>
      </c>
      <c r="S1395" s="40" t="s">
        <v>502</v>
      </c>
      <c r="T1395" s="40" t="s">
        <v>514</v>
      </c>
      <c r="U1395" s="40" t="s">
        <v>7344</v>
      </c>
      <c r="V1395" s="40"/>
      <c r="W1395" s="40" t="s">
        <v>7345</v>
      </c>
    </row>
    <row r="1396" spans="1:23" ht="12" x14ac:dyDescent="0.2">
      <c r="A1396" s="39" t="s">
        <v>1070</v>
      </c>
      <c r="B1396" s="40" t="s">
        <v>364</v>
      </c>
      <c r="C1396" s="40" t="s">
        <v>7346</v>
      </c>
      <c r="D1396" s="41">
        <v>46078</v>
      </c>
      <c r="E1396" s="41">
        <v>46108</v>
      </c>
      <c r="F1396" s="41">
        <v>46091</v>
      </c>
      <c r="G1396" s="42">
        <v>-17</v>
      </c>
      <c r="H1396" s="40" t="s">
        <v>556</v>
      </c>
      <c r="I1396" s="39" t="s">
        <v>320</v>
      </c>
      <c r="J1396" s="43">
        <v>97621.54</v>
      </c>
      <c r="K1396" s="43">
        <v>0</v>
      </c>
      <c r="L1396" s="43">
        <v>97621.54</v>
      </c>
      <c r="M1396" s="44">
        <v>0</v>
      </c>
      <c r="N1396" s="44">
        <f t="shared" si="21"/>
        <v>97621.54</v>
      </c>
      <c r="O1396" s="44">
        <v>97621.54</v>
      </c>
      <c r="P1396" s="40" t="s">
        <v>7347</v>
      </c>
      <c r="Q1396" s="40" t="s">
        <v>7348</v>
      </c>
      <c r="R1396" s="40" t="s">
        <v>494</v>
      </c>
      <c r="S1396" s="40" t="s">
        <v>502</v>
      </c>
      <c r="T1396" s="40" t="s">
        <v>165</v>
      </c>
      <c r="U1396" s="40" t="s">
        <v>5254</v>
      </c>
      <c r="V1396" s="40"/>
      <c r="W1396" s="40" t="s">
        <v>7349</v>
      </c>
    </row>
    <row r="1397" spans="1:23" ht="12" x14ac:dyDescent="0.2">
      <c r="A1397" s="39" t="s">
        <v>1896</v>
      </c>
      <c r="B1397" s="40" t="s">
        <v>1897</v>
      </c>
      <c r="C1397" s="40" t="s">
        <v>7350</v>
      </c>
      <c r="D1397" s="41">
        <v>46078</v>
      </c>
      <c r="E1397" s="41">
        <v>46108</v>
      </c>
      <c r="F1397" s="41">
        <v>46091</v>
      </c>
      <c r="G1397" s="42">
        <v>-17</v>
      </c>
      <c r="H1397" s="40" t="s">
        <v>556</v>
      </c>
      <c r="I1397" s="39" t="s">
        <v>320</v>
      </c>
      <c r="J1397" s="43">
        <v>64239.16</v>
      </c>
      <c r="K1397" s="43">
        <v>0</v>
      </c>
      <c r="L1397" s="43">
        <v>64239.16</v>
      </c>
      <c r="M1397" s="44">
        <v>0</v>
      </c>
      <c r="N1397" s="44">
        <f t="shared" si="21"/>
        <v>64239.16</v>
      </c>
      <c r="O1397" s="44">
        <v>64239.16</v>
      </c>
      <c r="P1397" s="40" t="s">
        <v>7351</v>
      </c>
      <c r="Q1397" s="40" t="s">
        <v>7352</v>
      </c>
      <c r="R1397" s="40" t="s">
        <v>494</v>
      </c>
      <c r="S1397" s="40" t="s">
        <v>495</v>
      </c>
      <c r="T1397" s="40" t="s">
        <v>501</v>
      </c>
      <c r="U1397" s="40" t="s">
        <v>7002</v>
      </c>
      <c r="V1397" s="40"/>
      <c r="W1397" s="40" t="s">
        <v>7353</v>
      </c>
    </row>
    <row r="1398" spans="1:23" ht="12" x14ac:dyDescent="0.2">
      <c r="A1398" s="39" t="s">
        <v>14</v>
      </c>
      <c r="B1398" s="40" t="s">
        <v>2525</v>
      </c>
      <c r="C1398" s="40" t="s">
        <v>7354</v>
      </c>
      <c r="D1398" s="41">
        <v>46078</v>
      </c>
      <c r="E1398" s="41">
        <v>46108</v>
      </c>
      <c r="F1398" s="41">
        <v>46091</v>
      </c>
      <c r="G1398" s="42">
        <v>-17</v>
      </c>
      <c r="H1398" s="40" t="s">
        <v>556</v>
      </c>
      <c r="I1398" s="39" t="s">
        <v>320</v>
      </c>
      <c r="J1398" s="43">
        <v>133999</v>
      </c>
      <c r="K1398" s="43">
        <v>0</v>
      </c>
      <c r="L1398" s="43">
        <v>133999</v>
      </c>
      <c r="M1398" s="44">
        <v>0</v>
      </c>
      <c r="N1398" s="44">
        <f t="shared" si="21"/>
        <v>133999</v>
      </c>
      <c r="O1398" s="44">
        <v>133999</v>
      </c>
      <c r="P1398" s="40" t="s">
        <v>7355</v>
      </c>
      <c r="Q1398" s="40" t="s">
        <v>7356</v>
      </c>
      <c r="R1398" s="40" t="s">
        <v>494</v>
      </c>
      <c r="S1398" s="40" t="s">
        <v>502</v>
      </c>
      <c r="T1398" s="40" t="s">
        <v>215</v>
      </c>
      <c r="U1398" s="40" t="s">
        <v>7357</v>
      </c>
      <c r="V1398" s="40"/>
      <c r="W1398" s="40" t="s">
        <v>7358</v>
      </c>
    </row>
    <row r="1399" spans="1:23" ht="12" x14ac:dyDescent="0.2">
      <c r="A1399" s="39" t="s">
        <v>3175</v>
      </c>
      <c r="B1399" s="40" t="s">
        <v>3176</v>
      </c>
      <c r="C1399" s="40" t="s">
        <v>7359</v>
      </c>
      <c r="D1399" s="41">
        <v>46078</v>
      </c>
      <c r="E1399" s="41">
        <v>46108</v>
      </c>
      <c r="F1399" s="41">
        <v>46091</v>
      </c>
      <c r="G1399" s="42">
        <v>-17</v>
      </c>
      <c r="H1399" s="40" t="s">
        <v>556</v>
      </c>
      <c r="I1399" s="39" t="s">
        <v>320</v>
      </c>
      <c r="J1399" s="43">
        <v>7905.32</v>
      </c>
      <c r="K1399" s="43">
        <v>0</v>
      </c>
      <c r="L1399" s="43">
        <v>7905.32</v>
      </c>
      <c r="M1399" s="44">
        <v>0</v>
      </c>
      <c r="N1399" s="44">
        <f t="shared" si="21"/>
        <v>7905.32</v>
      </c>
      <c r="O1399" s="44">
        <v>7905.32</v>
      </c>
      <c r="P1399" s="40" t="s">
        <v>3177</v>
      </c>
      <c r="Q1399" s="40" t="s">
        <v>3178</v>
      </c>
      <c r="R1399" s="40" t="s">
        <v>494</v>
      </c>
      <c r="S1399" s="40" t="s">
        <v>502</v>
      </c>
      <c r="T1399" s="40" t="s">
        <v>280</v>
      </c>
      <c r="U1399" s="40" t="s">
        <v>3179</v>
      </c>
      <c r="V1399" s="40"/>
      <c r="W1399" s="40" t="s">
        <v>3180</v>
      </c>
    </row>
    <row r="1400" spans="1:23" ht="12" x14ac:dyDescent="0.2">
      <c r="A1400" s="39" t="s">
        <v>454</v>
      </c>
      <c r="B1400" s="40" t="s">
        <v>1202</v>
      </c>
      <c r="C1400" s="40" t="s">
        <v>7360</v>
      </c>
      <c r="D1400" s="41">
        <v>46078</v>
      </c>
      <c r="E1400" s="41">
        <v>46108</v>
      </c>
      <c r="F1400" s="41">
        <v>46091</v>
      </c>
      <c r="G1400" s="42">
        <v>-17</v>
      </c>
      <c r="H1400" s="40" t="s">
        <v>556</v>
      </c>
      <c r="I1400" s="39" t="s">
        <v>320</v>
      </c>
      <c r="J1400" s="43">
        <v>93811.61</v>
      </c>
      <c r="K1400" s="43">
        <v>0</v>
      </c>
      <c r="L1400" s="43">
        <v>93811.61</v>
      </c>
      <c r="M1400" s="44">
        <v>0</v>
      </c>
      <c r="N1400" s="44">
        <f t="shared" si="21"/>
        <v>93811.61</v>
      </c>
      <c r="O1400" s="44">
        <v>93811.61</v>
      </c>
      <c r="P1400" s="40" t="s">
        <v>7361</v>
      </c>
      <c r="Q1400" s="40" t="s">
        <v>7362</v>
      </c>
      <c r="R1400" s="40" t="s">
        <v>494</v>
      </c>
      <c r="S1400" s="40" t="s">
        <v>502</v>
      </c>
      <c r="T1400" s="40" t="s">
        <v>221</v>
      </c>
      <c r="U1400" s="40" t="s">
        <v>7363</v>
      </c>
      <c r="V1400" s="40" t="s">
        <v>4853</v>
      </c>
      <c r="W1400" s="40" t="s">
        <v>7364</v>
      </c>
    </row>
    <row r="1401" spans="1:23" ht="12" x14ac:dyDescent="0.2">
      <c r="A1401" s="39" t="s">
        <v>3678</v>
      </c>
      <c r="B1401" s="40" t="s">
        <v>3679</v>
      </c>
      <c r="C1401" s="40" t="s">
        <v>7365</v>
      </c>
      <c r="D1401" s="41">
        <v>46078</v>
      </c>
      <c r="E1401" s="41">
        <v>46108</v>
      </c>
      <c r="F1401" s="41">
        <v>46091</v>
      </c>
      <c r="G1401" s="42">
        <v>-17</v>
      </c>
      <c r="H1401" s="40" t="s">
        <v>556</v>
      </c>
      <c r="I1401" s="39" t="s">
        <v>320</v>
      </c>
      <c r="J1401" s="43">
        <v>72948.89</v>
      </c>
      <c r="K1401" s="43">
        <v>0</v>
      </c>
      <c r="L1401" s="43">
        <v>72948.89</v>
      </c>
      <c r="M1401" s="44">
        <v>0</v>
      </c>
      <c r="N1401" s="44">
        <f t="shared" si="21"/>
        <v>72948.89</v>
      </c>
      <c r="O1401" s="44">
        <v>72948.89</v>
      </c>
      <c r="P1401" s="40" t="s">
        <v>7366</v>
      </c>
      <c r="Q1401" s="40" t="s">
        <v>7367</v>
      </c>
      <c r="R1401" s="40" t="s">
        <v>494</v>
      </c>
      <c r="S1401" s="40" t="s">
        <v>502</v>
      </c>
      <c r="T1401" s="40" t="s">
        <v>280</v>
      </c>
      <c r="U1401" s="40" t="s">
        <v>1928</v>
      </c>
      <c r="V1401" s="40"/>
      <c r="W1401" s="40" t="s">
        <v>7368</v>
      </c>
    </row>
    <row r="1402" spans="1:23" ht="12" x14ac:dyDescent="0.2">
      <c r="A1402" s="39" t="s">
        <v>1585</v>
      </c>
      <c r="B1402" s="40" t="s">
        <v>1713</v>
      </c>
      <c r="C1402" s="40" t="s">
        <v>7369</v>
      </c>
      <c r="D1402" s="41">
        <v>46078</v>
      </c>
      <c r="E1402" s="41">
        <v>46108</v>
      </c>
      <c r="F1402" s="41">
        <v>46091</v>
      </c>
      <c r="G1402" s="42">
        <v>-17</v>
      </c>
      <c r="H1402" s="40" t="s">
        <v>556</v>
      </c>
      <c r="I1402" s="39" t="s">
        <v>323</v>
      </c>
      <c r="J1402" s="43">
        <v>155079.41</v>
      </c>
      <c r="K1402" s="43">
        <v>0</v>
      </c>
      <c r="L1402" s="43">
        <v>155079.41</v>
      </c>
      <c r="M1402" s="44">
        <v>0</v>
      </c>
      <c r="N1402" s="44">
        <f t="shared" si="21"/>
        <v>114873.64</v>
      </c>
      <c r="O1402" s="44">
        <v>114873.64</v>
      </c>
      <c r="P1402" s="40" t="s">
        <v>2818</v>
      </c>
      <c r="Q1402" s="40" t="s">
        <v>2819</v>
      </c>
      <c r="R1402" s="40" t="s">
        <v>494</v>
      </c>
      <c r="S1402" s="40" t="s">
        <v>495</v>
      </c>
      <c r="T1402" s="40" t="s">
        <v>178</v>
      </c>
      <c r="U1402" s="40" t="s">
        <v>601</v>
      </c>
      <c r="V1402" s="40"/>
      <c r="W1402" s="40" t="s">
        <v>2820</v>
      </c>
    </row>
    <row r="1403" spans="1:23" ht="12" x14ac:dyDescent="0.2">
      <c r="A1403" s="39" t="s">
        <v>1342</v>
      </c>
      <c r="B1403" s="40" t="s">
        <v>7370</v>
      </c>
      <c r="C1403" s="40" t="s">
        <v>7371</v>
      </c>
      <c r="D1403" s="41">
        <v>46078</v>
      </c>
      <c r="E1403" s="41">
        <v>46108</v>
      </c>
      <c r="F1403" s="41">
        <v>46091</v>
      </c>
      <c r="G1403" s="42">
        <v>-17</v>
      </c>
      <c r="H1403" s="40" t="s">
        <v>556</v>
      </c>
      <c r="I1403" s="39" t="s">
        <v>320</v>
      </c>
      <c r="J1403" s="43">
        <v>9955</v>
      </c>
      <c r="K1403" s="43">
        <v>0</v>
      </c>
      <c r="L1403" s="43">
        <v>9955</v>
      </c>
      <c r="M1403" s="44">
        <v>0</v>
      </c>
      <c r="N1403" s="44">
        <f t="shared" si="21"/>
        <v>9955</v>
      </c>
      <c r="O1403" s="44">
        <v>9955</v>
      </c>
      <c r="P1403" s="40" t="s">
        <v>7372</v>
      </c>
      <c r="Q1403" s="40" t="s">
        <v>7373</v>
      </c>
      <c r="R1403" s="40" t="s">
        <v>494</v>
      </c>
      <c r="S1403" s="40" t="s">
        <v>502</v>
      </c>
      <c r="T1403" s="40" t="s">
        <v>191</v>
      </c>
      <c r="U1403" s="40" t="s">
        <v>7374</v>
      </c>
      <c r="V1403" s="40"/>
      <c r="W1403" s="40" t="s">
        <v>7375</v>
      </c>
    </row>
    <row r="1404" spans="1:23" ht="12" x14ac:dyDescent="0.2">
      <c r="A1404" s="39" t="s">
        <v>16</v>
      </c>
      <c r="B1404" s="40" t="s">
        <v>414</v>
      </c>
      <c r="C1404" s="40" t="s">
        <v>7376</v>
      </c>
      <c r="D1404" s="41">
        <v>46078</v>
      </c>
      <c r="E1404" s="41">
        <v>46108</v>
      </c>
      <c r="F1404" s="41">
        <v>46091</v>
      </c>
      <c r="G1404" s="42">
        <v>-17</v>
      </c>
      <c r="H1404" s="40" t="s">
        <v>556</v>
      </c>
      <c r="I1404" s="39" t="s">
        <v>320</v>
      </c>
      <c r="J1404" s="43">
        <v>71097.78</v>
      </c>
      <c r="K1404" s="43">
        <v>0</v>
      </c>
      <c r="L1404" s="43">
        <v>71097.78</v>
      </c>
      <c r="M1404" s="44">
        <v>0</v>
      </c>
      <c r="N1404" s="44">
        <f t="shared" si="21"/>
        <v>71097.78</v>
      </c>
      <c r="O1404" s="44">
        <v>71097.78</v>
      </c>
      <c r="P1404" s="40" t="s">
        <v>3269</v>
      </c>
      <c r="Q1404" s="40" t="s">
        <v>3270</v>
      </c>
      <c r="R1404" s="40" t="s">
        <v>494</v>
      </c>
      <c r="S1404" s="40" t="s">
        <v>502</v>
      </c>
      <c r="T1404" s="40" t="s">
        <v>284</v>
      </c>
      <c r="U1404" s="40" t="s">
        <v>803</v>
      </c>
      <c r="V1404" s="40"/>
      <c r="W1404" s="40" t="s">
        <v>3271</v>
      </c>
    </row>
    <row r="1405" spans="1:23" ht="12" x14ac:dyDescent="0.2">
      <c r="A1405" s="39" t="s">
        <v>16</v>
      </c>
      <c r="B1405" s="40" t="s">
        <v>414</v>
      </c>
      <c r="C1405" s="40" t="s">
        <v>7377</v>
      </c>
      <c r="D1405" s="41">
        <v>46078</v>
      </c>
      <c r="E1405" s="41">
        <v>46108</v>
      </c>
      <c r="F1405" s="41">
        <v>46091</v>
      </c>
      <c r="G1405" s="42">
        <v>-17</v>
      </c>
      <c r="H1405" s="40" t="s">
        <v>556</v>
      </c>
      <c r="I1405" s="39" t="s">
        <v>320</v>
      </c>
      <c r="J1405" s="43">
        <v>12691.02</v>
      </c>
      <c r="K1405" s="43">
        <v>0</v>
      </c>
      <c r="L1405" s="43">
        <v>12691.02</v>
      </c>
      <c r="M1405" s="44">
        <v>0</v>
      </c>
      <c r="N1405" s="44">
        <f t="shared" si="21"/>
        <v>12691.02</v>
      </c>
      <c r="O1405" s="44">
        <v>12691.02</v>
      </c>
      <c r="P1405" s="40" t="s">
        <v>3307</v>
      </c>
      <c r="Q1405" s="40" t="s">
        <v>3308</v>
      </c>
      <c r="R1405" s="40" t="s">
        <v>494</v>
      </c>
      <c r="S1405" s="40" t="s">
        <v>502</v>
      </c>
      <c r="T1405" s="40" t="s">
        <v>284</v>
      </c>
      <c r="U1405" s="40" t="s">
        <v>803</v>
      </c>
      <c r="V1405" s="40"/>
      <c r="W1405" s="40" t="s">
        <v>3271</v>
      </c>
    </row>
    <row r="1406" spans="1:23" ht="12" x14ac:dyDescent="0.2">
      <c r="A1406" s="39" t="s">
        <v>16</v>
      </c>
      <c r="B1406" s="40" t="s">
        <v>414</v>
      </c>
      <c r="C1406" s="40" t="s">
        <v>7378</v>
      </c>
      <c r="D1406" s="41">
        <v>46078</v>
      </c>
      <c r="E1406" s="41">
        <v>46108</v>
      </c>
      <c r="F1406" s="41">
        <v>46091</v>
      </c>
      <c r="G1406" s="42">
        <v>-17</v>
      </c>
      <c r="H1406" s="40" t="s">
        <v>556</v>
      </c>
      <c r="I1406" s="39" t="s">
        <v>320</v>
      </c>
      <c r="J1406" s="43">
        <v>8025.11</v>
      </c>
      <c r="K1406" s="43">
        <v>0</v>
      </c>
      <c r="L1406" s="43">
        <v>8025.11</v>
      </c>
      <c r="M1406" s="44">
        <v>0</v>
      </c>
      <c r="N1406" s="44">
        <f t="shared" si="21"/>
        <v>8025.11</v>
      </c>
      <c r="O1406" s="44">
        <v>8025.11</v>
      </c>
      <c r="P1406" s="40" t="s">
        <v>4426</v>
      </c>
      <c r="Q1406" s="40" t="s">
        <v>4427</v>
      </c>
      <c r="R1406" s="40" t="s">
        <v>494</v>
      </c>
      <c r="S1406" s="40" t="s">
        <v>502</v>
      </c>
      <c r="T1406" s="40" t="s">
        <v>280</v>
      </c>
      <c r="U1406" s="40" t="s">
        <v>2376</v>
      </c>
      <c r="V1406" s="40"/>
      <c r="W1406" s="40" t="s">
        <v>4429</v>
      </c>
    </row>
    <row r="1407" spans="1:23" ht="12" x14ac:dyDescent="0.2">
      <c r="A1407" s="39" t="s">
        <v>16</v>
      </c>
      <c r="B1407" s="40" t="s">
        <v>414</v>
      </c>
      <c r="C1407" s="40" t="s">
        <v>7379</v>
      </c>
      <c r="D1407" s="41">
        <v>46078</v>
      </c>
      <c r="E1407" s="41">
        <v>46108</v>
      </c>
      <c r="F1407" s="41">
        <v>46091</v>
      </c>
      <c r="G1407" s="42">
        <v>-17</v>
      </c>
      <c r="H1407" s="40" t="s">
        <v>556</v>
      </c>
      <c r="I1407" s="39" t="s">
        <v>320</v>
      </c>
      <c r="J1407" s="43">
        <v>5000</v>
      </c>
      <c r="K1407" s="43">
        <v>0</v>
      </c>
      <c r="L1407" s="43">
        <v>5000</v>
      </c>
      <c r="M1407" s="44">
        <v>0</v>
      </c>
      <c r="N1407" s="44">
        <f t="shared" si="21"/>
        <v>5000</v>
      </c>
      <c r="O1407" s="44">
        <v>5000</v>
      </c>
      <c r="P1407" s="40" t="s">
        <v>7380</v>
      </c>
      <c r="Q1407" s="40" t="s">
        <v>7381</v>
      </c>
      <c r="R1407" s="40" t="s">
        <v>494</v>
      </c>
      <c r="S1407" s="40" t="s">
        <v>502</v>
      </c>
      <c r="T1407" s="40" t="s">
        <v>508</v>
      </c>
      <c r="U1407" s="40" t="s">
        <v>7382</v>
      </c>
      <c r="V1407" s="40"/>
      <c r="W1407" s="40" t="s">
        <v>7383</v>
      </c>
    </row>
    <row r="1408" spans="1:23" ht="12" x14ac:dyDescent="0.2">
      <c r="A1408" s="39" t="s">
        <v>37</v>
      </c>
      <c r="B1408" s="40" t="s">
        <v>452</v>
      </c>
      <c r="C1408" s="40" t="s">
        <v>7384</v>
      </c>
      <c r="D1408" s="41">
        <v>46078</v>
      </c>
      <c r="E1408" s="41">
        <v>46108</v>
      </c>
      <c r="F1408" s="41">
        <v>46091</v>
      </c>
      <c r="G1408" s="42">
        <v>-17</v>
      </c>
      <c r="H1408" s="40" t="s">
        <v>556</v>
      </c>
      <c r="I1408" s="39" t="s">
        <v>320</v>
      </c>
      <c r="J1408" s="43">
        <v>41156.89</v>
      </c>
      <c r="K1408" s="43">
        <v>0</v>
      </c>
      <c r="L1408" s="43">
        <v>41156.89</v>
      </c>
      <c r="M1408" s="44">
        <v>0</v>
      </c>
      <c r="N1408" s="44">
        <f t="shared" si="21"/>
        <v>41156.89</v>
      </c>
      <c r="O1408" s="44">
        <v>41156.89</v>
      </c>
      <c r="P1408" s="40" t="s">
        <v>7385</v>
      </c>
      <c r="Q1408" s="40" t="s">
        <v>7386</v>
      </c>
      <c r="R1408" s="40" t="s">
        <v>494</v>
      </c>
      <c r="S1408" s="40" t="s">
        <v>502</v>
      </c>
      <c r="T1408" s="40" t="s">
        <v>327</v>
      </c>
      <c r="U1408" s="40" t="s">
        <v>2913</v>
      </c>
      <c r="V1408" s="40"/>
      <c r="W1408" s="40" t="s">
        <v>7387</v>
      </c>
    </row>
    <row r="1409" spans="1:23" ht="12" x14ac:dyDescent="0.2">
      <c r="A1409" s="39" t="s">
        <v>1170</v>
      </c>
      <c r="B1409" s="40" t="s">
        <v>1171</v>
      </c>
      <c r="C1409" s="40" t="s">
        <v>7388</v>
      </c>
      <c r="D1409" s="41">
        <v>46078</v>
      </c>
      <c r="E1409" s="41">
        <v>46108</v>
      </c>
      <c r="F1409" s="41">
        <v>46091</v>
      </c>
      <c r="G1409" s="42">
        <v>-17</v>
      </c>
      <c r="H1409" s="40" t="s">
        <v>556</v>
      </c>
      <c r="I1409" s="39" t="s">
        <v>320</v>
      </c>
      <c r="J1409" s="43">
        <v>21231</v>
      </c>
      <c r="K1409" s="43">
        <v>0</v>
      </c>
      <c r="L1409" s="43">
        <v>21231</v>
      </c>
      <c r="M1409" s="44">
        <v>0</v>
      </c>
      <c r="N1409" s="44">
        <f t="shared" si="21"/>
        <v>21231</v>
      </c>
      <c r="O1409" s="44">
        <v>21231</v>
      </c>
      <c r="P1409" s="40" t="s">
        <v>3275</v>
      </c>
      <c r="Q1409" s="40" t="s">
        <v>3276</v>
      </c>
      <c r="R1409" s="40" t="s">
        <v>494</v>
      </c>
      <c r="S1409" s="40" t="s">
        <v>502</v>
      </c>
      <c r="T1409" s="40" t="s">
        <v>284</v>
      </c>
      <c r="U1409" s="40" t="s">
        <v>3277</v>
      </c>
      <c r="V1409" s="40"/>
      <c r="W1409" s="40" t="s">
        <v>3278</v>
      </c>
    </row>
    <row r="1410" spans="1:23" ht="12" x14ac:dyDescent="0.2">
      <c r="A1410" s="39" t="s">
        <v>22</v>
      </c>
      <c r="B1410" s="40" t="s">
        <v>326</v>
      </c>
      <c r="C1410" s="40" t="s">
        <v>7389</v>
      </c>
      <c r="D1410" s="41">
        <v>46078</v>
      </c>
      <c r="E1410" s="41">
        <v>46108</v>
      </c>
      <c r="F1410" s="41">
        <v>46091</v>
      </c>
      <c r="G1410" s="42">
        <v>-17</v>
      </c>
      <c r="H1410" s="40" t="s">
        <v>556</v>
      </c>
      <c r="I1410" s="39" t="s">
        <v>320</v>
      </c>
      <c r="J1410" s="43">
        <v>21349.599999999999</v>
      </c>
      <c r="K1410" s="43">
        <v>0</v>
      </c>
      <c r="L1410" s="43">
        <v>21349.599999999999</v>
      </c>
      <c r="M1410" s="44">
        <v>0</v>
      </c>
      <c r="N1410" s="44">
        <f t="shared" si="21"/>
        <v>21349.599999999999</v>
      </c>
      <c r="O1410" s="44">
        <v>21349.599999999999</v>
      </c>
      <c r="P1410" s="40" t="s">
        <v>7390</v>
      </c>
      <c r="Q1410" s="40" t="s">
        <v>7391</v>
      </c>
      <c r="R1410" s="40" t="s">
        <v>494</v>
      </c>
      <c r="S1410" s="40" t="s">
        <v>502</v>
      </c>
      <c r="T1410" s="40" t="s">
        <v>542</v>
      </c>
      <c r="U1410" s="40" t="s">
        <v>641</v>
      </c>
      <c r="V1410" s="40"/>
      <c r="W1410" s="40" t="s">
        <v>7392</v>
      </c>
    </row>
    <row r="1411" spans="1:23" ht="12" x14ac:dyDescent="0.2">
      <c r="A1411" s="39" t="s">
        <v>437</v>
      </c>
      <c r="B1411" s="40" t="s">
        <v>916</v>
      </c>
      <c r="C1411" s="40" t="s">
        <v>7393</v>
      </c>
      <c r="D1411" s="41">
        <v>46078</v>
      </c>
      <c r="E1411" s="41">
        <v>46108</v>
      </c>
      <c r="F1411" s="41">
        <v>46091</v>
      </c>
      <c r="G1411" s="42">
        <v>-17</v>
      </c>
      <c r="H1411" s="40" t="s">
        <v>556</v>
      </c>
      <c r="I1411" s="39" t="s">
        <v>320</v>
      </c>
      <c r="J1411" s="43">
        <v>20547.27</v>
      </c>
      <c r="K1411" s="43">
        <v>0</v>
      </c>
      <c r="L1411" s="43">
        <v>20547.27</v>
      </c>
      <c r="M1411" s="44">
        <v>0</v>
      </c>
      <c r="N1411" s="44">
        <f t="shared" ref="N1411:N1474" si="22">IF(I1411="GBP",L1411-K1411,O1411-K1411)</f>
        <v>20547.27</v>
      </c>
      <c r="O1411" s="44">
        <v>20547.27</v>
      </c>
      <c r="P1411" s="40" t="s">
        <v>7394</v>
      </c>
      <c r="Q1411" s="40" t="s">
        <v>7395</v>
      </c>
      <c r="R1411" s="40" t="s">
        <v>494</v>
      </c>
      <c r="S1411" s="40" t="s">
        <v>502</v>
      </c>
      <c r="T1411" s="40" t="s">
        <v>363</v>
      </c>
      <c r="U1411" s="40" t="s">
        <v>7396</v>
      </c>
      <c r="V1411" s="40"/>
      <c r="W1411" s="40" t="s">
        <v>7397</v>
      </c>
    </row>
    <row r="1412" spans="1:23" ht="12" x14ac:dyDescent="0.2">
      <c r="A1412" s="39" t="s">
        <v>1293</v>
      </c>
      <c r="B1412" s="40" t="s">
        <v>1294</v>
      </c>
      <c r="C1412" s="40" t="s">
        <v>7398</v>
      </c>
      <c r="D1412" s="41">
        <v>46078</v>
      </c>
      <c r="E1412" s="41">
        <v>46108</v>
      </c>
      <c r="F1412" s="41">
        <v>46091</v>
      </c>
      <c r="G1412" s="42">
        <v>-17</v>
      </c>
      <c r="H1412" s="40" t="s">
        <v>556</v>
      </c>
      <c r="I1412" s="39" t="s">
        <v>320</v>
      </c>
      <c r="J1412" s="43">
        <v>18664.14</v>
      </c>
      <c r="K1412" s="43">
        <v>0</v>
      </c>
      <c r="L1412" s="43">
        <v>18664.14</v>
      </c>
      <c r="M1412" s="44">
        <v>0</v>
      </c>
      <c r="N1412" s="44">
        <f t="shared" si="22"/>
        <v>18664.14</v>
      </c>
      <c r="O1412" s="44">
        <v>18664.14</v>
      </c>
      <c r="P1412" s="40" t="s">
        <v>7399</v>
      </c>
      <c r="Q1412" s="40" t="s">
        <v>7400</v>
      </c>
      <c r="R1412" s="40" t="s">
        <v>494</v>
      </c>
      <c r="S1412" s="40" t="s">
        <v>502</v>
      </c>
      <c r="T1412" s="40" t="s">
        <v>327</v>
      </c>
      <c r="U1412" s="40" t="s">
        <v>870</v>
      </c>
      <c r="V1412" s="40"/>
      <c r="W1412" s="40" t="s">
        <v>321</v>
      </c>
    </row>
    <row r="1413" spans="1:23" ht="12" x14ac:dyDescent="0.2">
      <c r="A1413" s="39" t="s">
        <v>337</v>
      </c>
      <c r="B1413" s="40" t="s">
        <v>336</v>
      </c>
      <c r="C1413" s="40" t="s">
        <v>7401</v>
      </c>
      <c r="D1413" s="41">
        <v>46078</v>
      </c>
      <c r="E1413" s="41">
        <v>46108</v>
      </c>
      <c r="F1413" s="41">
        <v>46091</v>
      </c>
      <c r="G1413" s="42">
        <v>-17</v>
      </c>
      <c r="H1413" s="40" t="s">
        <v>556</v>
      </c>
      <c r="I1413" s="39" t="s">
        <v>320</v>
      </c>
      <c r="J1413" s="43">
        <v>9865.9500000000007</v>
      </c>
      <c r="K1413" s="43">
        <v>0</v>
      </c>
      <c r="L1413" s="43">
        <v>9865.9500000000007</v>
      </c>
      <c r="M1413" s="44">
        <v>0</v>
      </c>
      <c r="N1413" s="44">
        <f t="shared" si="22"/>
        <v>9865.9500000000007</v>
      </c>
      <c r="O1413" s="44">
        <v>9865.9500000000007</v>
      </c>
      <c r="P1413" s="40" t="s">
        <v>7402</v>
      </c>
      <c r="Q1413" s="40" t="s">
        <v>7403</v>
      </c>
      <c r="R1413" s="40" t="s">
        <v>494</v>
      </c>
      <c r="S1413" s="40" t="s">
        <v>502</v>
      </c>
      <c r="T1413" s="40" t="s">
        <v>273</v>
      </c>
      <c r="U1413" s="40" t="s">
        <v>7404</v>
      </c>
      <c r="V1413" s="40"/>
      <c r="W1413" s="40" t="s">
        <v>7405</v>
      </c>
    </row>
    <row r="1414" spans="1:23" ht="12" x14ac:dyDescent="0.2">
      <c r="A1414" s="39" t="s">
        <v>454</v>
      </c>
      <c r="B1414" s="40" t="s">
        <v>1202</v>
      </c>
      <c r="C1414" s="40" t="s">
        <v>7406</v>
      </c>
      <c r="D1414" s="41">
        <v>46078</v>
      </c>
      <c r="E1414" s="41">
        <v>46108</v>
      </c>
      <c r="F1414" s="41">
        <v>46091</v>
      </c>
      <c r="G1414" s="42">
        <v>-17</v>
      </c>
      <c r="H1414" s="40" t="s">
        <v>556</v>
      </c>
      <c r="I1414" s="39" t="s">
        <v>320</v>
      </c>
      <c r="J1414" s="43">
        <v>31089.45</v>
      </c>
      <c r="K1414" s="43">
        <v>0</v>
      </c>
      <c r="L1414" s="43">
        <v>31089.45</v>
      </c>
      <c r="M1414" s="44">
        <v>0</v>
      </c>
      <c r="N1414" s="44">
        <f t="shared" si="22"/>
        <v>31089.45</v>
      </c>
      <c r="O1414" s="44">
        <v>31089.45</v>
      </c>
      <c r="P1414" s="40" t="s">
        <v>7407</v>
      </c>
      <c r="Q1414" s="40" t="s">
        <v>7408</v>
      </c>
      <c r="R1414" s="40" t="s">
        <v>494</v>
      </c>
      <c r="S1414" s="40" t="s">
        <v>502</v>
      </c>
      <c r="T1414" s="40" t="s">
        <v>218</v>
      </c>
      <c r="U1414" s="40" t="s">
        <v>2967</v>
      </c>
      <c r="V1414" s="40"/>
      <c r="W1414" s="40" t="s">
        <v>7409</v>
      </c>
    </row>
    <row r="1415" spans="1:23" ht="12" x14ac:dyDescent="0.2">
      <c r="A1415" s="39" t="s">
        <v>2556</v>
      </c>
      <c r="B1415" s="40" t="s">
        <v>2557</v>
      </c>
      <c r="C1415" s="40" t="s">
        <v>7410</v>
      </c>
      <c r="D1415" s="41">
        <v>46078</v>
      </c>
      <c r="E1415" s="41">
        <v>46108</v>
      </c>
      <c r="F1415" s="41">
        <v>46091</v>
      </c>
      <c r="G1415" s="42">
        <v>-17</v>
      </c>
      <c r="H1415" s="40" t="s">
        <v>556</v>
      </c>
      <c r="I1415" s="39" t="s">
        <v>320</v>
      </c>
      <c r="J1415" s="43">
        <v>8900</v>
      </c>
      <c r="K1415" s="43">
        <v>0</v>
      </c>
      <c r="L1415" s="43">
        <v>8900</v>
      </c>
      <c r="M1415" s="44">
        <v>0</v>
      </c>
      <c r="N1415" s="44">
        <f t="shared" si="22"/>
        <v>8900</v>
      </c>
      <c r="O1415" s="44">
        <v>8900</v>
      </c>
      <c r="P1415" s="40" t="s">
        <v>2705</v>
      </c>
      <c r="Q1415" s="40" t="s">
        <v>2706</v>
      </c>
      <c r="R1415" s="40" t="s">
        <v>494</v>
      </c>
      <c r="S1415" s="40" t="s">
        <v>502</v>
      </c>
      <c r="T1415" s="40" t="s">
        <v>209</v>
      </c>
      <c r="U1415" s="40" t="s">
        <v>3717</v>
      </c>
      <c r="V1415" s="40"/>
      <c r="W1415" s="40" t="s">
        <v>2707</v>
      </c>
    </row>
    <row r="1416" spans="1:23" ht="12" x14ac:dyDescent="0.2">
      <c r="A1416" s="39" t="s">
        <v>2556</v>
      </c>
      <c r="B1416" s="40" t="s">
        <v>2557</v>
      </c>
      <c r="C1416" s="40" t="s">
        <v>7411</v>
      </c>
      <c r="D1416" s="41">
        <v>46078</v>
      </c>
      <c r="E1416" s="41">
        <v>46108</v>
      </c>
      <c r="F1416" s="41">
        <v>46091</v>
      </c>
      <c r="G1416" s="42">
        <v>-17</v>
      </c>
      <c r="H1416" s="40" t="s">
        <v>556</v>
      </c>
      <c r="I1416" s="39" t="s">
        <v>320</v>
      </c>
      <c r="J1416" s="43">
        <v>8900</v>
      </c>
      <c r="K1416" s="43">
        <v>0</v>
      </c>
      <c r="L1416" s="43">
        <v>8900</v>
      </c>
      <c r="M1416" s="44">
        <v>0</v>
      </c>
      <c r="N1416" s="44">
        <f t="shared" si="22"/>
        <v>8900</v>
      </c>
      <c r="O1416" s="44">
        <v>8900</v>
      </c>
      <c r="P1416" s="40" t="s">
        <v>2705</v>
      </c>
      <c r="Q1416" s="40" t="s">
        <v>2706</v>
      </c>
      <c r="R1416" s="40" t="s">
        <v>494</v>
      </c>
      <c r="S1416" s="40" t="s">
        <v>502</v>
      </c>
      <c r="T1416" s="40" t="s">
        <v>209</v>
      </c>
      <c r="U1416" s="40" t="s">
        <v>3717</v>
      </c>
      <c r="V1416" s="40"/>
      <c r="W1416" s="40" t="s">
        <v>2707</v>
      </c>
    </row>
    <row r="1417" spans="1:23" ht="12" x14ac:dyDescent="0.2">
      <c r="A1417" s="39" t="s">
        <v>651</v>
      </c>
      <c r="B1417" s="40" t="s">
        <v>652</v>
      </c>
      <c r="C1417" s="40" t="s">
        <v>7412</v>
      </c>
      <c r="D1417" s="41">
        <v>46078</v>
      </c>
      <c r="E1417" s="41">
        <v>46108</v>
      </c>
      <c r="F1417" s="41">
        <v>46091</v>
      </c>
      <c r="G1417" s="42">
        <v>-17</v>
      </c>
      <c r="H1417" s="40" t="s">
        <v>556</v>
      </c>
      <c r="I1417" s="39" t="s">
        <v>320</v>
      </c>
      <c r="J1417" s="43">
        <v>21923.87</v>
      </c>
      <c r="K1417" s="43">
        <v>0</v>
      </c>
      <c r="L1417" s="43">
        <v>21923.87</v>
      </c>
      <c r="M1417" s="44">
        <v>0</v>
      </c>
      <c r="N1417" s="44">
        <f t="shared" si="22"/>
        <v>21923.87</v>
      </c>
      <c r="O1417" s="44">
        <v>21923.87</v>
      </c>
      <c r="P1417" s="40" t="s">
        <v>7413</v>
      </c>
      <c r="Q1417" s="40" t="s">
        <v>7414</v>
      </c>
      <c r="R1417" s="40" t="s">
        <v>494</v>
      </c>
      <c r="S1417" s="40" t="s">
        <v>502</v>
      </c>
      <c r="T1417" s="40" t="s">
        <v>363</v>
      </c>
      <c r="U1417" s="40" t="s">
        <v>7415</v>
      </c>
      <c r="V1417" s="40"/>
      <c r="W1417" s="40" t="s">
        <v>7416</v>
      </c>
    </row>
    <row r="1418" spans="1:23" ht="12" x14ac:dyDescent="0.2">
      <c r="A1418" s="39" t="s">
        <v>911</v>
      </c>
      <c r="B1418" s="40" t="s">
        <v>912</v>
      </c>
      <c r="C1418" s="40" t="s">
        <v>7417</v>
      </c>
      <c r="D1418" s="41">
        <v>46078</v>
      </c>
      <c r="E1418" s="41">
        <v>46108</v>
      </c>
      <c r="F1418" s="41">
        <v>46091</v>
      </c>
      <c r="G1418" s="42">
        <v>-17</v>
      </c>
      <c r="H1418" s="40" t="s">
        <v>556</v>
      </c>
      <c r="I1418" s="39" t="s">
        <v>323</v>
      </c>
      <c r="J1418" s="43">
        <v>148258.41</v>
      </c>
      <c r="K1418" s="43">
        <v>0</v>
      </c>
      <c r="L1418" s="43">
        <v>148258.41</v>
      </c>
      <c r="M1418" s="44">
        <v>0</v>
      </c>
      <c r="N1418" s="44">
        <f t="shared" si="22"/>
        <v>118606.73</v>
      </c>
      <c r="O1418" s="44">
        <v>118606.73</v>
      </c>
      <c r="P1418" s="40" t="s">
        <v>2273</v>
      </c>
      <c r="Q1418" s="40" t="s">
        <v>2274</v>
      </c>
      <c r="R1418" s="40" t="s">
        <v>494</v>
      </c>
      <c r="S1418" s="40" t="s">
        <v>502</v>
      </c>
      <c r="T1418" s="40" t="s">
        <v>501</v>
      </c>
      <c r="U1418" s="40" t="s">
        <v>2275</v>
      </c>
      <c r="V1418" s="40"/>
      <c r="W1418" s="40" t="s">
        <v>2276</v>
      </c>
    </row>
    <row r="1419" spans="1:23" ht="12" x14ac:dyDescent="0.2">
      <c r="A1419" s="39" t="s">
        <v>1070</v>
      </c>
      <c r="B1419" s="40" t="s">
        <v>364</v>
      </c>
      <c r="C1419" s="40" t="s">
        <v>7418</v>
      </c>
      <c r="D1419" s="41">
        <v>46078</v>
      </c>
      <c r="E1419" s="41">
        <v>46108</v>
      </c>
      <c r="F1419" s="41">
        <v>46091</v>
      </c>
      <c r="G1419" s="42">
        <v>-17</v>
      </c>
      <c r="H1419" s="40" t="s">
        <v>556</v>
      </c>
      <c r="I1419" s="39" t="s">
        <v>320</v>
      </c>
      <c r="J1419" s="43">
        <v>7226</v>
      </c>
      <c r="K1419" s="43">
        <v>0</v>
      </c>
      <c r="L1419" s="43">
        <v>7226</v>
      </c>
      <c r="M1419" s="44">
        <v>0</v>
      </c>
      <c r="N1419" s="44">
        <f t="shared" si="22"/>
        <v>7226</v>
      </c>
      <c r="O1419" s="44">
        <v>7226</v>
      </c>
      <c r="P1419" s="40" t="s">
        <v>2214</v>
      </c>
      <c r="Q1419" s="40" t="s">
        <v>2215</v>
      </c>
      <c r="R1419" s="40" t="s">
        <v>494</v>
      </c>
      <c r="S1419" s="40" t="s">
        <v>502</v>
      </c>
      <c r="T1419" s="40" t="s">
        <v>190</v>
      </c>
      <c r="U1419" s="40" t="s">
        <v>2216</v>
      </c>
      <c r="V1419" s="40"/>
      <c r="W1419" s="40" t="s">
        <v>2217</v>
      </c>
    </row>
    <row r="1420" spans="1:23" ht="12" x14ac:dyDescent="0.2">
      <c r="A1420" s="39" t="s">
        <v>25</v>
      </c>
      <c r="B1420" s="40" t="s">
        <v>464</v>
      </c>
      <c r="C1420" s="40" t="s">
        <v>7419</v>
      </c>
      <c r="D1420" s="41">
        <v>46078</v>
      </c>
      <c r="E1420" s="41">
        <v>46108</v>
      </c>
      <c r="F1420" s="41">
        <v>46091</v>
      </c>
      <c r="G1420" s="42">
        <v>-17</v>
      </c>
      <c r="H1420" s="40" t="s">
        <v>556</v>
      </c>
      <c r="I1420" s="39" t="s">
        <v>320</v>
      </c>
      <c r="J1420" s="43">
        <v>20641.09</v>
      </c>
      <c r="K1420" s="43">
        <v>0</v>
      </c>
      <c r="L1420" s="43">
        <v>20641.09</v>
      </c>
      <c r="M1420" s="44">
        <v>0</v>
      </c>
      <c r="N1420" s="44">
        <f t="shared" si="22"/>
        <v>20641.09</v>
      </c>
      <c r="O1420" s="44">
        <v>20641.09</v>
      </c>
      <c r="P1420" s="40" t="s">
        <v>3120</v>
      </c>
      <c r="Q1420" s="40" t="s">
        <v>3121</v>
      </c>
      <c r="R1420" s="40" t="s">
        <v>494</v>
      </c>
      <c r="S1420" s="40" t="s">
        <v>502</v>
      </c>
      <c r="T1420" s="40" t="s">
        <v>165</v>
      </c>
      <c r="U1420" s="40" t="s">
        <v>3122</v>
      </c>
      <c r="V1420" s="40"/>
      <c r="W1420" s="40" t="s">
        <v>3123</v>
      </c>
    </row>
    <row r="1421" spans="1:23" ht="12" x14ac:dyDescent="0.2">
      <c r="A1421" s="39" t="s">
        <v>34</v>
      </c>
      <c r="B1421" s="40" t="s">
        <v>465</v>
      </c>
      <c r="C1421" s="40" t="s">
        <v>7420</v>
      </c>
      <c r="D1421" s="41">
        <v>46078</v>
      </c>
      <c r="E1421" s="41">
        <v>46108</v>
      </c>
      <c r="F1421" s="41">
        <v>46091</v>
      </c>
      <c r="G1421" s="42">
        <v>-17</v>
      </c>
      <c r="H1421" s="40" t="s">
        <v>556</v>
      </c>
      <c r="I1421" s="39" t="s">
        <v>320</v>
      </c>
      <c r="J1421" s="43">
        <v>26230.59</v>
      </c>
      <c r="K1421" s="43">
        <v>0</v>
      </c>
      <c r="L1421" s="43">
        <v>26230.59</v>
      </c>
      <c r="M1421" s="44">
        <v>0</v>
      </c>
      <c r="N1421" s="44">
        <f t="shared" si="22"/>
        <v>26230.59</v>
      </c>
      <c r="O1421" s="44">
        <v>26230.59</v>
      </c>
      <c r="P1421" s="40" t="s">
        <v>1856</v>
      </c>
      <c r="Q1421" s="40" t="s">
        <v>1857</v>
      </c>
      <c r="R1421" s="40" t="s">
        <v>494</v>
      </c>
      <c r="S1421" s="40" t="s">
        <v>502</v>
      </c>
      <c r="T1421" s="40" t="s">
        <v>287</v>
      </c>
      <c r="U1421" s="40" t="s">
        <v>871</v>
      </c>
      <c r="V1421" s="40"/>
      <c r="W1421" s="40" t="s">
        <v>321</v>
      </c>
    </row>
    <row r="1422" spans="1:23" ht="12" x14ac:dyDescent="0.2">
      <c r="A1422" s="39" t="s">
        <v>1181</v>
      </c>
      <c r="B1422" s="40" t="s">
        <v>1182</v>
      </c>
      <c r="C1422" s="40" t="s">
        <v>7421</v>
      </c>
      <c r="D1422" s="41">
        <v>46078</v>
      </c>
      <c r="E1422" s="41">
        <v>46108</v>
      </c>
      <c r="F1422" s="41">
        <v>46091</v>
      </c>
      <c r="G1422" s="42">
        <v>-17</v>
      </c>
      <c r="H1422" s="40" t="s">
        <v>556</v>
      </c>
      <c r="I1422" s="39" t="s">
        <v>320</v>
      </c>
      <c r="J1422" s="43">
        <v>97550.7</v>
      </c>
      <c r="K1422" s="43">
        <v>0</v>
      </c>
      <c r="L1422" s="43">
        <v>97550.7</v>
      </c>
      <c r="M1422" s="44">
        <v>0</v>
      </c>
      <c r="N1422" s="44">
        <f t="shared" si="22"/>
        <v>97550.7</v>
      </c>
      <c r="O1422" s="44">
        <v>97550.7</v>
      </c>
      <c r="P1422" s="40" t="s">
        <v>3227</v>
      </c>
      <c r="Q1422" s="40" t="s">
        <v>3228</v>
      </c>
      <c r="R1422" s="40" t="s">
        <v>494</v>
      </c>
      <c r="S1422" s="40" t="s">
        <v>502</v>
      </c>
      <c r="T1422" s="40" t="s">
        <v>327</v>
      </c>
      <c r="U1422" s="40" t="s">
        <v>635</v>
      </c>
      <c r="V1422" s="40"/>
      <c r="W1422" s="40" t="s">
        <v>7422</v>
      </c>
    </row>
    <row r="1423" spans="1:23" ht="12" x14ac:dyDescent="0.2">
      <c r="A1423" s="39" t="s">
        <v>299</v>
      </c>
      <c r="B1423" s="40" t="s">
        <v>3876</v>
      </c>
      <c r="C1423" s="40" t="s">
        <v>7423</v>
      </c>
      <c r="D1423" s="41">
        <v>46078</v>
      </c>
      <c r="E1423" s="41">
        <v>46108</v>
      </c>
      <c r="F1423" s="41">
        <v>46091</v>
      </c>
      <c r="G1423" s="42">
        <v>-17</v>
      </c>
      <c r="H1423" s="40" t="s">
        <v>556</v>
      </c>
      <c r="I1423" s="39" t="s">
        <v>320</v>
      </c>
      <c r="J1423" s="43">
        <v>23978.49</v>
      </c>
      <c r="K1423" s="43">
        <v>0</v>
      </c>
      <c r="L1423" s="43">
        <v>23978.49</v>
      </c>
      <c r="M1423" s="44">
        <v>0</v>
      </c>
      <c r="N1423" s="44">
        <f t="shared" si="22"/>
        <v>23978.49</v>
      </c>
      <c r="O1423" s="44">
        <v>23978.49</v>
      </c>
      <c r="P1423" s="40" t="s">
        <v>7424</v>
      </c>
      <c r="Q1423" s="40" t="s">
        <v>7425</v>
      </c>
      <c r="R1423" s="40" t="s">
        <v>494</v>
      </c>
      <c r="S1423" s="40" t="s">
        <v>502</v>
      </c>
      <c r="T1423" s="40" t="s">
        <v>218</v>
      </c>
      <c r="U1423" s="40" t="s">
        <v>1166</v>
      </c>
      <c r="V1423" s="40"/>
      <c r="W1423" s="40" t="s">
        <v>321</v>
      </c>
    </row>
    <row r="1424" spans="1:23" ht="12" x14ac:dyDescent="0.2">
      <c r="A1424" s="39" t="s">
        <v>1217</v>
      </c>
      <c r="B1424" s="40" t="s">
        <v>1218</v>
      </c>
      <c r="C1424" s="40" t="s">
        <v>7426</v>
      </c>
      <c r="D1424" s="41">
        <v>46078</v>
      </c>
      <c r="E1424" s="41">
        <v>46108</v>
      </c>
      <c r="F1424" s="41">
        <v>46091</v>
      </c>
      <c r="G1424" s="42">
        <v>-17</v>
      </c>
      <c r="H1424" s="40" t="s">
        <v>556</v>
      </c>
      <c r="I1424" s="39" t="s">
        <v>320</v>
      </c>
      <c r="J1424" s="43">
        <v>2812</v>
      </c>
      <c r="K1424" s="43">
        <v>0</v>
      </c>
      <c r="L1424" s="43">
        <v>2812</v>
      </c>
      <c r="M1424" s="44">
        <v>0</v>
      </c>
      <c r="N1424" s="44">
        <f t="shared" si="22"/>
        <v>2812</v>
      </c>
      <c r="O1424" s="44">
        <v>2812</v>
      </c>
      <c r="P1424" s="40" t="s">
        <v>7427</v>
      </c>
      <c r="Q1424" s="40" t="s">
        <v>7428</v>
      </c>
      <c r="R1424" s="40" t="s">
        <v>494</v>
      </c>
      <c r="S1424" s="40" t="s">
        <v>502</v>
      </c>
      <c r="T1424" s="40" t="s">
        <v>514</v>
      </c>
      <c r="U1424" s="40" t="s">
        <v>1219</v>
      </c>
      <c r="V1424" s="40"/>
      <c r="W1424" s="40" t="s">
        <v>7429</v>
      </c>
    </row>
    <row r="1425" spans="1:23" ht="12" x14ac:dyDescent="0.2">
      <c r="A1425" s="39" t="s">
        <v>1909</v>
      </c>
      <c r="B1425" s="40" t="s">
        <v>1910</v>
      </c>
      <c r="C1425" s="40" t="s">
        <v>7430</v>
      </c>
      <c r="D1425" s="41">
        <v>46078</v>
      </c>
      <c r="E1425" s="41">
        <v>46108</v>
      </c>
      <c r="F1425" s="41">
        <v>46091</v>
      </c>
      <c r="G1425" s="42">
        <v>-17</v>
      </c>
      <c r="H1425" s="40" t="s">
        <v>556</v>
      </c>
      <c r="I1425" s="39" t="s">
        <v>320</v>
      </c>
      <c r="J1425" s="43">
        <v>60400.01</v>
      </c>
      <c r="K1425" s="43">
        <v>0</v>
      </c>
      <c r="L1425" s="43">
        <v>60400.01</v>
      </c>
      <c r="M1425" s="44">
        <v>0</v>
      </c>
      <c r="N1425" s="44">
        <f t="shared" si="22"/>
        <v>60400.01</v>
      </c>
      <c r="O1425" s="44">
        <v>60400.01</v>
      </c>
      <c r="P1425" s="40" t="s">
        <v>2554</v>
      </c>
      <c r="Q1425" s="40" t="s">
        <v>2555</v>
      </c>
      <c r="R1425" s="40" t="s">
        <v>494</v>
      </c>
      <c r="S1425" s="40" t="s">
        <v>502</v>
      </c>
      <c r="T1425" s="40" t="s">
        <v>284</v>
      </c>
      <c r="U1425" s="40" t="s">
        <v>803</v>
      </c>
      <c r="V1425" s="40"/>
      <c r="W1425" s="40" t="s">
        <v>1911</v>
      </c>
    </row>
    <row r="1426" spans="1:23" ht="12" x14ac:dyDescent="0.2">
      <c r="A1426" s="39" t="s">
        <v>7431</v>
      </c>
      <c r="B1426" s="40" t="s">
        <v>7432</v>
      </c>
      <c r="C1426" s="40" t="s">
        <v>7433</v>
      </c>
      <c r="D1426" s="41">
        <v>46078</v>
      </c>
      <c r="E1426" s="41">
        <v>46108</v>
      </c>
      <c r="F1426" s="41">
        <v>46091</v>
      </c>
      <c r="G1426" s="42">
        <v>-17</v>
      </c>
      <c r="H1426" s="40" t="s">
        <v>556</v>
      </c>
      <c r="I1426" s="39" t="s">
        <v>320</v>
      </c>
      <c r="J1426" s="43">
        <v>31231.599999999999</v>
      </c>
      <c r="K1426" s="43">
        <v>0</v>
      </c>
      <c r="L1426" s="43">
        <v>31231.599999999999</v>
      </c>
      <c r="M1426" s="44">
        <v>0</v>
      </c>
      <c r="N1426" s="44">
        <f t="shared" si="22"/>
        <v>31231.599999999999</v>
      </c>
      <c r="O1426" s="44">
        <v>31231.599999999999</v>
      </c>
      <c r="P1426" s="40" t="s">
        <v>7434</v>
      </c>
      <c r="Q1426" s="40" t="s">
        <v>7435</v>
      </c>
      <c r="R1426" s="40" t="s">
        <v>494</v>
      </c>
      <c r="S1426" s="40" t="s">
        <v>502</v>
      </c>
      <c r="T1426" s="40" t="s">
        <v>508</v>
      </c>
      <c r="U1426" s="40" t="s">
        <v>7436</v>
      </c>
      <c r="V1426" s="40"/>
      <c r="W1426" s="40" t="s">
        <v>7437</v>
      </c>
    </row>
    <row r="1427" spans="1:23" ht="12" x14ac:dyDescent="0.2">
      <c r="A1427" s="39" t="s">
        <v>337</v>
      </c>
      <c r="B1427" s="40" t="s">
        <v>336</v>
      </c>
      <c r="C1427" s="40" t="s">
        <v>7438</v>
      </c>
      <c r="D1427" s="41">
        <v>46078</v>
      </c>
      <c r="E1427" s="41">
        <v>46108</v>
      </c>
      <c r="F1427" s="41">
        <v>46091</v>
      </c>
      <c r="G1427" s="42">
        <v>-17</v>
      </c>
      <c r="H1427" s="40" t="s">
        <v>556</v>
      </c>
      <c r="I1427" s="39" t="s">
        <v>320</v>
      </c>
      <c r="J1427" s="43">
        <v>21708.51</v>
      </c>
      <c r="K1427" s="43">
        <v>0</v>
      </c>
      <c r="L1427" s="43">
        <v>21708.51</v>
      </c>
      <c r="M1427" s="44">
        <v>0</v>
      </c>
      <c r="N1427" s="44">
        <f t="shared" si="22"/>
        <v>21708.51</v>
      </c>
      <c r="O1427" s="44">
        <v>21708.51</v>
      </c>
      <c r="P1427" s="40" t="s">
        <v>7439</v>
      </c>
      <c r="Q1427" s="40" t="s">
        <v>7440</v>
      </c>
      <c r="R1427" s="40" t="s">
        <v>494</v>
      </c>
      <c r="S1427" s="40" t="s">
        <v>502</v>
      </c>
      <c r="T1427" s="40" t="s">
        <v>514</v>
      </c>
      <c r="U1427" s="40" t="s">
        <v>7441</v>
      </c>
      <c r="V1427" s="40"/>
      <c r="W1427" s="40" t="s">
        <v>7442</v>
      </c>
    </row>
    <row r="1428" spans="1:23" ht="12" x14ac:dyDescent="0.2">
      <c r="A1428" s="39" t="s">
        <v>1314</v>
      </c>
      <c r="B1428" s="40" t="s">
        <v>1315</v>
      </c>
      <c r="C1428" s="40" t="s">
        <v>7443</v>
      </c>
      <c r="D1428" s="41">
        <v>46078</v>
      </c>
      <c r="E1428" s="41">
        <v>46108</v>
      </c>
      <c r="F1428" s="41">
        <v>46091</v>
      </c>
      <c r="G1428" s="42">
        <v>-17</v>
      </c>
      <c r="H1428" s="40" t="s">
        <v>556</v>
      </c>
      <c r="I1428" s="39" t="s">
        <v>320</v>
      </c>
      <c r="J1428" s="43">
        <v>14256.53</v>
      </c>
      <c r="K1428" s="43">
        <v>0</v>
      </c>
      <c r="L1428" s="43">
        <v>14256.53</v>
      </c>
      <c r="M1428" s="44">
        <v>0</v>
      </c>
      <c r="N1428" s="44">
        <f t="shared" si="22"/>
        <v>14256.53</v>
      </c>
      <c r="O1428" s="44">
        <v>14256.53</v>
      </c>
      <c r="P1428" s="40" t="s">
        <v>7444</v>
      </c>
      <c r="Q1428" s="40" t="s">
        <v>7445</v>
      </c>
      <c r="R1428" s="40" t="s">
        <v>494</v>
      </c>
      <c r="S1428" s="40" t="s">
        <v>502</v>
      </c>
      <c r="T1428" s="40" t="s">
        <v>508</v>
      </c>
      <c r="U1428" s="40" t="s">
        <v>7446</v>
      </c>
      <c r="V1428" s="40"/>
      <c r="W1428" s="40" t="s">
        <v>7447</v>
      </c>
    </row>
    <row r="1429" spans="1:23" ht="12" x14ac:dyDescent="0.2">
      <c r="A1429" s="39" t="s">
        <v>6237</v>
      </c>
      <c r="B1429" s="40" t="s">
        <v>6238</v>
      </c>
      <c r="C1429" s="40" t="s">
        <v>7448</v>
      </c>
      <c r="D1429" s="41">
        <v>46078</v>
      </c>
      <c r="E1429" s="41">
        <v>46108</v>
      </c>
      <c r="F1429" s="41">
        <v>46091</v>
      </c>
      <c r="G1429" s="42">
        <v>-17</v>
      </c>
      <c r="H1429" s="40" t="s">
        <v>556</v>
      </c>
      <c r="I1429" s="39" t="s">
        <v>320</v>
      </c>
      <c r="J1429" s="43">
        <v>74873.279999999999</v>
      </c>
      <c r="K1429" s="43">
        <v>0</v>
      </c>
      <c r="L1429" s="43">
        <v>74873.279999999999</v>
      </c>
      <c r="M1429" s="44">
        <v>0</v>
      </c>
      <c r="N1429" s="44">
        <f t="shared" si="22"/>
        <v>74873.279999999999</v>
      </c>
      <c r="O1429" s="44">
        <v>74873.279999999999</v>
      </c>
      <c r="P1429" s="40" t="s">
        <v>7449</v>
      </c>
      <c r="Q1429" s="40" t="s">
        <v>7450</v>
      </c>
      <c r="R1429" s="40" t="s">
        <v>494</v>
      </c>
      <c r="S1429" s="40" t="s">
        <v>502</v>
      </c>
      <c r="T1429" s="40" t="s">
        <v>198</v>
      </c>
      <c r="U1429" s="40" t="s">
        <v>7451</v>
      </c>
      <c r="V1429" s="40"/>
      <c r="W1429" s="40" t="s">
        <v>7452</v>
      </c>
    </row>
    <row r="1430" spans="1:23" ht="12" x14ac:dyDescent="0.2">
      <c r="A1430" s="39" t="s">
        <v>1148</v>
      </c>
      <c r="B1430" s="40" t="s">
        <v>2884</v>
      </c>
      <c r="C1430" s="40" t="s">
        <v>7453</v>
      </c>
      <c r="D1430" s="41">
        <v>46078</v>
      </c>
      <c r="E1430" s="41">
        <v>46108</v>
      </c>
      <c r="F1430" s="41">
        <v>46091</v>
      </c>
      <c r="G1430" s="42">
        <v>-17</v>
      </c>
      <c r="H1430" s="40" t="s">
        <v>556</v>
      </c>
      <c r="I1430" s="39" t="s">
        <v>320</v>
      </c>
      <c r="J1430" s="43">
        <v>36098.89</v>
      </c>
      <c r="K1430" s="43">
        <v>0</v>
      </c>
      <c r="L1430" s="43">
        <v>36098.89</v>
      </c>
      <c r="M1430" s="44">
        <v>0</v>
      </c>
      <c r="N1430" s="44">
        <f t="shared" si="22"/>
        <v>36098.89</v>
      </c>
      <c r="O1430" s="44">
        <v>36098.89</v>
      </c>
      <c r="P1430" s="40" t="s">
        <v>2942</v>
      </c>
      <c r="Q1430" s="40" t="s">
        <v>2943</v>
      </c>
      <c r="R1430" s="40" t="s">
        <v>494</v>
      </c>
      <c r="S1430" s="40" t="s">
        <v>502</v>
      </c>
      <c r="T1430" s="40" t="s">
        <v>327</v>
      </c>
      <c r="U1430" s="40" t="s">
        <v>550</v>
      </c>
      <c r="V1430" s="40"/>
      <c r="W1430" s="40" t="s">
        <v>2944</v>
      </c>
    </row>
    <row r="1431" spans="1:23" ht="12" x14ac:dyDescent="0.2">
      <c r="A1431" s="39" t="s">
        <v>52</v>
      </c>
      <c r="B1431" s="40" t="s">
        <v>472</v>
      </c>
      <c r="C1431" s="40" t="s">
        <v>7454</v>
      </c>
      <c r="D1431" s="41">
        <v>46078</v>
      </c>
      <c r="E1431" s="41">
        <v>46108</v>
      </c>
      <c r="F1431" s="41">
        <v>46091</v>
      </c>
      <c r="G1431" s="42">
        <v>-17</v>
      </c>
      <c r="H1431" s="40" t="s">
        <v>556</v>
      </c>
      <c r="I1431" s="39" t="s">
        <v>320</v>
      </c>
      <c r="J1431" s="43">
        <v>304.35000000000002</v>
      </c>
      <c r="K1431" s="43">
        <v>0</v>
      </c>
      <c r="L1431" s="43">
        <v>304.35000000000002</v>
      </c>
      <c r="M1431" s="44">
        <v>0</v>
      </c>
      <c r="N1431" s="44">
        <f t="shared" si="22"/>
        <v>304.35000000000002</v>
      </c>
      <c r="O1431" s="44">
        <v>304.35000000000002</v>
      </c>
      <c r="P1431" s="40" t="s">
        <v>3184</v>
      </c>
      <c r="Q1431" s="40" t="s">
        <v>3185</v>
      </c>
      <c r="R1431" s="40" t="s">
        <v>494</v>
      </c>
      <c r="S1431" s="40" t="s">
        <v>502</v>
      </c>
      <c r="T1431" s="40" t="s">
        <v>280</v>
      </c>
      <c r="U1431" s="40" t="s">
        <v>759</v>
      </c>
      <c r="V1431" s="40"/>
      <c r="W1431" s="40" t="s">
        <v>3186</v>
      </c>
    </row>
    <row r="1432" spans="1:23" ht="12" x14ac:dyDescent="0.2">
      <c r="A1432" s="39" t="s">
        <v>357</v>
      </c>
      <c r="B1432" s="40" t="s">
        <v>356</v>
      </c>
      <c r="C1432" s="40" t="s">
        <v>7455</v>
      </c>
      <c r="D1432" s="41">
        <v>46078</v>
      </c>
      <c r="E1432" s="41">
        <v>46108</v>
      </c>
      <c r="F1432" s="41">
        <v>46091</v>
      </c>
      <c r="G1432" s="42">
        <v>-17</v>
      </c>
      <c r="H1432" s="40" t="s">
        <v>556</v>
      </c>
      <c r="I1432" s="39" t="s">
        <v>341</v>
      </c>
      <c r="J1432" s="43">
        <v>95077.85</v>
      </c>
      <c r="K1432" s="43">
        <v>0</v>
      </c>
      <c r="L1432" s="43">
        <v>95077.85</v>
      </c>
      <c r="M1432" s="44">
        <v>0</v>
      </c>
      <c r="N1432" s="44">
        <f t="shared" si="22"/>
        <v>80152.53</v>
      </c>
      <c r="O1432" s="44">
        <v>80152.53</v>
      </c>
      <c r="P1432" s="40" t="s">
        <v>3329</v>
      </c>
      <c r="Q1432" s="40" t="s">
        <v>3330</v>
      </c>
      <c r="R1432" s="40" t="s">
        <v>494</v>
      </c>
      <c r="S1432" s="40" t="s">
        <v>502</v>
      </c>
      <c r="T1432" s="40" t="s">
        <v>243</v>
      </c>
      <c r="U1432" s="40" t="s">
        <v>3331</v>
      </c>
      <c r="V1432" s="40"/>
      <c r="W1432" s="40" t="s">
        <v>3332</v>
      </c>
    </row>
    <row r="1433" spans="1:23" ht="12" x14ac:dyDescent="0.2">
      <c r="A1433" s="39" t="s">
        <v>337</v>
      </c>
      <c r="B1433" s="40" t="s">
        <v>336</v>
      </c>
      <c r="C1433" s="40" t="s">
        <v>7456</v>
      </c>
      <c r="D1433" s="41">
        <v>46078</v>
      </c>
      <c r="E1433" s="41">
        <v>46108</v>
      </c>
      <c r="F1433" s="41">
        <v>46091</v>
      </c>
      <c r="G1433" s="42">
        <v>-17</v>
      </c>
      <c r="H1433" s="40" t="s">
        <v>556</v>
      </c>
      <c r="I1433" s="39" t="s">
        <v>320</v>
      </c>
      <c r="J1433" s="43">
        <v>41786.199999999997</v>
      </c>
      <c r="K1433" s="43">
        <v>0</v>
      </c>
      <c r="L1433" s="43">
        <v>41786.199999999997</v>
      </c>
      <c r="M1433" s="44">
        <v>0</v>
      </c>
      <c r="N1433" s="44">
        <f t="shared" si="22"/>
        <v>41786.199999999997</v>
      </c>
      <c r="O1433" s="44">
        <v>41786.199999999997</v>
      </c>
      <c r="P1433" s="40" t="s">
        <v>1814</v>
      </c>
      <c r="Q1433" s="40" t="s">
        <v>1815</v>
      </c>
      <c r="R1433" s="40" t="s">
        <v>494</v>
      </c>
      <c r="S1433" s="40" t="s">
        <v>502</v>
      </c>
      <c r="T1433" s="40" t="s">
        <v>284</v>
      </c>
      <c r="U1433" s="40" t="s">
        <v>1816</v>
      </c>
      <c r="V1433" s="40"/>
      <c r="W1433" s="40" t="s">
        <v>1817</v>
      </c>
    </row>
    <row r="1434" spans="1:23" ht="12" x14ac:dyDescent="0.2">
      <c r="A1434" s="39" t="s">
        <v>3149</v>
      </c>
      <c r="B1434" s="40" t="s">
        <v>3150</v>
      </c>
      <c r="C1434" s="40" t="s">
        <v>7457</v>
      </c>
      <c r="D1434" s="41">
        <v>46078</v>
      </c>
      <c r="E1434" s="41">
        <v>46108</v>
      </c>
      <c r="F1434" s="41">
        <v>46091</v>
      </c>
      <c r="G1434" s="42">
        <v>-17</v>
      </c>
      <c r="H1434" s="40" t="s">
        <v>556</v>
      </c>
      <c r="I1434" s="39" t="s">
        <v>323</v>
      </c>
      <c r="J1434" s="43">
        <v>141310.1</v>
      </c>
      <c r="K1434" s="43">
        <v>0</v>
      </c>
      <c r="L1434" s="43">
        <v>141310.1</v>
      </c>
      <c r="M1434" s="44">
        <v>0</v>
      </c>
      <c r="N1434" s="44">
        <f t="shared" si="22"/>
        <v>94206.73</v>
      </c>
      <c r="O1434" s="44">
        <v>94206.73</v>
      </c>
      <c r="P1434" s="40" t="s">
        <v>3151</v>
      </c>
      <c r="Q1434" s="40" t="s">
        <v>3152</v>
      </c>
      <c r="R1434" s="40" t="s">
        <v>494</v>
      </c>
      <c r="S1434" s="40" t="s">
        <v>502</v>
      </c>
      <c r="T1434" s="40" t="s">
        <v>327</v>
      </c>
      <c r="U1434" s="40" t="s">
        <v>1762</v>
      </c>
      <c r="V1434" s="40" t="s">
        <v>6492</v>
      </c>
      <c r="W1434" s="40" t="s">
        <v>3153</v>
      </c>
    </row>
    <row r="1435" spans="1:23" ht="12" x14ac:dyDescent="0.2">
      <c r="A1435" s="39" t="s">
        <v>442</v>
      </c>
      <c r="B1435" s="40" t="s">
        <v>441</v>
      </c>
      <c r="C1435" s="40" t="s">
        <v>7458</v>
      </c>
      <c r="D1435" s="41">
        <v>46078</v>
      </c>
      <c r="E1435" s="41">
        <v>46108</v>
      </c>
      <c r="F1435" s="41">
        <v>46091</v>
      </c>
      <c r="G1435" s="42">
        <v>-17</v>
      </c>
      <c r="H1435" s="40" t="s">
        <v>556</v>
      </c>
      <c r="I1435" s="39" t="s">
        <v>320</v>
      </c>
      <c r="J1435" s="43">
        <v>-28861.93</v>
      </c>
      <c r="K1435" s="43">
        <v>0</v>
      </c>
      <c r="L1435" s="43">
        <v>-28861.93</v>
      </c>
      <c r="M1435" s="44">
        <v>0</v>
      </c>
      <c r="N1435" s="44">
        <f t="shared" si="22"/>
        <v>-28861.93</v>
      </c>
      <c r="O1435" s="44">
        <v>-28861.93</v>
      </c>
      <c r="P1435" s="40" t="s">
        <v>7459</v>
      </c>
      <c r="Q1435" s="40" t="s">
        <v>7460</v>
      </c>
      <c r="R1435" s="40" t="s">
        <v>494</v>
      </c>
      <c r="S1435" s="40" t="s">
        <v>495</v>
      </c>
      <c r="T1435" s="40" t="s">
        <v>184</v>
      </c>
      <c r="U1435" s="40" t="s">
        <v>7461</v>
      </c>
      <c r="V1435" s="40"/>
      <c r="W1435" s="40" t="s">
        <v>7462</v>
      </c>
    </row>
    <row r="1436" spans="1:23" ht="12" x14ac:dyDescent="0.2">
      <c r="A1436" s="39" t="s">
        <v>337</v>
      </c>
      <c r="B1436" s="40" t="s">
        <v>336</v>
      </c>
      <c r="C1436" s="40" t="s">
        <v>7463</v>
      </c>
      <c r="D1436" s="41">
        <v>46078</v>
      </c>
      <c r="E1436" s="41">
        <v>46108</v>
      </c>
      <c r="F1436" s="41">
        <v>46091</v>
      </c>
      <c r="G1436" s="42">
        <v>-17</v>
      </c>
      <c r="H1436" s="40" t="s">
        <v>556</v>
      </c>
      <c r="I1436" s="39" t="s">
        <v>320</v>
      </c>
      <c r="J1436" s="43">
        <v>21677.45</v>
      </c>
      <c r="K1436" s="43">
        <v>0</v>
      </c>
      <c r="L1436" s="43">
        <v>21677.45</v>
      </c>
      <c r="M1436" s="44">
        <v>0</v>
      </c>
      <c r="N1436" s="44">
        <f t="shared" si="22"/>
        <v>21677.45</v>
      </c>
      <c r="O1436" s="44">
        <v>21677.45</v>
      </c>
      <c r="P1436" s="40" t="s">
        <v>1286</v>
      </c>
      <c r="Q1436" s="40" t="s">
        <v>1287</v>
      </c>
      <c r="R1436" s="40" t="s">
        <v>494</v>
      </c>
      <c r="S1436" s="40" t="s">
        <v>502</v>
      </c>
      <c r="T1436" s="40" t="s">
        <v>289</v>
      </c>
      <c r="U1436" s="40" t="s">
        <v>1095</v>
      </c>
      <c r="V1436" s="40"/>
      <c r="W1436" s="40" t="s">
        <v>1288</v>
      </c>
    </row>
    <row r="1437" spans="1:23" ht="12" x14ac:dyDescent="0.2">
      <c r="A1437" s="39" t="s">
        <v>34</v>
      </c>
      <c r="B1437" s="40" t="s">
        <v>465</v>
      </c>
      <c r="C1437" s="40" t="s">
        <v>7464</v>
      </c>
      <c r="D1437" s="41">
        <v>46078</v>
      </c>
      <c r="E1437" s="41">
        <v>46108</v>
      </c>
      <c r="F1437" s="41">
        <v>46091</v>
      </c>
      <c r="G1437" s="42">
        <v>-17</v>
      </c>
      <c r="H1437" s="40" t="s">
        <v>556</v>
      </c>
      <c r="I1437" s="39" t="s">
        <v>320</v>
      </c>
      <c r="J1437" s="43">
        <v>17797.349999999999</v>
      </c>
      <c r="K1437" s="43">
        <v>2966.24</v>
      </c>
      <c r="L1437" s="43">
        <v>17797.349999999999</v>
      </c>
      <c r="M1437" s="44">
        <v>2966.24</v>
      </c>
      <c r="N1437" s="44">
        <f t="shared" si="22"/>
        <v>14831.109999999999</v>
      </c>
      <c r="O1437" s="44">
        <v>17797.349999999999</v>
      </c>
      <c r="P1437" s="40" t="s">
        <v>4734</v>
      </c>
      <c r="Q1437" s="40" t="s">
        <v>4735</v>
      </c>
      <c r="R1437" s="40" t="s">
        <v>494</v>
      </c>
      <c r="S1437" s="40" t="s">
        <v>502</v>
      </c>
      <c r="T1437" s="40" t="s">
        <v>218</v>
      </c>
      <c r="U1437" s="40" t="s">
        <v>1298</v>
      </c>
      <c r="V1437" s="40"/>
      <c r="W1437" s="40" t="s">
        <v>4737</v>
      </c>
    </row>
    <row r="1438" spans="1:23" ht="12" x14ac:dyDescent="0.2">
      <c r="A1438" s="39" t="s">
        <v>16</v>
      </c>
      <c r="B1438" s="40" t="s">
        <v>414</v>
      </c>
      <c r="C1438" s="40" t="s">
        <v>7465</v>
      </c>
      <c r="D1438" s="41">
        <v>46079</v>
      </c>
      <c r="E1438" s="41">
        <v>46109</v>
      </c>
      <c r="F1438" s="41">
        <v>46091</v>
      </c>
      <c r="G1438" s="42">
        <v>-18</v>
      </c>
      <c r="H1438" s="40" t="s">
        <v>556</v>
      </c>
      <c r="I1438" s="39" t="s">
        <v>320</v>
      </c>
      <c r="J1438" s="43">
        <v>18222.39</v>
      </c>
      <c r="K1438" s="43">
        <v>0</v>
      </c>
      <c r="L1438" s="43">
        <v>18222.39</v>
      </c>
      <c r="M1438" s="44">
        <v>0</v>
      </c>
      <c r="N1438" s="44">
        <f t="shared" si="22"/>
        <v>18222.39</v>
      </c>
      <c r="O1438" s="44">
        <v>18222.39</v>
      </c>
      <c r="P1438" s="40" t="s">
        <v>7466</v>
      </c>
      <c r="Q1438" s="40" t="s">
        <v>7467</v>
      </c>
      <c r="R1438" s="40" t="s">
        <v>494</v>
      </c>
      <c r="S1438" s="40" t="s">
        <v>502</v>
      </c>
      <c r="T1438" s="40" t="s">
        <v>280</v>
      </c>
      <c r="U1438" s="40" t="s">
        <v>7468</v>
      </c>
      <c r="V1438" s="40"/>
      <c r="W1438" s="40" t="s">
        <v>7469</v>
      </c>
    </row>
    <row r="1439" spans="1:23" ht="12" x14ac:dyDescent="0.2">
      <c r="A1439" s="39" t="s">
        <v>357</v>
      </c>
      <c r="B1439" s="40" t="s">
        <v>356</v>
      </c>
      <c r="C1439" s="40" t="s">
        <v>7470</v>
      </c>
      <c r="D1439" s="41">
        <v>46079</v>
      </c>
      <c r="E1439" s="41">
        <v>46109</v>
      </c>
      <c r="F1439" s="41">
        <v>46091</v>
      </c>
      <c r="G1439" s="42">
        <v>-18</v>
      </c>
      <c r="H1439" s="40" t="s">
        <v>556</v>
      </c>
      <c r="I1439" s="39" t="s">
        <v>341</v>
      </c>
      <c r="J1439" s="43">
        <v>77055.64</v>
      </c>
      <c r="K1439" s="43">
        <v>0</v>
      </c>
      <c r="L1439" s="43">
        <v>77055.64</v>
      </c>
      <c r="M1439" s="44">
        <v>0</v>
      </c>
      <c r="N1439" s="44">
        <f t="shared" si="22"/>
        <v>64509.440000000002</v>
      </c>
      <c r="O1439" s="44">
        <v>64509.440000000002</v>
      </c>
      <c r="P1439" s="40" t="s">
        <v>7326</v>
      </c>
      <c r="Q1439" s="40" t="s">
        <v>7327</v>
      </c>
      <c r="R1439" s="40" t="s">
        <v>494</v>
      </c>
      <c r="S1439" s="40" t="s">
        <v>502</v>
      </c>
      <c r="T1439" s="40" t="s">
        <v>178</v>
      </c>
      <c r="U1439" s="40" t="s">
        <v>1393</v>
      </c>
      <c r="V1439" s="40"/>
      <c r="W1439" s="40" t="s">
        <v>7328</v>
      </c>
    </row>
    <row r="1440" spans="1:23" ht="12" x14ac:dyDescent="0.2">
      <c r="A1440" s="39" t="s">
        <v>2676</v>
      </c>
      <c r="B1440" s="40" t="s">
        <v>2677</v>
      </c>
      <c r="C1440" s="40" t="s">
        <v>7471</v>
      </c>
      <c r="D1440" s="41">
        <v>46079</v>
      </c>
      <c r="E1440" s="41">
        <v>46109</v>
      </c>
      <c r="F1440" s="41">
        <v>46091</v>
      </c>
      <c r="G1440" s="42">
        <v>-18</v>
      </c>
      <c r="H1440" s="40" t="s">
        <v>556</v>
      </c>
      <c r="I1440" s="39" t="s">
        <v>320</v>
      </c>
      <c r="J1440" s="43">
        <v>28963.51</v>
      </c>
      <c r="K1440" s="43">
        <v>0</v>
      </c>
      <c r="L1440" s="43">
        <v>28963.51</v>
      </c>
      <c r="M1440" s="44">
        <v>0</v>
      </c>
      <c r="N1440" s="44">
        <f t="shared" si="22"/>
        <v>28963.51</v>
      </c>
      <c r="O1440" s="44">
        <v>28963.51</v>
      </c>
      <c r="P1440" s="40" t="s">
        <v>7472</v>
      </c>
      <c r="Q1440" s="40" t="s">
        <v>7473</v>
      </c>
      <c r="R1440" s="40" t="s">
        <v>494</v>
      </c>
      <c r="S1440" s="40" t="s">
        <v>502</v>
      </c>
      <c r="T1440" s="40" t="s">
        <v>266</v>
      </c>
      <c r="U1440" s="40" t="s">
        <v>7474</v>
      </c>
      <c r="V1440" s="40"/>
      <c r="W1440" s="40" t="s">
        <v>7475</v>
      </c>
    </row>
    <row r="1441" spans="1:23" ht="12" x14ac:dyDescent="0.2">
      <c r="A1441" s="39" t="s">
        <v>16</v>
      </c>
      <c r="B1441" s="40" t="s">
        <v>414</v>
      </c>
      <c r="C1441" s="40" t="s">
        <v>7476</v>
      </c>
      <c r="D1441" s="41">
        <v>46079</v>
      </c>
      <c r="E1441" s="41">
        <v>46109</v>
      </c>
      <c r="F1441" s="41">
        <v>46091</v>
      </c>
      <c r="G1441" s="42">
        <v>-18</v>
      </c>
      <c r="H1441" s="40" t="s">
        <v>556</v>
      </c>
      <c r="I1441" s="39" t="s">
        <v>320</v>
      </c>
      <c r="J1441" s="43">
        <v>9672</v>
      </c>
      <c r="K1441" s="43">
        <v>0</v>
      </c>
      <c r="L1441" s="43">
        <v>9672</v>
      </c>
      <c r="M1441" s="44">
        <v>0</v>
      </c>
      <c r="N1441" s="44">
        <f t="shared" si="22"/>
        <v>9672</v>
      </c>
      <c r="O1441" s="44">
        <v>9672</v>
      </c>
      <c r="P1441" s="40" t="s">
        <v>7477</v>
      </c>
      <c r="Q1441" s="40" t="s">
        <v>7478</v>
      </c>
      <c r="R1441" s="40" t="s">
        <v>494</v>
      </c>
      <c r="S1441" s="40" t="s">
        <v>502</v>
      </c>
      <c r="T1441" s="40" t="s">
        <v>330</v>
      </c>
      <c r="U1441" s="40" t="s">
        <v>7479</v>
      </c>
      <c r="V1441" s="40"/>
      <c r="W1441" s="40" t="s">
        <v>7480</v>
      </c>
    </row>
    <row r="1442" spans="1:23" ht="12" x14ac:dyDescent="0.2">
      <c r="A1442" s="39" t="s">
        <v>7481</v>
      </c>
      <c r="B1442" s="40" t="s">
        <v>7482</v>
      </c>
      <c r="C1442" s="40" t="s">
        <v>7483</v>
      </c>
      <c r="D1442" s="41">
        <v>46079</v>
      </c>
      <c r="E1442" s="41">
        <v>46109</v>
      </c>
      <c r="F1442" s="41">
        <v>46091</v>
      </c>
      <c r="G1442" s="42">
        <v>-18</v>
      </c>
      <c r="H1442" s="40" t="s">
        <v>556</v>
      </c>
      <c r="I1442" s="39" t="s">
        <v>320</v>
      </c>
      <c r="J1442" s="43">
        <v>25000</v>
      </c>
      <c r="K1442" s="43">
        <v>0</v>
      </c>
      <c r="L1442" s="43">
        <v>25000</v>
      </c>
      <c r="M1442" s="44">
        <v>0</v>
      </c>
      <c r="N1442" s="44">
        <f t="shared" si="22"/>
        <v>25000</v>
      </c>
      <c r="O1442" s="44">
        <v>25000</v>
      </c>
      <c r="P1442" s="40" t="s">
        <v>7484</v>
      </c>
      <c r="Q1442" s="40" t="s">
        <v>7485</v>
      </c>
      <c r="R1442" s="40" t="s">
        <v>494</v>
      </c>
      <c r="S1442" s="40" t="s">
        <v>495</v>
      </c>
      <c r="T1442" s="40" t="s">
        <v>330</v>
      </c>
      <c r="U1442" s="40" t="s">
        <v>7486</v>
      </c>
      <c r="V1442" s="40"/>
      <c r="W1442" s="40" t="s">
        <v>321</v>
      </c>
    </row>
    <row r="1443" spans="1:23" ht="12" x14ac:dyDescent="0.2">
      <c r="A1443" s="39" t="s">
        <v>2676</v>
      </c>
      <c r="B1443" s="40" t="s">
        <v>2677</v>
      </c>
      <c r="C1443" s="40" t="s">
        <v>7487</v>
      </c>
      <c r="D1443" s="41">
        <v>46079</v>
      </c>
      <c r="E1443" s="41">
        <v>46109</v>
      </c>
      <c r="F1443" s="41">
        <v>46091</v>
      </c>
      <c r="G1443" s="42">
        <v>-18</v>
      </c>
      <c r="H1443" s="40" t="s">
        <v>556</v>
      </c>
      <c r="I1443" s="39" t="s">
        <v>320</v>
      </c>
      <c r="J1443" s="43">
        <v>24200.52</v>
      </c>
      <c r="K1443" s="43">
        <v>0</v>
      </c>
      <c r="L1443" s="43">
        <v>24200.52</v>
      </c>
      <c r="M1443" s="44">
        <v>0</v>
      </c>
      <c r="N1443" s="44">
        <f t="shared" si="22"/>
        <v>24200.52</v>
      </c>
      <c r="O1443" s="44">
        <v>24200.52</v>
      </c>
      <c r="P1443" s="40" t="s">
        <v>3032</v>
      </c>
      <c r="Q1443" s="40" t="s">
        <v>3033</v>
      </c>
      <c r="R1443" s="40" t="s">
        <v>494</v>
      </c>
      <c r="S1443" s="40" t="s">
        <v>502</v>
      </c>
      <c r="T1443" s="40" t="s">
        <v>280</v>
      </c>
      <c r="U1443" s="40" t="s">
        <v>2376</v>
      </c>
      <c r="V1443" s="40"/>
      <c r="W1443" s="40" t="s">
        <v>3034</v>
      </c>
    </row>
    <row r="1444" spans="1:23" ht="12" x14ac:dyDescent="0.2">
      <c r="A1444" s="39" t="s">
        <v>16</v>
      </c>
      <c r="B1444" s="40" t="s">
        <v>414</v>
      </c>
      <c r="C1444" s="40" t="s">
        <v>7488</v>
      </c>
      <c r="D1444" s="41">
        <v>46079</v>
      </c>
      <c r="E1444" s="41">
        <v>46109</v>
      </c>
      <c r="F1444" s="41">
        <v>46091</v>
      </c>
      <c r="G1444" s="42">
        <v>-18</v>
      </c>
      <c r="H1444" s="40" t="s">
        <v>556</v>
      </c>
      <c r="I1444" s="39" t="s">
        <v>320</v>
      </c>
      <c r="J1444" s="43">
        <v>7200</v>
      </c>
      <c r="K1444" s="43">
        <v>0</v>
      </c>
      <c r="L1444" s="43">
        <v>7200</v>
      </c>
      <c r="M1444" s="44">
        <v>0</v>
      </c>
      <c r="N1444" s="44">
        <f t="shared" si="22"/>
        <v>7200</v>
      </c>
      <c r="O1444" s="44">
        <v>7200</v>
      </c>
      <c r="P1444" s="40" t="s">
        <v>7489</v>
      </c>
      <c r="Q1444" s="40" t="s">
        <v>7490</v>
      </c>
      <c r="R1444" s="40" t="s">
        <v>494</v>
      </c>
      <c r="S1444" s="40" t="s">
        <v>502</v>
      </c>
      <c r="T1444" s="40" t="s">
        <v>280</v>
      </c>
      <c r="U1444" s="40" t="s">
        <v>7468</v>
      </c>
      <c r="V1444" s="40"/>
      <c r="W1444" s="40" t="s">
        <v>7491</v>
      </c>
    </row>
    <row r="1445" spans="1:23" ht="12" x14ac:dyDescent="0.2">
      <c r="A1445" s="39" t="s">
        <v>3385</v>
      </c>
      <c r="B1445" s="40" t="s">
        <v>3386</v>
      </c>
      <c r="C1445" s="40" t="s">
        <v>7492</v>
      </c>
      <c r="D1445" s="41">
        <v>46079</v>
      </c>
      <c r="E1445" s="41">
        <v>46109</v>
      </c>
      <c r="F1445" s="41">
        <v>46091</v>
      </c>
      <c r="G1445" s="42">
        <v>-18</v>
      </c>
      <c r="H1445" s="40" t="s">
        <v>556</v>
      </c>
      <c r="I1445" s="39" t="s">
        <v>320</v>
      </c>
      <c r="J1445" s="43">
        <v>400804.31</v>
      </c>
      <c r="K1445" s="43">
        <v>0</v>
      </c>
      <c r="L1445" s="43">
        <v>400804.31</v>
      </c>
      <c r="M1445" s="44">
        <v>0</v>
      </c>
      <c r="N1445" s="44">
        <f t="shared" si="22"/>
        <v>400804.31</v>
      </c>
      <c r="O1445" s="44">
        <v>400804.31</v>
      </c>
      <c r="P1445" s="40" t="s">
        <v>7493</v>
      </c>
      <c r="Q1445" s="40" t="s">
        <v>7494</v>
      </c>
      <c r="R1445" s="40" t="s">
        <v>494</v>
      </c>
      <c r="S1445" s="40" t="s">
        <v>502</v>
      </c>
      <c r="T1445" s="40" t="s">
        <v>165</v>
      </c>
      <c r="U1445" s="40" t="s">
        <v>1947</v>
      </c>
      <c r="V1445" s="40"/>
      <c r="W1445" s="40" t="s">
        <v>7494</v>
      </c>
    </row>
    <row r="1446" spans="1:23" ht="12" x14ac:dyDescent="0.2">
      <c r="A1446" s="39" t="s">
        <v>7495</v>
      </c>
      <c r="B1446" s="40" t="s">
        <v>7496</v>
      </c>
      <c r="C1446" s="40" t="s">
        <v>7497</v>
      </c>
      <c r="D1446" s="41">
        <v>46079</v>
      </c>
      <c r="E1446" s="41">
        <v>46109</v>
      </c>
      <c r="F1446" s="41">
        <v>46091</v>
      </c>
      <c r="G1446" s="42">
        <v>-18</v>
      </c>
      <c r="H1446" s="40" t="s">
        <v>556</v>
      </c>
      <c r="I1446" s="39" t="s">
        <v>320</v>
      </c>
      <c r="J1446" s="43">
        <v>-7722.36</v>
      </c>
      <c r="K1446" s="43">
        <v>0</v>
      </c>
      <c r="L1446" s="43">
        <v>-7722.36</v>
      </c>
      <c r="M1446" s="44">
        <v>0</v>
      </c>
      <c r="N1446" s="44">
        <f t="shared" si="22"/>
        <v>-7722.36</v>
      </c>
      <c r="O1446" s="44">
        <v>-7722.36</v>
      </c>
      <c r="P1446" s="40" t="s">
        <v>7498</v>
      </c>
      <c r="Q1446" s="40" t="s">
        <v>7499</v>
      </c>
      <c r="R1446" s="40" t="s">
        <v>494</v>
      </c>
      <c r="S1446" s="40" t="s">
        <v>495</v>
      </c>
      <c r="T1446" s="40" t="s">
        <v>282</v>
      </c>
      <c r="U1446" s="40" t="s">
        <v>7500</v>
      </c>
      <c r="V1446" s="40" t="s">
        <v>4017</v>
      </c>
      <c r="W1446" s="40" t="s">
        <v>7501</v>
      </c>
    </row>
    <row r="1447" spans="1:23" ht="12" x14ac:dyDescent="0.2">
      <c r="A1447" s="39" t="s">
        <v>1293</v>
      </c>
      <c r="B1447" s="40" t="s">
        <v>1294</v>
      </c>
      <c r="C1447" s="40" t="s">
        <v>7502</v>
      </c>
      <c r="D1447" s="41">
        <v>46079</v>
      </c>
      <c r="E1447" s="41">
        <v>46109</v>
      </c>
      <c r="F1447" s="41">
        <v>46091</v>
      </c>
      <c r="G1447" s="42">
        <v>-18</v>
      </c>
      <c r="H1447" s="40" t="s">
        <v>556</v>
      </c>
      <c r="I1447" s="39" t="s">
        <v>320</v>
      </c>
      <c r="J1447" s="43">
        <v>28006.400000000001</v>
      </c>
      <c r="K1447" s="43">
        <v>0</v>
      </c>
      <c r="L1447" s="43">
        <v>28006.400000000001</v>
      </c>
      <c r="M1447" s="44">
        <v>0</v>
      </c>
      <c r="N1447" s="44">
        <f t="shared" si="22"/>
        <v>28006.400000000001</v>
      </c>
      <c r="O1447" s="44">
        <v>28006.400000000001</v>
      </c>
      <c r="P1447" s="40" t="s">
        <v>3521</v>
      </c>
      <c r="Q1447" s="40" t="s">
        <v>3522</v>
      </c>
      <c r="R1447" s="40" t="s">
        <v>494</v>
      </c>
      <c r="S1447" s="40" t="s">
        <v>502</v>
      </c>
      <c r="T1447" s="40" t="s">
        <v>507</v>
      </c>
      <c r="U1447" s="40" t="s">
        <v>2935</v>
      </c>
      <c r="V1447" s="40"/>
      <c r="W1447" s="40" t="s">
        <v>3523</v>
      </c>
    </row>
    <row r="1448" spans="1:23" ht="12" x14ac:dyDescent="0.2">
      <c r="A1448" s="39" t="s">
        <v>16</v>
      </c>
      <c r="B1448" s="40" t="s">
        <v>414</v>
      </c>
      <c r="C1448" s="40" t="s">
        <v>7503</v>
      </c>
      <c r="D1448" s="41">
        <v>46079</v>
      </c>
      <c r="E1448" s="41">
        <v>46109</v>
      </c>
      <c r="F1448" s="41">
        <v>46091</v>
      </c>
      <c r="G1448" s="42">
        <v>-18</v>
      </c>
      <c r="H1448" s="40" t="s">
        <v>556</v>
      </c>
      <c r="I1448" s="39" t="s">
        <v>320</v>
      </c>
      <c r="J1448" s="43">
        <v>212174.5</v>
      </c>
      <c r="K1448" s="43">
        <v>0</v>
      </c>
      <c r="L1448" s="43">
        <v>212174.5</v>
      </c>
      <c r="M1448" s="44">
        <v>0</v>
      </c>
      <c r="N1448" s="44">
        <f t="shared" si="22"/>
        <v>212174.5</v>
      </c>
      <c r="O1448" s="44">
        <v>212174.5</v>
      </c>
      <c r="P1448" s="40" t="s">
        <v>3064</v>
      </c>
      <c r="Q1448" s="40" t="s">
        <v>3065</v>
      </c>
      <c r="R1448" s="40" t="s">
        <v>494</v>
      </c>
      <c r="S1448" s="40" t="s">
        <v>502</v>
      </c>
      <c r="T1448" s="40" t="s">
        <v>330</v>
      </c>
      <c r="U1448" s="40" t="s">
        <v>3066</v>
      </c>
      <c r="V1448" s="40"/>
      <c r="W1448" s="40" t="s">
        <v>3067</v>
      </c>
    </row>
    <row r="1449" spans="1:23" ht="12" x14ac:dyDescent="0.2">
      <c r="A1449" s="39" t="s">
        <v>1608</v>
      </c>
      <c r="B1449" s="40" t="s">
        <v>3672</v>
      </c>
      <c r="C1449" s="40" t="s">
        <v>7504</v>
      </c>
      <c r="D1449" s="41">
        <v>46079</v>
      </c>
      <c r="E1449" s="41">
        <v>46109</v>
      </c>
      <c r="F1449" s="41">
        <v>46091</v>
      </c>
      <c r="G1449" s="42">
        <v>-18</v>
      </c>
      <c r="H1449" s="40" t="s">
        <v>556</v>
      </c>
      <c r="I1449" s="39" t="s">
        <v>320</v>
      </c>
      <c r="J1449" s="43">
        <v>54075.68</v>
      </c>
      <c r="K1449" s="43">
        <v>0</v>
      </c>
      <c r="L1449" s="43">
        <v>54075.68</v>
      </c>
      <c r="M1449" s="44">
        <v>0</v>
      </c>
      <c r="N1449" s="44">
        <f t="shared" si="22"/>
        <v>54075.68</v>
      </c>
      <c r="O1449" s="44">
        <v>54075.68</v>
      </c>
      <c r="P1449" s="40" t="s">
        <v>1601</v>
      </c>
      <c r="Q1449" s="40" t="s">
        <v>3673</v>
      </c>
      <c r="R1449" s="40" t="s">
        <v>494</v>
      </c>
      <c r="S1449" s="40" t="s">
        <v>502</v>
      </c>
      <c r="T1449" s="40" t="s">
        <v>330</v>
      </c>
      <c r="U1449" s="40" t="s">
        <v>677</v>
      </c>
      <c r="V1449" s="40"/>
      <c r="W1449" s="40" t="s">
        <v>3674</v>
      </c>
    </row>
    <row r="1450" spans="1:23" ht="12" x14ac:dyDescent="0.2">
      <c r="A1450" s="39" t="s">
        <v>337</v>
      </c>
      <c r="B1450" s="40" t="s">
        <v>336</v>
      </c>
      <c r="C1450" s="40" t="s">
        <v>7505</v>
      </c>
      <c r="D1450" s="41">
        <v>46079</v>
      </c>
      <c r="E1450" s="41">
        <v>46109</v>
      </c>
      <c r="F1450" s="41">
        <v>46091</v>
      </c>
      <c r="G1450" s="42">
        <v>-18</v>
      </c>
      <c r="H1450" s="40" t="s">
        <v>556</v>
      </c>
      <c r="I1450" s="39" t="s">
        <v>320</v>
      </c>
      <c r="J1450" s="43">
        <v>21458.31</v>
      </c>
      <c r="K1450" s="43">
        <v>0</v>
      </c>
      <c r="L1450" s="43">
        <v>21458.31</v>
      </c>
      <c r="M1450" s="44">
        <v>0</v>
      </c>
      <c r="N1450" s="44">
        <f t="shared" si="22"/>
        <v>21458.31</v>
      </c>
      <c r="O1450" s="44">
        <v>21458.31</v>
      </c>
      <c r="P1450" s="40" t="s">
        <v>7506</v>
      </c>
      <c r="Q1450" s="40" t="s">
        <v>7507</v>
      </c>
      <c r="R1450" s="40" t="s">
        <v>494</v>
      </c>
      <c r="S1450" s="40" t="s">
        <v>502</v>
      </c>
      <c r="T1450" s="40" t="s">
        <v>273</v>
      </c>
      <c r="U1450" s="40" t="s">
        <v>7508</v>
      </c>
      <c r="V1450" s="40"/>
      <c r="W1450" s="40" t="s">
        <v>7509</v>
      </c>
    </row>
    <row r="1451" spans="1:23" ht="12" x14ac:dyDescent="0.2">
      <c r="A1451" s="39" t="s">
        <v>395</v>
      </c>
      <c r="B1451" s="40" t="s">
        <v>701</v>
      </c>
      <c r="C1451" s="40" t="s">
        <v>7510</v>
      </c>
      <c r="D1451" s="41">
        <v>46079</v>
      </c>
      <c r="E1451" s="41">
        <v>46109</v>
      </c>
      <c r="F1451" s="41">
        <v>46091</v>
      </c>
      <c r="G1451" s="42">
        <v>-18</v>
      </c>
      <c r="H1451" s="40" t="s">
        <v>556</v>
      </c>
      <c r="I1451" s="39" t="s">
        <v>320</v>
      </c>
      <c r="J1451" s="43">
        <v>44221.84</v>
      </c>
      <c r="K1451" s="43">
        <v>0</v>
      </c>
      <c r="L1451" s="43">
        <v>44221.84</v>
      </c>
      <c r="M1451" s="44">
        <v>0</v>
      </c>
      <c r="N1451" s="44">
        <f t="shared" si="22"/>
        <v>44221.84</v>
      </c>
      <c r="O1451" s="44">
        <v>44221.84</v>
      </c>
      <c r="P1451" s="40" t="s">
        <v>3187</v>
      </c>
      <c r="Q1451" s="40" t="s">
        <v>3188</v>
      </c>
      <c r="R1451" s="40" t="s">
        <v>494</v>
      </c>
      <c r="S1451" s="40" t="s">
        <v>502</v>
      </c>
      <c r="T1451" s="40" t="s">
        <v>280</v>
      </c>
      <c r="U1451" s="40" t="s">
        <v>559</v>
      </c>
      <c r="V1451" s="40"/>
      <c r="W1451" s="40" t="s">
        <v>3189</v>
      </c>
    </row>
    <row r="1452" spans="1:23" ht="12" x14ac:dyDescent="0.2">
      <c r="A1452" s="39" t="s">
        <v>778</v>
      </c>
      <c r="B1452" s="40" t="s">
        <v>779</v>
      </c>
      <c r="C1452" s="40" t="s">
        <v>7511</v>
      </c>
      <c r="D1452" s="41">
        <v>46079</v>
      </c>
      <c r="E1452" s="41">
        <v>46109</v>
      </c>
      <c r="F1452" s="41">
        <v>46091</v>
      </c>
      <c r="G1452" s="42">
        <v>-18</v>
      </c>
      <c r="H1452" s="40" t="s">
        <v>556</v>
      </c>
      <c r="I1452" s="39" t="s">
        <v>320</v>
      </c>
      <c r="J1452" s="43">
        <v>18046.990000000002</v>
      </c>
      <c r="K1452" s="43">
        <v>0</v>
      </c>
      <c r="L1452" s="43">
        <v>18046.990000000002</v>
      </c>
      <c r="M1452" s="44">
        <v>0</v>
      </c>
      <c r="N1452" s="44">
        <f t="shared" si="22"/>
        <v>18046.990000000002</v>
      </c>
      <c r="O1452" s="44">
        <v>18046.990000000002</v>
      </c>
      <c r="P1452" s="40" t="s">
        <v>7512</v>
      </c>
      <c r="Q1452" s="40" t="s">
        <v>7513</v>
      </c>
      <c r="R1452" s="40" t="s">
        <v>494</v>
      </c>
      <c r="S1452" s="40" t="s">
        <v>502</v>
      </c>
      <c r="T1452" s="40" t="s">
        <v>330</v>
      </c>
      <c r="U1452" s="40" t="s">
        <v>7514</v>
      </c>
      <c r="V1452" s="40"/>
      <c r="W1452" s="40" t="s">
        <v>7515</v>
      </c>
    </row>
    <row r="1453" spans="1:23" ht="12" x14ac:dyDescent="0.2">
      <c r="A1453" s="39" t="s">
        <v>829</v>
      </c>
      <c r="B1453" s="40" t="s">
        <v>830</v>
      </c>
      <c r="C1453" s="40" t="s">
        <v>7516</v>
      </c>
      <c r="D1453" s="41">
        <v>46079</v>
      </c>
      <c r="E1453" s="41">
        <v>46109</v>
      </c>
      <c r="F1453" s="41">
        <v>46091</v>
      </c>
      <c r="G1453" s="42">
        <v>-18</v>
      </c>
      <c r="H1453" s="40" t="s">
        <v>556</v>
      </c>
      <c r="I1453" s="39" t="s">
        <v>320</v>
      </c>
      <c r="J1453" s="43">
        <v>25361.34</v>
      </c>
      <c r="K1453" s="43">
        <v>0</v>
      </c>
      <c r="L1453" s="43">
        <v>25361.34</v>
      </c>
      <c r="M1453" s="44">
        <v>0</v>
      </c>
      <c r="N1453" s="44">
        <f t="shared" si="22"/>
        <v>25361.34</v>
      </c>
      <c r="O1453" s="44">
        <v>25361.34</v>
      </c>
      <c r="P1453" s="40" t="s">
        <v>1183</v>
      </c>
      <c r="Q1453" s="40" t="s">
        <v>1184</v>
      </c>
      <c r="R1453" s="40" t="s">
        <v>494</v>
      </c>
      <c r="S1453" s="40" t="s">
        <v>495</v>
      </c>
      <c r="T1453" s="40" t="s">
        <v>507</v>
      </c>
      <c r="U1453" s="40" t="s">
        <v>1185</v>
      </c>
      <c r="V1453" s="40" t="s">
        <v>7517</v>
      </c>
      <c r="W1453" s="40" t="s">
        <v>1186</v>
      </c>
    </row>
    <row r="1454" spans="1:23" ht="12" x14ac:dyDescent="0.2">
      <c r="A1454" s="39" t="s">
        <v>829</v>
      </c>
      <c r="B1454" s="40" t="s">
        <v>830</v>
      </c>
      <c r="C1454" s="40" t="s">
        <v>7518</v>
      </c>
      <c r="D1454" s="41">
        <v>46079</v>
      </c>
      <c r="E1454" s="41">
        <v>46109</v>
      </c>
      <c r="F1454" s="41">
        <v>46091</v>
      </c>
      <c r="G1454" s="42">
        <v>-18</v>
      </c>
      <c r="H1454" s="40" t="s">
        <v>556</v>
      </c>
      <c r="I1454" s="39" t="s">
        <v>320</v>
      </c>
      <c r="J1454" s="43">
        <v>15202.79</v>
      </c>
      <c r="K1454" s="43">
        <v>0</v>
      </c>
      <c r="L1454" s="43">
        <v>15202.79</v>
      </c>
      <c r="M1454" s="44">
        <v>0</v>
      </c>
      <c r="N1454" s="44">
        <f t="shared" si="22"/>
        <v>15202.79</v>
      </c>
      <c r="O1454" s="44">
        <v>15202.79</v>
      </c>
      <c r="P1454" s="40" t="s">
        <v>1183</v>
      </c>
      <c r="Q1454" s="40" t="s">
        <v>1184</v>
      </c>
      <c r="R1454" s="40" t="s">
        <v>494</v>
      </c>
      <c r="S1454" s="40" t="s">
        <v>495</v>
      </c>
      <c r="T1454" s="40" t="s">
        <v>507</v>
      </c>
      <c r="U1454" s="40" t="s">
        <v>1185</v>
      </c>
      <c r="V1454" s="40" t="s">
        <v>7517</v>
      </c>
      <c r="W1454" s="40" t="s">
        <v>1186</v>
      </c>
    </row>
    <row r="1455" spans="1:23" ht="12" x14ac:dyDescent="0.2">
      <c r="A1455" s="39" t="s">
        <v>27</v>
      </c>
      <c r="B1455" s="40" t="s">
        <v>476</v>
      </c>
      <c r="C1455" s="40" t="s">
        <v>7519</v>
      </c>
      <c r="D1455" s="41">
        <v>46079</v>
      </c>
      <c r="E1455" s="41">
        <v>46109</v>
      </c>
      <c r="F1455" s="41">
        <v>46091</v>
      </c>
      <c r="G1455" s="42">
        <v>-18</v>
      </c>
      <c r="H1455" s="40" t="s">
        <v>556</v>
      </c>
      <c r="I1455" s="39" t="s">
        <v>320</v>
      </c>
      <c r="J1455" s="43">
        <v>137292.51</v>
      </c>
      <c r="K1455" s="43">
        <v>0</v>
      </c>
      <c r="L1455" s="43">
        <v>137292.51</v>
      </c>
      <c r="M1455" s="44">
        <v>0</v>
      </c>
      <c r="N1455" s="44">
        <f t="shared" si="22"/>
        <v>137292.51</v>
      </c>
      <c r="O1455" s="44">
        <v>137292.51</v>
      </c>
      <c r="P1455" s="40" t="s">
        <v>7520</v>
      </c>
      <c r="Q1455" s="40" t="s">
        <v>7521</v>
      </c>
      <c r="R1455" s="40" t="s">
        <v>494</v>
      </c>
      <c r="S1455" s="40" t="s">
        <v>495</v>
      </c>
      <c r="T1455" s="40" t="s">
        <v>363</v>
      </c>
      <c r="U1455" s="40" t="s">
        <v>7522</v>
      </c>
      <c r="V1455" s="40"/>
      <c r="W1455" s="40" t="s">
        <v>7523</v>
      </c>
    </row>
    <row r="1456" spans="1:23" ht="12" x14ac:dyDescent="0.2">
      <c r="A1456" s="39" t="s">
        <v>28</v>
      </c>
      <c r="B1456" s="40" t="s">
        <v>2578</v>
      </c>
      <c r="C1456" s="40" t="s">
        <v>7524</v>
      </c>
      <c r="D1456" s="41">
        <v>46079</v>
      </c>
      <c r="E1456" s="41">
        <v>46109</v>
      </c>
      <c r="F1456" s="41">
        <v>46091</v>
      </c>
      <c r="G1456" s="42">
        <v>-18</v>
      </c>
      <c r="H1456" s="40" t="s">
        <v>556</v>
      </c>
      <c r="I1456" s="39" t="s">
        <v>323</v>
      </c>
      <c r="J1456" s="43">
        <v>-6713.56</v>
      </c>
      <c r="K1456" s="43">
        <v>0</v>
      </c>
      <c r="L1456" s="43">
        <v>-6713.56</v>
      </c>
      <c r="M1456" s="44">
        <v>0</v>
      </c>
      <c r="N1456" s="44">
        <f t="shared" si="22"/>
        <v>-5184.22</v>
      </c>
      <c r="O1456" s="44">
        <v>-5184.22</v>
      </c>
      <c r="P1456" s="40" t="s">
        <v>7525</v>
      </c>
      <c r="Q1456" s="40" t="s">
        <v>7526</v>
      </c>
      <c r="R1456" s="40" t="s">
        <v>494</v>
      </c>
      <c r="S1456" s="40" t="s">
        <v>502</v>
      </c>
      <c r="T1456" s="40" t="s">
        <v>284</v>
      </c>
      <c r="U1456" s="40" t="s">
        <v>1672</v>
      </c>
      <c r="V1456" s="40"/>
      <c r="W1456" s="40" t="s">
        <v>7527</v>
      </c>
    </row>
    <row r="1457" spans="1:23" ht="12" x14ac:dyDescent="0.2">
      <c r="A1457" s="39" t="s">
        <v>10</v>
      </c>
      <c r="B1457" s="40" t="s">
        <v>393</v>
      </c>
      <c r="C1457" s="40" t="s">
        <v>7528</v>
      </c>
      <c r="D1457" s="41">
        <v>46079</v>
      </c>
      <c r="E1457" s="41">
        <v>46109</v>
      </c>
      <c r="F1457" s="41">
        <v>46091</v>
      </c>
      <c r="G1457" s="42">
        <v>-18</v>
      </c>
      <c r="H1457" s="40" t="s">
        <v>556</v>
      </c>
      <c r="I1457" s="39" t="s">
        <v>320</v>
      </c>
      <c r="J1457" s="43">
        <v>19127.3</v>
      </c>
      <c r="K1457" s="43">
        <v>0</v>
      </c>
      <c r="L1457" s="43">
        <v>19127.3</v>
      </c>
      <c r="M1457" s="44">
        <v>0</v>
      </c>
      <c r="N1457" s="44">
        <f t="shared" si="22"/>
        <v>19127.3</v>
      </c>
      <c r="O1457" s="44">
        <v>19127.3</v>
      </c>
      <c r="P1457" s="40" t="s">
        <v>2515</v>
      </c>
      <c r="Q1457" s="40" t="s">
        <v>2516</v>
      </c>
      <c r="R1457" s="40" t="s">
        <v>494</v>
      </c>
      <c r="S1457" s="40" t="s">
        <v>495</v>
      </c>
      <c r="T1457" s="40" t="s">
        <v>773</v>
      </c>
      <c r="U1457" s="40" t="s">
        <v>969</v>
      </c>
      <c r="V1457" s="40"/>
      <c r="W1457" s="40" t="s">
        <v>7529</v>
      </c>
    </row>
    <row r="1458" spans="1:23" ht="12" x14ac:dyDescent="0.2">
      <c r="A1458" s="39" t="s">
        <v>7530</v>
      </c>
      <c r="B1458" s="40" t="s">
        <v>7531</v>
      </c>
      <c r="C1458" s="40" t="s">
        <v>7532</v>
      </c>
      <c r="D1458" s="41">
        <v>46079</v>
      </c>
      <c r="E1458" s="41">
        <v>46109</v>
      </c>
      <c r="F1458" s="41">
        <v>46091</v>
      </c>
      <c r="G1458" s="42">
        <v>-18</v>
      </c>
      <c r="H1458" s="40" t="s">
        <v>556</v>
      </c>
      <c r="I1458" s="39" t="s">
        <v>320</v>
      </c>
      <c r="J1458" s="43">
        <v>13</v>
      </c>
      <c r="K1458" s="43">
        <v>0</v>
      </c>
      <c r="L1458" s="43">
        <v>13</v>
      </c>
      <c r="M1458" s="44">
        <v>0</v>
      </c>
      <c r="N1458" s="44">
        <f t="shared" si="22"/>
        <v>13</v>
      </c>
      <c r="O1458" s="44">
        <v>13</v>
      </c>
      <c r="P1458" s="40" t="s">
        <v>7533</v>
      </c>
      <c r="Q1458" s="40" t="s">
        <v>7534</v>
      </c>
      <c r="R1458" s="40" t="s">
        <v>494</v>
      </c>
      <c r="S1458" s="40" t="s">
        <v>495</v>
      </c>
      <c r="T1458" s="40" t="s">
        <v>280</v>
      </c>
      <c r="U1458" s="40" t="s">
        <v>7535</v>
      </c>
      <c r="V1458" s="40" t="s">
        <v>7536</v>
      </c>
      <c r="W1458" s="40" t="s">
        <v>7537</v>
      </c>
    </row>
    <row r="1459" spans="1:23" ht="12" x14ac:dyDescent="0.2">
      <c r="A1459" s="39" t="s">
        <v>31</v>
      </c>
      <c r="B1459" s="40" t="s">
        <v>353</v>
      </c>
      <c r="C1459" s="40" t="s">
        <v>7538</v>
      </c>
      <c r="D1459" s="41">
        <v>46079</v>
      </c>
      <c r="E1459" s="41">
        <v>46109</v>
      </c>
      <c r="F1459" s="41">
        <v>46091</v>
      </c>
      <c r="G1459" s="42">
        <v>-18</v>
      </c>
      <c r="H1459" s="40" t="s">
        <v>556</v>
      </c>
      <c r="I1459" s="39" t="s">
        <v>320</v>
      </c>
      <c r="J1459" s="43">
        <v>-396025.21</v>
      </c>
      <c r="K1459" s="43">
        <v>0</v>
      </c>
      <c r="L1459" s="43">
        <v>-396025.21</v>
      </c>
      <c r="M1459" s="44">
        <v>0</v>
      </c>
      <c r="N1459" s="44">
        <f t="shared" si="22"/>
        <v>-396025.21</v>
      </c>
      <c r="O1459" s="44">
        <v>-396025.21</v>
      </c>
      <c r="P1459" s="40" t="s">
        <v>7539</v>
      </c>
      <c r="Q1459" s="40" t="s">
        <v>7540</v>
      </c>
      <c r="R1459" s="40" t="s">
        <v>494</v>
      </c>
      <c r="S1459" s="40" t="s">
        <v>502</v>
      </c>
      <c r="T1459" s="40" t="s">
        <v>513</v>
      </c>
      <c r="U1459" s="40" t="s">
        <v>7541</v>
      </c>
      <c r="V1459" s="40"/>
      <c r="W1459" s="40" t="s">
        <v>7542</v>
      </c>
    </row>
    <row r="1460" spans="1:23" ht="12" x14ac:dyDescent="0.2">
      <c r="A1460" s="39" t="s">
        <v>31</v>
      </c>
      <c r="B1460" s="40" t="s">
        <v>353</v>
      </c>
      <c r="C1460" s="40" t="s">
        <v>7543</v>
      </c>
      <c r="D1460" s="41">
        <v>46079</v>
      </c>
      <c r="E1460" s="41">
        <v>46109</v>
      </c>
      <c r="F1460" s="41">
        <v>46091</v>
      </c>
      <c r="G1460" s="42">
        <v>-18</v>
      </c>
      <c r="H1460" s="40" t="s">
        <v>556</v>
      </c>
      <c r="I1460" s="39" t="s">
        <v>320</v>
      </c>
      <c r="J1460" s="43">
        <v>2087.62</v>
      </c>
      <c r="K1460" s="43">
        <v>0</v>
      </c>
      <c r="L1460" s="43">
        <v>2087.62</v>
      </c>
      <c r="M1460" s="44">
        <v>0</v>
      </c>
      <c r="N1460" s="44">
        <f t="shared" si="22"/>
        <v>2087.62</v>
      </c>
      <c r="O1460" s="44">
        <v>2087.62</v>
      </c>
      <c r="P1460" s="40" t="s">
        <v>7539</v>
      </c>
      <c r="Q1460" s="40" t="s">
        <v>7540</v>
      </c>
      <c r="R1460" s="40" t="s">
        <v>494</v>
      </c>
      <c r="S1460" s="40" t="s">
        <v>502</v>
      </c>
      <c r="T1460" s="40" t="s">
        <v>513</v>
      </c>
      <c r="U1460" s="40" t="s">
        <v>7541</v>
      </c>
      <c r="V1460" s="40"/>
      <c r="W1460" s="40" t="s">
        <v>7542</v>
      </c>
    </row>
    <row r="1461" spans="1:23" ht="12" x14ac:dyDescent="0.2">
      <c r="A1461" s="39" t="s">
        <v>943</v>
      </c>
      <c r="B1461" s="40" t="s">
        <v>944</v>
      </c>
      <c r="C1461" s="40" t="s">
        <v>7544</v>
      </c>
      <c r="D1461" s="41">
        <v>46079</v>
      </c>
      <c r="E1461" s="41">
        <v>46109</v>
      </c>
      <c r="F1461" s="41">
        <v>46091</v>
      </c>
      <c r="G1461" s="42">
        <v>-18</v>
      </c>
      <c r="H1461" s="40" t="s">
        <v>556</v>
      </c>
      <c r="I1461" s="39" t="s">
        <v>320</v>
      </c>
      <c r="J1461" s="43">
        <v>28887.94</v>
      </c>
      <c r="K1461" s="43">
        <v>0</v>
      </c>
      <c r="L1461" s="43">
        <v>28887.94</v>
      </c>
      <c r="M1461" s="44">
        <v>0</v>
      </c>
      <c r="N1461" s="44">
        <f t="shared" si="22"/>
        <v>28887.94</v>
      </c>
      <c r="O1461" s="44">
        <v>28887.94</v>
      </c>
      <c r="P1461" s="40" t="s">
        <v>2708</v>
      </c>
      <c r="Q1461" s="40" t="s">
        <v>2709</v>
      </c>
      <c r="R1461" s="40" t="s">
        <v>494</v>
      </c>
      <c r="S1461" s="40" t="s">
        <v>495</v>
      </c>
      <c r="T1461" s="40" t="s">
        <v>514</v>
      </c>
      <c r="U1461" s="40" t="s">
        <v>2710</v>
      </c>
      <c r="V1461" s="40" t="s">
        <v>4853</v>
      </c>
      <c r="W1461" s="40" t="s">
        <v>2450</v>
      </c>
    </row>
    <row r="1462" spans="1:23" ht="12" x14ac:dyDescent="0.2">
      <c r="A1462" s="39" t="s">
        <v>63</v>
      </c>
      <c r="B1462" s="40" t="s">
        <v>886</v>
      </c>
      <c r="C1462" s="40" t="s">
        <v>7545</v>
      </c>
      <c r="D1462" s="41">
        <v>46080</v>
      </c>
      <c r="E1462" s="41">
        <v>46110</v>
      </c>
      <c r="F1462" s="41">
        <v>46091</v>
      </c>
      <c r="G1462" s="42">
        <v>-19</v>
      </c>
      <c r="H1462" s="40" t="s">
        <v>556</v>
      </c>
      <c r="I1462" s="39" t="s">
        <v>320</v>
      </c>
      <c r="J1462" s="43">
        <v>39383.17</v>
      </c>
      <c r="K1462" s="43">
        <v>0</v>
      </c>
      <c r="L1462" s="43">
        <v>39383.17</v>
      </c>
      <c r="M1462" s="44">
        <v>0</v>
      </c>
      <c r="N1462" s="44">
        <f t="shared" si="22"/>
        <v>39383.17</v>
      </c>
      <c r="O1462" s="44">
        <v>39383.17</v>
      </c>
      <c r="P1462" s="40" t="s">
        <v>7546</v>
      </c>
      <c r="Q1462" s="40" t="s">
        <v>7547</v>
      </c>
      <c r="R1462" s="40" t="s">
        <v>494</v>
      </c>
      <c r="S1462" s="40" t="s">
        <v>502</v>
      </c>
      <c r="T1462" s="40" t="s">
        <v>191</v>
      </c>
      <c r="U1462" s="40" t="s">
        <v>7548</v>
      </c>
      <c r="V1462" s="40"/>
      <c r="W1462" s="40" t="s">
        <v>7549</v>
      </c>
    </row>
    <row r="1463" spans="1:23" ht="12" x14ac:dyDescent="0.2">
      <c r="A1463" s="39" t="s">
        <v>337</v>
      </c>
      <c r="B1463" s="40" t="s">
        <v>336</v>
      </c>
      <c r="C1463" s="40" t="s">
        <v>7550</v>
      </c>
      <c r="D1463" s="41">
        <v>46080</v>
      </c>
      <c r="E1463" s="41">
        <v>46110</v>
      </c>
      <c r="F1463" s="41">
        <v>46091</v>
      </c>
      <c r="G1463" s="42">
        <v>-19</v>
      </c>
      <c r="H1463" s="40" t="s">
        <v>556</v>
      </c>
      <c r="I1463" s="39" t="s">
        <v>320</v>
      </c>
      <c r="J1463" s="43">
        <v>279253.84000000003</v>
      </c>
      <c r="K1463" s="43">
        <v>0</v>
      </c>
      <c r="L1463" s="43">
        <v>279253.84000000003</v>
      </c>
      <c r="M1463" s="44">
        <v>0</v>
      </c>
      <c r="N1463" s="44">
        <f t="shared" si="22"/>
        <v>279253.84000000003</v>
      </c>
      <c r="O1463" s="44">
        <v>279253.84000000003</v>
      </c>
      <c r="P1463" s="40" t="s">
        <v>7551</v>
      </c>
      <c r="Q1463" s="40" t="s">
        <v>7552</v>
      </c>
      <c r="R1463" s="40" t="s">
        <v>494</v>
      </c>
      <c r="S1463" s="40" t="s">
        <v>502</v>
      </c>
      <c r="T1463" s="40" t="s">
        <v>507</v>
      </c>
      <c r="U1463" s="40" t="s">
        <v>609</v>
      </c>
      <c r="V1463" s="40"/>
      <c r="W1463" s="40" t="s">
        <v>7553</v>
      </c>
    </row>
    <row r="1464" spans="1:23" ht="12" x14ac:dyDescent="0.2">
      <c r="A1464" s="39" t="s">
        <v>6850</v>
      </c>
      <c r="B1464" s="40" t="s">
        <v>6851</v>
      </c>
      <c r="C1464" s="40" t="s">
        <v>7554</v>
      </c>
      <c r="D1464" s="41">
        <v>46080</v>
      </c>
      <c r="E1464" s="41">
        <v>46110</v>
      </c>
      <c r="F1464" s="41">
        <v>46091</v>
      </c>
      <c r="G1464" s="42">
        <v>-19</v>
      </c>
      <c r="H1464" s="40" t="s">
        <v>556</v>
      </c>
      <c r="I1464" s="39" t="s">
        <v>320</v>
      </c>
      <c r="J1464" s="43">
        <v>183378</v>
      </c>
      <c r="K1464" s="43">
        <v>0</v>
      </c>
      <c r="L1464" s="43">
        <v>183378</v>
      </c>
      <c r="M1464" s="44">
        <v>0</v>
      </c>
      <c r="N1464" s="44">
        <f t="shared" si="22"/>
        <v>183378</v>
      </c>
      <c r="O1464" s="44">
        <v>183378</v>
      </c>
      <c r="P1464" s="40" t="s">
        <v>7555</v>
      </c>
      <c r="Q1464" s="40" t="s">
        <v>7556</v>
      </c>
      <c r="R1464" s="40" t="s">
        <v>494</v>
      </c>
      <c r="S1464" s="40" t="s">
        <v>502</v>
      </c>
      <c r="T1464" s="40" t="s">
        <v>191</v>
      </c>
      <c r="U1464" s="40" t="s">
        <v>2975</v>
      </c>
      <c r="V1464" s="40" t="s">
        <v>7557</v>
      </c>
      <c r="W1464" s="40" t="s">
        <v>321</v>
      </c>
    </row>
    <row r="1465" spans="1:23" ht="12" x14ac:dyDescent="0.2">
      <c r="A1465" s="39" t="s">
        <v>3205</v>
      </c>
      <c r="B1465" s="40" t="s">
        <v>3206</v>
      </c>
      <c r="C1465" s="40" t="s">
        <v>7558</v>
      </c>
      <c r="D1465" s="41">
        <v>46080</v>
      </c>
      <c r="E1465" s="41">
        <v>46110</v>
      </c>
      <c r="F1465" s="41">
        <v>46091</v>
      </c>
      <c r="G1465" s="42">
        <v>-19</v>
      </c>
      <c r="H1465" s="40" t="s">
        <v>556</v>
      </c>
      <c r="I1465" s="39" t="s">
        <v>323</v>
      </c>
      <c r="J1465" s="43">
        <v>68878.820000000007</v>
      </c>
      <c r="K1465" s="43">
        <v>0</v>
      </c>
      <c r="L1465" s="43">
        <v>68878.820000000007</v>
      </c>
      <c r="M1465" s="44">
        <v>0</v>
      </c>
      <c r="N1465" s="44">
        <f t="shared" si="22"/>
        <v>51021.35</v>
      </c>
      <c r="O1465" s="44">
        <v>51021.35</v>
      </c>
      <c r="P1465" s="40" t="s">
        <v>3207</v>
      </c>
      <c r="Q1465" s="40" t="s">
        <v>3208</v>
      </c>
      <c r="R1465" s="40" t="s">
        <v>494</v>
      </c>
      <c r="S1465" s="40" t="s">
        <v>502</v>
      </c>
      <c r="T1465" s="40" t="s">
        <v>773</v>
      </c>
      <c r="U1465" s="40" t="s">
        <v>969</v>
      </c>
      <c r="V1465" s="40"/>
      <c r="W1465" s="40" t="s">
        <v>3209</v>
      </c>
    </row>
    <row r="1466" spans="1:23" ht="12" x14ac:dyDescent="0.2">
      <c r="A1466" s="39" t="s">
        <v>16</v>
      </c>
      <c r="B1466" s="40" t="s">
        <v>414</v>
      </c>
      <c r="C1466" s="40" t="s">
        <v>7559</v>
      </c>
      <c r="D1466" s="41">
        <v>46080</v>
      </c>
      <c r="E1466" s="41">
        <v>46110</v>
      </c>
      <c r="F1466" s="41">
        <v>46091</v>
      </c>
      <c r="G1466" s="42">
        <v>-19</v>
      </c>
      <c r="H1466" s="40" t="s">
        <v>556</v>
      </c>
      <c r="I1466" s="39" t="s">
        <v>320</v>
      </c>
      <c r="J1466" s="43">
        <v>115375.87</v>
      </c>
      <c r="K1466" s="43">
        <v>0</v>
      </c>
      <c r="L1466" s="43">
        <v>115375.87</v>
      </c>
      <c r="M1466" s="44">
        <v>0</v>
      </c>
      <c r="N1466" s="44">
        <f t="shared" si="22"/>
        <v>115375.87</v>
      </c>
      <c r="O1466" s="44">
        <v>115375.87</v>
      </c>
      <c r="P1466" s="40" t="s">
        <v>7560</v>
      </c>
      <c r="Q1466" s="40" t="s">
        <v>7561</v>
      </c>
      <c r="R1466" s="40" t="s">
        <v>494</v>
      </c>
      <c r="S1466" s="40" t="s">
        <v>502</v>
      </c>
      <c r="T1466" s="40" t="s">
        <v>327</v>
      </c>
      <c r="U1466" s="40" t="s">
        <v>7562</v>
      </c>
      <c r="V1466" s="40"/>
      <c r="W1466" s="40" t="s">
        <v>7563</v>
      </c>
    </row>
    <row r="1467" spans="1:23" ht="12" x14ac:dyDescent="0.2">
      <c r="A1467" s="39" t="s">
        <v>911</v>
      </c>
      <c r="B1467" s="40" t="s">
        <v>912</v>
      </c>
      <c r="C1467" s="40" t="s">
        <v>7564</v>
      </c>
      <c r="D1467" s="41">
        <v>46080</v>
      </c>
      <c r="E1467" s="41">
        <v>46110</v>
      </c>
      <c r="F1467" s="41">
        <v>46091</v>
      </c>
      <c r="G1467" s="42">
        <v>-19</v>
      </c>
      <c r="H1467" s="40" t="s">
        <v>556</v>
      </c>
      <c r="I1467" s="39" t="s">
        <v>323</v>
      </c>
      <c r="J1467" s="43">
        <v>153286.70000000001</v>
      </c>
      <c r="K1467" s="43">
        <v>0</v>
      </c>
      <c r="L1467" s="43">
        <v>153286.70000000001</v>
      </c>
      <c r="M1467" s="44">
        <v>0</v>
      </c>
      <c r="N1467" s="44">
        <f t="shared" si="22"/>
        <v>113545.7</v>
      </c>
      <c r="O1467" s="44">
        <v>113545.7</v>
      </c>
      <c r="P1467" s="40" t="s">
        <v>4653</v>
      </c>
      <c r="Q1467" s="40" t="s">
        <v>4654</v>
      </c>
      <c r="R1467" s="40" t="s">
        <v>494</v>
      </c>
      <c r="S1467" s="40" t="s">
        <v>502</v>
      </c>
      <c r="T1467" s="40" t="s">
        <v>513</v>
      </c>
      <c r="U1467" s="40" t="s">
        <v>630</v>
      </c>
      <c r="V1467" s="40"/>
      <c r="W1467" s="40" t="s">
        <v>4655</v>
      </c>
    </row>
    <row r="1468" spans="1:23" ht="12" x14ac:dyDescent="0.2">
      <c r="A1468" s="39" t="s">
        <v>366</v>
      </c>
      <c r="B1468" s="40" t="s">
        <v>365</v>
      </c>
      <c r="C1468" s="40" t="s">
        <v>7565</v>
      </c>
      <c r="D1468" s="41">
        <v>46080</v>
      </c>
      <c r="E1468" s="41">
        <v>46110</v>
      </c>
      <c r="F1468" s="41">
        <v>46091</v>
      </c>
      <c r="G1468" s="42">
        <v>-19</v>
      </c>
      <c r="H1468" s="40" t="s">
        <v>556</v>
      </c>
      <c r="I1468" s="39" t="s">
        <v>320</v>
      </c>
      <c r="J1468" s="43">
        <v>39986</v>
      </c>
      <c r="K1468" s="43">
        <v>0</v>
      </c>
      <c r="L1468" s="43">
        <v>39986</v>
      </c>
      <c r="M1468" s="44">
        <v>0</v>
      </c>
      <c r="N1468" s="44">
        <f t="shared" si="22"/>
        <v>39986</v>
      </c>
      <c r="O1468" s="44">
        <v>39986</v>
      </c>
      <c r="P1468" s="40" t="s">
        <v>7566</v>
      </c>
      <c r="Q1468" s="40" t="s">
        <v>7567</v>
      </c>
      <c r="R1468" s="40" t="s">
        <v>494</v>
      </c>
      <c r="S1468" s="40" t="s">
        <v>502</v>
      </c>
      <c r="T1468" s="40" t="s">
        <v>284</v>
      </c>
      <c r="U1468" s="40" t="s">
        <v>1096</v>
      </c>
      <c r="V1468" s="40" t="s">
        <v>7568</v>
      </c>
      <c r="W1468" s="40" t="s">
        <v>7569</v>
      </c>
    </row>
    <row r="1469" spans="1:23" ht="12" x14ac:dyDescent="0.2">
      <c r="A1469" s="39" t="s">
        <v>7570</v>
      </c>
      <c r="B1469" s="40" t="s">
        <v>7571</v>
      </c>
      <c r="C1469" s="40" t="s">
        <v>7572</v>
      </c>
      <c r="D1469" s="41">
        <v>46080</v>
      </c>
      <c r="E1469" s="41">
        <v>46110</v>
      </c>
      <c r="F1469" s="41">
        <v>46091</v>
      </c>
      <c r="G1469" s="42">
        <v>-19</v>
      </c>
      <c r="H1469" s="40" t="s">
        <v>556</v>
      </c>
      <c r="I1469" s="39" t="s">
        <v>341</v>
      </c>
      <c r="J1469" s="43">
        <v>99323</v>
      </c>
      <c r="K1469" s="43">
        <v>0</v>
      </c>
      <c r="L1469" s="43">
        <v>99323</v>
      </c>
      <c r="M1469" s="44">
        <v>0</v>
      </c>
      <c r="N1469" s="44">
        <f t="shared" si="22"/>
        <v>79458.399999999994</v>
      </c>
      <c r="O1469" s="44">
        <v>79458.399999999994</v>
      </c>
      <c r="P1469" s="40" t="s">
        <v>7573</v>
      </c>
      <c r="Q1469" s="40" t="s">
        <v>7574</v>
      </c>
      <c r="R1469" s="40" t="s">
        <v>494</v>
      </c>
      <c r="S1469" s="40" t="s">
        <v>502</v>
      </c>
      <c r="T1469" s="40" t="s">
        <v>191</v>
      </c>
      <c r="U1469" s="40" t="s">
        <v>7548</v>
      </c>
      <c r="V1469" s="40"/>
      <c r="W1469" s="40" t="s">
        <v>321</v>
      </c>
    </row>
    <row r="1470" spans="1:23" ht="12" x14ac:dyDescent="0.2">
      <c r="A1470" s="39" t="s">
        <v>337</v>
      </c>
      <c r="B1470" s="40" t="s">
        <v>336</v>
      </c>
      <c r="C1470" s="40" t="s">
        <v>7575</v>
      </c>
      <c r="D1470" s="41">
        <v>46080</v>
      </c>
      <c r="E1470" s="41">
        <v>46110</v>
      </c>
      <c r="F1470" s="41">
        <v>46091</v>
      </c>
      <c r="G1470" s="42">
        <v>-19</v>
      </c>
      <c r="H1470" s="40" t="s">
        <v>556</v>
      </c>
      <c r="I1470" s="39" t="s">
        <v>320</v>
      </c>
      <c r="J1470" s="43">
        <v>22527.71</v>
      </c>
      <c r="K1470" s="43">
        <v>0</v>
      </c>
      <c r="L1470" s="43">
        <v>22527.71</v>
      </c>
      <c r="M1470" s="44">
        <v>0</v>
      </c>
      <c r="N1470" s="44">
        <f t="shared" si="22"/>
        <v>22527.71</v>
      </c>
      <c r="O1470" s="44">
        <v>22527.71</v>
      </c>
      <c r="P1470" s="40" t="s">
        <v>7576</v>
      </c>
      <c r="Q1470" s="40" t="s">
        <v>7577</v>
      </c>
      <c r="R1470" s="40" t="s">
        <v>494</v>
      </c>
      <c r="S1470" s="40" t="s">
        <v>502</v>
      </c>
      <c r="T1470" s="40" t="s">
        <v>997</v>
      </c>
      <c r="U1470" s="40" t="s">
        <v>7578</v>
      </c>
      <c r="V1470" s="40"/>
      <c r="W1470" s="40" t="s">
        <v>7579</v>
      </c>
    </row>
    <row r="1471" spans="1:23" ht="12" x14ac:dyDescent="0.2">
      <c r="A1471" s="39" t="s">
        <v>911</v>
      </c>
      <c r="B1471" s="40" t="s">
        <v>912</v>
      </c>
      <c r="C1471" s="40" t="s">
        <v>7580</v>
      </c>
      <c r="D1471" s="41">
        <v>46080</v>
      </c>
      <c r="E1471" s="41">
        <v>46110</v>
      </c>
      <c r="F1471" s="41">
        <v>46091</v>
      </c>
      <c r="G1471" s="42">
        <v>-19</v>
      </c>
      <c r="H1471" s="40" t="s">
        <v>556</v>
      </c>
      <c r="I1471" s="39" t="s">
        <v>323</v>
      </c>
      <c r="J1471" s="43">
        <v>52233.58</v>
      </c>
      <c r="K1471" s="43">
        <v>0</v>
      </c>
      <c r="L1471" s="43">
        <v>52233.58</v>
      </c>
      <c r="M1471" s="44">
        <v>0</v>
      </c>
      <c r="N1471" s="44">
        <f t="shared" si="22"/>
        <v>38691.54</v>
      </c>
      <c r="O1471" s="44">
        <v>38691.54</v>
      </c>
      <c r="P1471" s="40" t="s">
        <v>4657</v>
      </c>
      <c r="Q1471" s="40" t="s">
        <v>4658</v>
      </c>
      <c r="R1471" s="40" t="s">
        <v>494</v>
      </c>
      <c r="S1471" s="40" t="s">
        <v>502</v>
      </c>
      <c r="T1471" s="40" t="s">
        <v>513</v>
      </c>
      <c r="U1471" s="40" t="s">
        <v>4006</v>
      </c>
      <c r="V1471" s="40"/>
      <c r="W1471" s="40" t="s">
        <v>4659</v>
      </c>
    </row>
    <row r="1472" spans="1:23" ht="12" x14ac:dyDescent="0.2">
      <c r="A1472" s="39" t="s">
        <v>16</v>
      </c>
      <c r="B1472" s="40" t="s">
        <v>414</v>
      </c>
      <c r="C1472" s="40" t="s">
        <v>7581</v>
      </c>
      <c r="D1472" s="41">
        <v>46080</v>
      </c>
      <c r="E1472" s="41">
        <v>46110</v>
      </c>
      <c r="F1472" s="41">
        <v>46091</v>
      </c>
      <c r="G1472" s="42">
        <v>-19</v>
      </c>
      <c r="H1472" s="40" t="s">
        <v>556</v>
      </c>
      <c r="I1472" s="39" t="s">
        <v>320</v>
      </c>
      <c r="J1472" s="43">
        <v>6965.16</v>
      </c>
      <c r="K1472" s="43">
        <v>0</v>
      </c>
      <c r="L1472" s="43">
        <v>6965.16</v>
      </c>
      <c r="M1472" s="44">
        <v>0</v>
      </c>
      <c r="N1472" s="44">
        <f t="shared" si="22"/>
        <v>6965.16</v>
      </c>
      <c r="O1472" s="44">
        <v>6965.16</v>
      </c>
      <c r="P1472" s="40" t="s">
        <v>2296</v>
      </c>
      <c r="Q1472" s="40" t="s">
        <v>2297</v>
      </c>
      <c r="R1472" s="40" t="s">
        <v>494</v>
      </c>
      <c r="S1472" s="40" t="s">
        <v>502</v>
      </c>
      <c r="T1472" s="40" t="s">
        <v>327</v>
      </c>
      <c r="U1472" s="40" t="s">
        <v>550</v>
      </c>
      <c r="V1472" s="40"/>
      <c r="W1472" s="40" t="s">
        <v>2298</v>
      </c>
    </row>
    <row r="1473" spans="1:23" ht="12" x14ac:dyDescent="0.2">
      <c r="A1473" s="39" t="s">
        <v>911</v>
      </c>
      <c r="B1473" s="40" t="s">
        <v>912</v>
      </c>
      <c r="C1473" s="40" t="s">
        <v>7582</v>
      </c>
      <c r="D1473" s="41">
        <v>46080</v>
      </c>
      <c r="E1473" s="41">
        <v>46110</v>
      </c>
      <c r="F1473" s="41">
        <v>46091</v>
      </c>
      <c r="G1473" s="42">
        <v>-19</v>
      </c>
      <c r="H1473" s="40" t="s">
        <v>556</v>
      </c>
      <c r="I1473" s="39" t="s">
        <v>323</v>
      </c>
      <c r="J1473" s="43">
        <v>20379.21</v>
      </c>
      <c r="K1473" s="43">
        <v>0</v>
      </c>
      <c r="L1473" s="43">
        <v>20379.21</v>
      </c>
      <c r="M1473" s="44">
        <v>0</v>
      </c>
      <c r="N1473" s="44">
        <f t="shared" si="22"/>
        <v>15095.71</v>
      </c>
      <c r="O1473" s="44">
        <v>15095.71</v>
      </c>
      <c r="P1473" s="40" t="s">
        <v>4004</v>
      </c>
      <c r="Q1473" s="40" t="s">
        <v>4005</v>
      </c>
      <c r="R1473" s="40" t="s">
        <v>494</v>
      </c>
      <c r="S1473" s="40" t="s">
        <v>502</v>
      </c>
      <c r="T1473" s="40" t="s">
        <v>513</v>
      </c>
      <c r="U1473" s="40" t="s">
        <v>4006</v>
      </c>
      <c r="V1473" s="40"/>
      <c r="W1473" s="40" t="s">
        <v>4007</v>
      </c>
    </row>
    <row r="1474" spans="1:23" ht="12" x14ac:dyDescent="0.2">
      <c r="A1474" s="39" t="s">
        <v>1818</v>
      </c>
      <c r="B1474" s="40" t="s">
        <v>1819</v>
      </c>
      <c r="C1474" s="40" t="s">
        <v>7583</v>
      </c>
      <c r="D1474" s="41">
        <v>46080</v>
      </c>
      <c r="E1474" s="41">
        <v>46110</v>
      </c>
      <c r="F1474" s="41">
        <v>46091</v>
      </c>
      <c r="G1474" s="42">
        <v>-19</v>
      </c>
      <c r="H1474" s="40" t="s">
        <v>556</v>
      </c>
      <c r="I1474" s="39" t="s">
        <v>320</v>
      </c>
      <c r="J1474" s="43">
        <v>20605.05</v>
      </c>
      <c r="K1474" s="43">
        <v>0</v>
      </c>
      <c r="L1474" s="43">
        <v>20605.05</v>
      </c>
      <c r="M1474" s="44">
        <v>0</v>
      </c>
      <c r="N1474" s="44">
        <f t="shared" si="22"/>
        <v>20605.05</v>
      </c>
      <c r="O1474" s="44">
        <v>20605.05</v>
      </c>
      <c r="P1474" s="40" t="s">
        <v>7584</v>
      </c>
      <c r="Q1474" s="40" t="s">
        <v>7585</v>
      </c>
      <c r="R1474" s="40" t="s">
        <v>494</v>
      </c>
      <c r="S1474" s="40" t="s">
        <v>502</v>
      </c>
      <c r="T1474" s="40" t="s">
        <v>733</v>
      </c>
      <c r="U1474" s="40" t="s">
        <v>634</v>
      </c>
      <c r="V1474" s="40"/>
      <c r="W1474" s="40" t="s">
        <v>7586</v>
      </c>
    </row>
    <row r="1475" spans="1:23" ht="12" x14ac:dyDescent="0.2">
      <c r="A1475" s="39" t="s">
        <v>7587</v>
      </c>
      <c r="B1475" s="40" t="s">
        <v>7588</v>
      </c>
      <c r="C1475" s="40" t="s">
        <v>7589</v>
      </c>
      <c r="D1475" s="41">
        <v>46080</v>
      </c>
      <c r="E1475" s="41">
        <v>46110</v>
      </c>
      <c r="F1475" s="41">
        <v>46091</v>
      </c>
      <c r="G1475" s="42">
        <v>-19</v>
      </c>
      <c r="H1475" s="40" t="s">
        <v>556</v>
      </c>
      <c r="I1475" s="39" t="s">
        <v>320</v>
      </c>
      <c r="J1475" s="43">
        <v>10168.030000000001</v>
      </c>
      <c r="K1475" s="43">
        <v>1694.7</v>
      </c>
      <c r="L1475" s="43">
        <v>10168.030000000001</v>
      </c>
      <c r="M1475" s="44">
        <v>1694.7</v>
      </c>
      <c r="N1475" s="44">
        <f t="shared" ref="N1475:N1538" si="23">IF(I1475="GBP",L1475-K1475,O1475-K1475)</f>
        <v>8473.33</v>
      </c>
      <c r="O1475" s="44">
        <v>10168.030000000001</v>
      </c>
      <c r="P1475" s="40" t="s">
        <v>7590</v>
      </c>
      <c r="Q1475" s="40" t="s">
        <v>7591</v>
      </c>
      <c r="R1475" s="40" t="s">
        <v>494</v>
      </c>
      <c r="S1475" s="40" t="s">
        <v>502</v>
      </c>
      <c r="T1475" s="40" t="s">
        <v>305</v>
      </c>
      <c r="U1475" s="40" t="s">
        <v>6311</v>
      </c>
      <c r="V1475" s="40"/>
      <c r="W1475" s="40" t="s">
        <v>7592</v>
      </c>
    </row>
    <row r="1476" spans="1:23" ht="12" x14ac:dyDescent="0.2">
      <c r="A1476" s="39" t="s">
        <v>7593</v>
      </c>
      <c r="B1476" s="40" t="s">
        <v>7594</v>
      </c>
      <c r="C1476" s="40" t="s">
        <v>7595</v>
      </c>
      <c r="D1476" s="41">
        <v>46080</v>
      </c>
      <c r="E1476" s="41">
        <v>46110</v>
      </c>
      <c r="F1476" s="41">
        <v>46091</v>
      </c>
      <c r="G1476" s="42">
        <v>-19</v>
      </c>
      <c r="H1476" s="40" t="s">
        <v>556</v>
      </c>
      <c r="I1476" s="39" t="s">
        <v>323</v>
      </c>
      <c r="J1476" s="43">
        <v>-4853.92</v>
      </c>
      <c r="K1476" s="43">
        <v>0</v>
      </c>
      <c r="L1476" s="43">
        <v>-4853.92</v>
      </c>
      <c r="M1476" s="44">
        <v>0</v>
      </c>
      <c r="N1476" s="44">
        <f t="shared" si="23"/>
        <v>-3540.94</v>
      </c>
      <c r="O1476" s="44">
        <v>-3540.94</v>
      </c>
      <c r="P1476" s="40" t="s">
        <v>7596</v>
      </c>
      <c r="Q1476" s="40" t="s">
        <v>7597</v>
      </c>
      <c r="R1476" s="40" t="s">
        <v>494</v>
      </c>
      <c r="S1476" s="40" t="s">
        <v>495</v>
      </c>
      <c r="T1476" s="40" t="s">
        <v>169</v>
      </c>
      <c r="U1476" s="40" t="s">
        <v>7598</v>
      </c>
      <c r="V1476" s="40" t="s">
        <v>4017</v>
      </c>
      <c r="W1476" s="40" t="s">
        <v>322</v>
      </c>
    </row>
    <row r="1477" spans="1:23" ht="12" x14ac:dyDescent="0.2">
      <c r="A1477" s="39" t="s">
        <v>337</v>
      </c>
      <c r="B1477" s="40" t="s">
        <v>336</v>
      </c>
      <c r="C1477" s="40" t="s">
        <v>7599</v>
      </c>
      <c r="D1477" s="41">
        <v>46080</v>
      </c>
      <c r="E1477" s="41">
        <v>46110</v>
      </c>
      <c r="F1477" s="41">
        <v>46091</v>
      </c>
      <c r="G1477" s="42">
        <v>-19</v>
      </c>
      <c r="H1477" s="40" t="s">
        <v>556</v>
      </c>
      <c r="I1477" s="39" t="s">
        <v>320</v>
      </c>
      <c r="J1477" s="43">
        <v>47501.23</v>
      </c>
      <c r="K1477" s="43">
        <v>0</v>
      </c>
      <c r="L1477" s="43">
        <v>47501.23</v>
      </c>
      <c r="M1477" s="44">
        <v>0</v>
      </c>
      <c r="N1477" s="44">
        <f t="shared" si="23"/>
        <v>47501.23</v>
      </c>
      <c r="O1477" s="44">
        <v>47501.23</v>
      </c>
      <c r="P1477" s="40" t="s">
        <v>917</v>
      </c>
      <c r="Q1477" s="40" t="s">
        <v>918</v>
      </c>
      <c r="R1477" s="40" t="s">
        <v>494</v>
      </c>
      <c r="S1477" s="40" t="s">
        <v>502</v>
      </c>
      <c r="T1477" s="40" t="s">
        <v>507</v>
      </c>
      <c r="U1477" s="40" t="s">
        <v>919</v>
      </c>
      <c r="V1477" s="40"/>
      <c r="W1477" s="40" t="s">
        <v>920</v>
      </c>
    </row>
    <row r="1478" spans="1:23" ht="12" x14ac:dyDescent="0.2">
      <c r="A1478" s="39" t="s">
        <v>34</v>
      </c>
      <c r="B1478" s="40" t="s">
        <v>465</v>
      </c>
      <c r="C1478" s="40" t="s">
        <v>7600</v>
      </c>
      <c r="D1478" s="41">
        <v>46080</v>
      </c>
      <c r="E1478" s="41">
        <v>46110</v>
      </c>
      <c r="F1478" s="41">
        <v>46091</v>
      </c>
      <c r="G1478" s="42">
        <v>-19</v>
      </c>
      <c r="H1478" s="40" t="s">
        <v>556</v>
      </c>
      <c r="I1478" s="39" t="s">
        <v>320</v>
      </c>
      <c r="J1478" s="43">
        <v>77522.02</v>
      </c>
      <c r="K1478" s="43">
        <v>0</v>
      </c>
      <c r="L1478" s="43">
        <v>77522.02</v>
      </c>
      <c r="M1478" s="44">
        <v>0</v>
      </c>
      <c r="N1478" s="44">
        <f t="shared" si="23"/>
        <v>77522.02</v>
      </c>
      <c r="O1478" s="44">
        <v>77522.02</v>
      </c>
      <c r="P1478" s="40" t="s">
        <v>1599</v>
      </c>
      <c r="Q1478" s="40" t="s">
        <v>1774</v>
      </c>
      <c r="R1478" s="40" t="s">
        <v>494</v>
      </c>
      <c r="S1478" s="40" t="s">
        <v>502</v>
      </c>
      <c r="T1478" s="40" t="s">
        <v>221</v>
      </c>
      <c r="U1478" s="40" t="s">
        <v>7601</v>
      </c>
      <c r="V1478" s="40"/>
      <c r="W1478" s="40" t="s">
        <v>1775</v>
      </c>
    </row>
    <row r="1479" spans="1:23" ht="12" x14ac:dyDescent="0.2">
      <c r="A1479" s="39" t="s">
        <v>31</v>
      </c>
      <c r="B1479" s="40" t="s">
        <v>353</v>
      </c>
      <c r="C1479" s="40" t="s">
        <v>7602</v>
      </c>
      <c r="D1479" s="41">
        <v>46080</v>
      </c>
      <c r="E1479" s="41">
        <v>46110</v>
      </c>
      <c r="F1479" s="41">
        <v>46091</v>
      </c>
      <c r="G1479" s="42">
        <v>-19</v>
      </c>
      <c r="H1479" s="40" t="s">
        <v>556</v>
      </c>
      <c r="I1479" s="39" t="s">
        <v>320</v>
      </c>
      <c r="J1479" s="43">
        <v>60573.9</v>
      </c>
      <c r="K1479" s="43">
        <v>0</v>
      </c>
      <c r="L1479" s="43">
        <v>60573.9</v>
      </c>
      <c r="M1479" s="44">
        <v>0</v>
      </c>
      <c r="N1479" s="44">
        <f t="shared" si="23"/>
        <v>60573.9</v>
      </c>
      <c r="O1479" s="44">
        <v>60573.9</v>
      </c>
      <c r="P1479" s="40" t="s">
        <v>7603</v>
      </c>
      <c r="Q1479" s="40" t="s">
        <v>7604</v>
      </c>
      <c r="R1479" s="40" t="s">
        <v>494</v>
      </c>
      <c r="S1479" s="40" t="s">
        <v>495</v>
      </c>
      <c r="T1479" s="40" t="s">
        <v>218</v>
      </c>
      <c r="U1479" s="40" t="s">
        <v>7605</v>
      </c>
      <c r="V1479" s="40"/>
      <c r="W1479" s="40" t="s">
        <v>7606</v>
      </c>
    </row>
    <row r="1480" spans="1:23" ht="12" x14ac:dyDescent="0.2">
      <c r="A1480" s="39" t="s">
        <v>1052</v>
      </c>
      <c r="B1480" s="40" t="s">
        <v>1053</v>
      </c>
      <c r="C1480" s="40" t="s">
        <v>7607</v>
      </c>
      <c r="D1480" s="41">
        <v>46080</v>
      </c>
      <c r="E1480" s="41">
        <v>46110</v>
      </c>
      <c r="F1480" s="41">
        <v>46091</v>
      </c>
      <c r="G1480" s="42">
        <v>-19</v>
      </c>
      <c r="H1480" s="40" t="s">
        <v>556</v>
      </c>
      <c r="I1480" s="39" t="s">
        <v>323</v>
      </c>
      <c r="J1480" s="43">
        <v>88466.26</v>
      </c>
      <c r="K1480" s="43">
        <v>0</v>
      </c>
      <c r="L1480" s="43">
        <v>88466.26</v>
      </c>
      <c r="M1480" s="44">
        <v>0</v>
      </c>
      <c r="N1480" s="44">
        <f t="shared" si="23"/>
        <v>65530.559999999998</v>
      </c>
      <c r="O1480" s="44">
        <v>65530.559999999998</v>
      </c>
      <c r="P1480" s="40" t="s">
        <v>7608</v>
      </c>
      <c r="Q1480" s="40" t="s">
        <v>7609</v>
      </c>
      <c r="R1480" s="40" t="s">
        <v>494</v>
      </c>
      <c r="S1480" s="40" t="s">
        <v>502</v>
      </c>
      <c r="T1480" s="40" t="s">
        <v>327</v>
      </c>
      <c r="U1480" s="40" t="s">
        <v>2213</v>
      </c>
      <c r="V1480" s="40"/>
      <c r="W1480" s="40" t="s">
        <v>7610</v>
      </c>
    </row>
    <row r="1481" spans="1:23" ht="12" x14ac:dyDescent="0.2">
      <c r="A1481" s="39" t="s">
        <v>2178</v>
      </c>
      <c r="B1481" s="40" t="s">
        <v>2179</v>
      </c>
      <c r="C1481" s="40" t="s">
        <v>7611</v>
      </c>
      <c r="D1481" s="41">
        <v>46081</v>
      </c>
      <c r="E1481" s="41">
        <v>46111</v>
      </c>
      <c r="F1481" s="41">
        <v>46091</v>
      </c>
      <c r="G1481" s="42">
        <v>-20</v>
      </c>
      <c r="H1481" s="40" t="s">
        <v>556</v>
      </c>
      <c r="I1481" s="39" t="s">
        <v>320</v>
      </c>
      <c r="J1481" s="43">
        <v>33726.160000000003</v>
      </c>
      <c r="K1481" s="43">
        <v>0</v>
      </c>
      <c r="L1481" s="43">
        <v>33726.160000000003</v>
      </c>
      <c r="M1481" s="44">
        <v>0</v>
      </c>
      <c r="N1481" s="44">
        <f t="shared" si="23"/>
        <v>33726.160000000003</v>
      </c>
      <c r="O1481" s="44">
        <v>33726.160000000003</v>
      </c>
      <c r="P1481" s="40" t="s">
        <v>7612</v>
      </c>
      <c r="Q1481" s="40" t="s">
        <v>7613</v>
      </c>
      <c r="R1481" s="40" t="s">
        <v>494</v>
      </c>
      <c r="S1481" s="40" t="s">
        <v>502</v>
      </c>
      <c r="T1481" s="40" t="s">
        <v>180</v>
      </c>
      <c r="U1481" s="40" t="s">
        <v>7614</v>
      </c>
      <c r="V1481" s="40"/>
      <c r="W1481" s="40" t="s">
        <v>7615</v>
      </c>
    </row>
    <row r="1482" spans="1:23" ht="12" x14ac:dyDescent="0.2">
      <c r="A1482" s="39" t="s">
        <v>825</v>
      </c>
      <c r="B1482" s="40" t="s">
        <v>826</v>
      </c>
      <c r="C1482" s="40" t="s">
        <v>7616</v>
      </c>
      <c r="D1482" s="41">
        <v>46083</v>
      </c>
      <c r="E1482" s="41">
        <v>46113</v>
      </c>
      <c r="F1482" s="41">
        <v>46091</v>
      </c>
      <c r="G1482" s="42">
        <v>-22</v>
      </c>
      <c r="H1482" s="40" t="s">
        <v>556</v>
      </c>
      <c r="I1482" s="39" t="s">
        <v>320</v>
      </c>
      <c r="J1482" s="43">
        <v>5000</v>
      </c>
      <c r="K1482" s="43">
        <v>0</v>
      </c>
      <c r="L1482" s="43">
        <v>5000</v>
      </c>
      <c r="M1482" s="44">
        <v>0</v>
      </c>
      <c r="N1482" s="44">
        <f t="shared" si="23"/>
        <v>5000</v>
      </c>
      <c r="O1482" s="44">
        <v>5000</v>
      </c>
      <c r="P1482" s="40" t="s">
        <v>7617</v>
      </c>
      <c r="Q1482" s="40" t="s">
        <v>7618</v>
      </c>
      <c r="R1482" s="40" t="s">
        <v>494</v>
      </c>
      <c r="S1482" s="40" t="s">
        <v>502</v>
      </c>
      <c r="T1482" s="40" t="s">
        <v>497</v>
      </c>
      <c r="U1482" s="40" t="s">
        <v>7619</v>
      </c>
      <c r="V1482" s="40"/>
      <c r="W1482" s="40" t="s">
        <v>7620</v>
      </c>
    </row>
    <row r="1483" spans="1:23" ht="12" x14ac:dyDescent="0.2">
      <c r="A1483" s="39" t="s">
        <v>55</v>
      </c>
      <c r="B1483" s="40" t="s">
        <v>371</v>
      </c>
      <c r="C1483" s="40" t="s">
        <v>7621</v>
      </c>
      <c r="D1483" s="41">
        <v>46083</v>
      </c>
      <c r="E1483" s="41">
        <v>46113</v>
      </c>
      <c r="F1483" s="41">
        <v>46091</v>
      </c>
      <c r="G1483" s="42">
        <v>-22</v>
      </c>
      <c r="H1483" s="40" t="s">
        <v>556</v>
      </c>
      <c r="I1483" s="39" t="s">
        <v>320</v>
      </c>
      <c r="J1483" s="43">
        <v>7188.76</v>
      </c>
      <c r="K1483" s="43">
        <v>0</v>
      </c>
      <c r="L1483" s="43">
        <v>7188.76</v>
      </c>
      <c r="M1483" s="44">
        <v>0</v>
      </c>
      <c r="N1483" s="44">
        <f t="shared" si="23"/>
        <v>7188.76</v>
      </c>
      <c r="O1483" s="44">
        <v>7188.76</v>
      </c>
      <c r="P1483" s="40" t="s">
        <v>7622</v>
      </c>
      <c r="Q1483" s="40" t="s">
        <v>7623</v>
      </c>
      <c r="R1483" s="40" t="s">
        <v>494</v>
      </c>
      <c r="S1483" s="40" t="s">
        <v>502</v>
      </c>
      <c r="T1483" s="40" t="s">
        <v>542</v>
      </c>
      <c r="U1483" s="40" t="s">
        <v>5216</v>
      </c>
      <c r="V1483" s="40"/>
      <c r="W1483" s="40" t="s">
        <v>7624</v>
      </c>
    </row>
    <row r="1484" spans="1:23" ht="12" x14ac:dyDescent="0.2">
      <c r="A1484" s="39" t="s">
        <v>2755</v>
      </c>
      <c r="B1484" s="40" t="s">
        <v>2756</v>
      </c>
      <c r="C1484" s="40" t="s">
        <v>7625</v>
      </c>
      <c r="D1484" s="41">
        <v>46083</v>
      </c>
      <c r="E1484" s="41">
        <v>46113</v>
      </c>
      <c r="F1484" s="41">
        <v>46091</v>
      </c>
      <c r="G1484" s="42">
        <v>-22</v>
      </c>
      <c r="H1484" s="40" t="s">
        <v>556</v>
      </c>
      <c r="I1484" s="39" t="s">
        <v>320</v>
      </c>
      <c r="J1484" s="43">
        <v>45662.92</v>
      </c>
      <c r="K1484" s="43">
        <v>0</v>
      </c>
      <c r="L1484" s="43">
        <v>45662.92</v>
      </c>
      <c r="M1484" s="44">
        <v>0</v>
      </c>
      <c r="N1484" s="44">
        <f t="shared" si="23"/>
        <v>45662.92</v>
      </c>
      <c r="O1484" s="44">
        <v>45662.92</v>
      </c>
      <c r="P1484" s="40" t="s">
        <v>2757</v>
      </c>
      <c r="Q1484" s="40" t="s">
        <v>2758</v>
      </c>
      <c r="R1484" s="40" t="s">
        <v>494</v>
      </c>
      <c r="S1484" s="40" t="s">
        <v>502</v>
      </c>
      <c r="T1484" s="40" t="s">
        <v>506</v>
      </c>
      <c r="U1484" s="40" t="s">
        <v>2759</v>
      </c>
      <c r="V1484" s="40"/>
      <c r="W1484" s="40"/>
    </row>
    <row r="1485" spans="1:23" ht="12" x14ac:dyDescent="0.2">
      <c r="A1485" s="39" t="s">
        <v>412</v>
      </c>
      <c r="B1485" s="40" t="s">
        <v>411</v>
      </c>
      <c r="C1485" s="40" t="s">
        <v>7626</v>
      </c>
      <c r="D1485" s="41">
        <v>46083</v>
      </c>
      <c r="E1485" s="41">
        <v>46113</v>
      </c>
      <c r="F1485" s="41">
        <v>46091</v>
      </c>
      <c r="G1485" s="42">
        <v>-22</v>
      </c>
      <c r="H1485" s="40" t="s">
        <v>556</v>
      </c>
      <c r="I1485" s="39" t="s">
        <v>320</v>
      </c>
      <c r="J1485" s="43">
        <v>5064.1400000000003</v>
      </c>
      <c r="K1485" s="43">
        <v>0</v>
      </c>
      <c r="L1485" s="43">
        <v>5064.1400000000003</v>
      </c>
      <c r="M1485" s="44">
        <v>0</v>
      </c>
      <c r="N1485" s="44">
        <f t="shared" si="23"/>
        <v>5064.1400000000003</v>
      </c>
      <c r="O1485" s="44">
        <v>5064.1400000000003</v>
      </c>
      <c r="P1485" s="40" t="s">
        <v>7627</v>
      </c>
      <c r="Q1485" s="40" t="s">
        <v>7628</v>
      </c>
      <c r="R1485" s="40" t="s">
        <v>494</v>
      </c>
      <c r="S1485" s="40" t="s">
        <v>502</v>
      </c>
      <c r="T1485" s="40" t="s">
        <v>287</v>
      </c>
      <c r="U1485" s="40" t="s">
        <v>7629</v>
      </c>
      <c r="V1485" s="40"/>
      <c r="W1485" s="40" t="s">
        <v>7630</v>
      </c>
    </row>
    <row r="1486" spans="1:23" ht="12" x14ac:dyDescent="0.2">
      <c r="A1486" s="39" t="s">
        <v>337</v>
      </c>
      <c r="B1486" s="40" t="s">
        <v>336</v>
      </c>
      <c r="C1486" s="40" t="s">
        <v>7631</v>
      </c>
      <c r="D1486" s="41">
        <v>46083</v>
      </c>
      <c r="E1486" s="41">
        <v>46113</v>
      </c>
      <c r="F1486" s="41">
        <v>46091</v>
      </c>
      <c r="G1486" s="42">
        <v>-22</v>
      </c>
      <c r="H1486" s="40" t="s">
        <v>556</v>
      </c>
      <c r="I1486" s="39" t="s">
        <v>320</v>
      </c>
      <c r="J1486" s="43">
        <v>23839.15</v>
      </c>
      <c r="K1486" s="43">
        <v>0</v>
      </c>
      <c r="L1486" s="43">
        <v>23839.15</v>
      </c>
      <c r="M1486" s="44">
        <v>0</v>
      </c>
      <c r="N1486" s="44">
        <f t="shared" si="23"/>
        <v>23839.15</v>
      </c>
      <c r="O1486" s="44">
        <v>23839.15</v>
      </c>
      <c r="P1486" s="40" t="s">
        <v>5299</v>
      </c>
      <c r="Q1486" s="40" t="s">
        <v>5300</v>
      </c>
      <c r="R1486" s="40" t="s">
        <v>494</v>
      </c>
      <c r="S1486" s="40" t="s">
        <v>502</v>
      </c>
      <c r="T1486" s="40" t="s">
        <v>289</v>
      </c>
      <c r="U1486" s="40" t="s">
        <v>1095</v>
      </c>
      <c r="V1486" s="40"/>
      <c r="W1486" s="40" t="s">
        <v>5301</v>
      </c>
    </row>
    <row r="1487" spans="1:23" ht="12" x14ac:dyDescent="0.2">
      <c r="A1487" s="39" t="s">
        <v>7632</v>
      </c>
      <c r="B1487" s="40" t="s">
        <v>7633</v>
      </c>
      <c r="C1487" s="40" t="s">
        <v>7634</v>
      </c>
      <c r="D1487" s="41">
        <v>46083</v>
      </c>
      <c r="E1487" s="41">
        <v>46113</v>
      </c>
      <c r="F1487" s="41">
        <v>46091</v>
      </c>
      <c r="G1487" s="42">
        <v>-22</v>
      </c>
      <c r="H1487" s="40" t="s">
        <v>556</v>
      </c>
      <c r="I1487" s="39" t="s">
        <v>320</v>
      </c>
      <c r="J1487" s="43">
        <v>22000</v>
      </c>
      <c r="K1487" s="43">
        <v>0</v>
      </c>
      <c r="L1487" s="43">
        <v>22000</v>
      </c>
      <c r="M1487" s="44">
        <v>0</v>
      </c>
      <c r="N1487" s="44">
        <f t="shared" si="23"/>
        <v>22000</v>
      </c>
      <c r="O1487" s="44">
        <v>22000</v>
      </c>
      <c r="P1487" s="40" t="s">
        <v>7635</v>
      </c>
      <c r="Q1487" s="40" t="s">
        <v>7636</v>
      </c>
      <c r="R1487" s="40" t="s">
        <v>494</v>
      </c>
      <c r="S1487" s="40" t="s">
        <v>502</v>
      </c>
      <c r="T1487" s="40" t="s">
        <v>301</v>
      </c>
      <c r="U1487" s="40" t="s">
        <v>3127</v>
      </c>
      <c r="V1487" s="40"/>
      <c r="W1487" s="40"/>
    </row>
    <row r="1488" spans="1:23" ht="12" x14ac:dyDescent="0.2">
      <c r="A1488" s="39" t="s">
        <v>1518</v>
      </c>
      <c r="B1488" s="40" t="s">
        <v>5378</v>
      </c>
      <c r="C1488" s="40" t="s">
        <v>7637</v>
      </c>
      <c r="D1488" s="41">
        <v>46083</v>
      </c>
      <c r="E1488" s="41">
        <v>46113</v>
      </c>
      <c r="F1488" s="41">
        <v>46091</v>
      </c>
      <c r="G1488" s="42">
        <v>-22</v>
      </c>
      <c r="H1488" s="40" t="s">
        <v>556</v>
      </c>
      <c r="I1488" s="39" t="s">
        <v>320</v>
      </c>
      <c r="J1488" s="43">
        <v>10511.7</v>
      </c>
      <c r="K1488" s="43">
        <v>1751.95</v>
      </c>
      <c r="L1488" s="43">
        <v>10511.7</v>
      </c>
      <c r="M1488" s="44">
        <v>1751.95</v>
      </c>
      <c r="N1488" s="44">
        <f t="shared" si="23"/>
        <v>8759.75</v>
      </c>
      <c r="O1488" s="44">
        <v>10511.7</v>
      </c>
      <c r="P1488" s="40" t="s">
        <v>7638</v>
      </c>
      <c r="Q1488" s="40" t="s">
        <v>7639</v>
      </c>
      <c r="R1488" s="40" t="s">
        <v>494</v>
      </c>
      <c r="S1488" s="40" t="s">
        <v>502</v>
      </c>
      <c r="T1488" s="40" t="s">
        <v>218</v>
      </c>
      <c r="U1488" s="40" t="s">
        <v>7640</v>
      </c>
      <c r="V1488" s="40"/>
      <c r="W1488" s="40" t="s">
        <v>7641</v>
      </c>
    </row>
    <row r="1489" spans="1:23" ht="12" x14ac:dyDescent="0.2">
      <c r="A1489" s="39" t="s">
        <v>33</v>
      </c>
      <c r="B1489" s="40" t="s">
        <v>340</v>
      </c>
      <c r="C1489" s="40" t="s">
        <v>7642</v>
      </c>
      <c r="D1489" s="41">
        <v>46083</v>
      </c>
      <c r="E1489" s="41">
        <v>46113</v>
      </c>
      <c r="F1489" s="41">
        <v>46091</v>
      </c>
      <c r="G1489" s="42">
        <v>-22</v>
      </c>
      <c r="H1489" s="40" t="s">
        <v>556</v>
      </c>
      <c r="I1489" s="39" t="s">
        <v>320</v>
      </c>
      <c r="J1489" s="43">
        <v>1496.74</v>
      </c>
      <c r="K1489" s="43">
        <v>0</v>
      </c>
      <c r="L1489" s="43">
        <v>1496.74</v>
      </c>
      <c r="M1489" s="44">
        <v>0</v>
      </c>
      <c r="N1489" s="44">
        <f t="shared" si="23"/>
        <v>1496.74</v>
      </c>
      <c r="O1489" s="44">
        <v>1496.74</v>
      </c>
      <c r="P1489" s="40" t="s">
        <v>7643</v>
      </c>
      <c r="Q1489" s="40" t="s">
        <v>7644</v>
      </c>
      <c r="R1489" s="40" t="s">
        <v>494</v>
      </c>
      <c r="S1489" s="40" t="s">
        <v>502</v>
      </c>
      <c r="T1489" s="40" t="s">
        <v>287</v>
      </c>
      <c r="U1489" s="40" t="s">
        <v>7645</v>
      </c>
      <c r="V1489" s="40"/>
      <c r="W1489" s="40" t="s">
        <v>7646</v>
      </c>
    </row>
    <row r="1490" spans="1:23" ht="12" x14ac:dyDescent="0.2">
      <c r="A1490" s="39" t="s">
        <v>7647</v>
      </c>
      <c r="B1490" s="40" t="s">
        <v>7648</v>
      </c>
      <c r="C1490" s="40" t="s">
        <v>7649</v>
      </c>
      <c r="D1490" s="41">
        <v>46083</v>
      </c>
      <c r="E1490" s="41">
        <v>46113</v>
      </c>
      <c r="F1490" s="41">
        <v>46091</v>
      </c>
      <c r="G1490" s="42">
        <v>-22</v>
      </c>
      <c r="H1490" s="40" t="s">
        <v>556</v>
      </c>
      <c r="I1490" s="39" t="s">
        <v>320</v>
      </c>
      <c r="J1490" s="43">
        <v>30000</v>
      </c>
      <c r="K1490" s="43">
        <v>5000</v>
      </c>
      <c r="L1490" s="43">
        <v>30000</v>
      </c>
      <c r="M1490" s="44">
        <v>5000</v>
      </c>
      <c r="N1490" s="44">
        <f t="shared" si="23"/>
        <v>25000</v>
      </c>
      <c r="O1490" s="44">
        <v>30000</v>
      </c>
      <c r="P1490" s="40" t="s">
        <v>7650</v>
      </c>
      <c r="Q1490" s="40" t="s">
        <v>7651</v>
      </c>
      <c r="R1490" s="40" t="s">
        <v>494</v>
      </c>
      <c r="S1490" s="40" t="s">
        <v>502</v>
      </c>
      <c r="T1490" s="40" t="s">
        <v>219</v>
      </c>
      <c r="U1490" s="40" t="s">
        <v>2420</v>
      </c>
      <c r="V1490" s="40"/>
      <c r="W1490" s="40"/>
    </row>
    <row r="1491" spans="1:23" ht="12" x14ac:dyDescent="0.2">
      <c r="A1491" s="39" t="s">
        <v>2094</v>
      </c>
      <c r="B1491" s="40" t="s">
        <v>4881</v>
      </c>
      <c r="C1491" s="40" t="s">
        <v>7652</v>
      </c>
      <c r="D1491" s="41">
        <v>46083</v>
      </c>
      <c r="E1491" s="41">
        <v>46113</v>
      </c>
      <c r="F1491" s="41">
        <v>46091</v>
      </c>
      <c r="G1491" s="42">
        <v>-22</v>
      </c>
      <c r="H1491" s="40" t="s">
        <v>556</v>
      </c>
      <c r="I1491" s="39" t="s">
        <v>320</v>
      </c>
      <c r="J1491" s="43">
        <v>2066.1799999999998</v>
      </c>
      <c r="K1491" s="43">
        <v>0</v>
      </c>
      <c r="L1491" s="43">
        <v>2066.1799999999998</v>
      </c>
      <c r="M1491" s="44">
        <v>0</v>
      </c>
      <c r="N1491" s="44">
        <f t="shared" si="23"/>
        <v>2066.1799999999998</v>
      </c>
      <c r="O1491" s="44">
        <v>2066.1799999999998</v>
      </c>
      <c r="P1491" s="40" t="s">
        <v>2093</v>
      </c>
      <c r="Q1491" s="40" t="s">
        <v>4883</v>
      </c>
      <c r="R1491" s="40" t="s">
        <v>494</v>
      </c>
      <c r="S1491" s="40" t="s">
        <v>502</v>
      </c>
      <c r="T1491" s="40" t="s">
        <v>191</v>
      </c>
      <c r="U1491" s="40" t="s">
        <v>4884</v>
      </c>
      <c r="V1491" s="40"/>
      <c r="W1491" s="40" t="s">
        <v>4885</v>
      </c>
    </row>
    <row r="1492" spans="1:23" ht="12" x14ac:dyDescent="0.2">
      <c r="A1492" s="39" t="s">
        <v>1067</v>
      </c>
      <c r="B1492" s="40" t="s">
        <v>1176</v>
      </c>
      <c r="C1492" s="40" t="s">
        <v>7653</v>
      </c>
      <c r="D1492" s="41">
        <v>46083</v>
      </c>
      <c r="E1492" s="41">
        <v>46113</v>
      </c>
      <c r="F1492" s="41">
        <v>46091</v>
      </c>
      <c r="G1492" s="42">
        <v>-22</v>
      </c>
      <c r="H1492" s="40" t="s">
        <v>556</v>
      </c>
      <c r="I1492" s="39" t="s">
        <v>320</v>
      </c>
      <c r="J1492" s="43">
        <v>10000</v>
      </c>
      <c r="K1492" s="43">
        <v>0</v>
      </c>
      <c r="L1492" s="43">
        <v>10000</v>
      </c>
      <c r="M1492" s="44">
        <v>0</v>
      </c>
      <c r="N1492" s="44">
        <f t="shared" si="23"/>
        <v>10000</v>
      </c>
      <c r="O1492" s="44">
        <v>10000</v>
      </c>
      <c r="P1492" s="40" t="s">
        <v>7654</v>
      </c>
      <c r="Q1492" s="40" t="s">
        <v>7655</v>
      </c>
      <c r="R1492" s="40" t="s">
        <v>494</v>
      </c>
      <c r="S1492" s="40" t="s">
        <v>502</v>
      </c>
      <c r="T1492" s="40" t="s">
        <v>282</v>
      </c>
      <c r="U1492" s="40" t="s">
        <v>3366</v>
      </c>
      <c r="V1492" s="40"/>
      <c r="W1492" s="40" t="s">
        <v>7656</v>
      </c>
    </row>
    <row r="1493" spans="1:23" ht="12" x14ac:dyDescent="0.2">
      <c r="A1493" s="39" t="s">
        <v>7657</v>
      </c>
      <c r="B1493" s="40" t="s">
        <v>7658</v>
      </c>
      <c r="C1493" s="40" t="s">
        <v>7659</v>
      </c>
      <c r="D1493" s="41">
        <v>46083</v>
      </c>
      <c r="E1493" s="41">
        <v>46113</v>
      </c>
      <c r="F1493" s="41">
        <v>46091</v>
      </c>
      <c r="G1493" s="42">
        <v>-22</v>
      </c>
      <c r="H1493" s="40" t="s">
        <v>556</v>
      </c>
      <c r="I1493" s="39" t="s">
        <v>320</v>
      </c>
      <c r="J1493" s="43">
        <v>198504</v>
      </c>
      <c r="K1493" s="43">
        <v>33084</v>
      </c>
      <c r="L1493" s="43">
        <v>198504</v>
      </c>
      <c r="M1493" s="44">
        <v>33084</v>
      </c>
      <c r="N1493" s="44">
        <f t="shared" si="23"/>
        <v>165420</v>
      </c>
      <c r="O1493" s="44">
        <v>198504</v>
      </c>
      <c r="P1493" s="40" t="s">
        <v>7660</v>
      </c>
      <c r="Q1493" s="40" t="s">
        <v>7661</v>
      </c>
      <c r="R1493" s="40" t="s">
        <v>494</v>
      </c>
      <c r="S1493" s="40" t="s">
        <v>502</v>
      </c>
      <c r="T1493" s="40" t="s">
        <v>330</v>
      </c>
      <c r="U1493" s="40" t="s">
        <v>4889</v>
      </c>
      <c r="V1493" s="40"/>
      <c r="W1493" s="40"/>
    </row>
    <row r="1494" spans="1:23" ht="12" x14ac:dyDescent="0.2">
      <c r="A1494" s="39" t="s">
        <v>7662</v>
      </c>
      <c r="B1494" s="40" t="s">
        <v>7663</v>
      </c>
      <c r="C1494" s="40" t="s">
        <v>7664</v>
      </c>
      <c r="D1494" s="41">
        <v>46083</v>
      </c>
      <c r="E1494" s="41">
        <v>46113</v>
      </c>
      <c r="F1494" s="41">
        <v>46091</v>
      </c>
      <c r="G1494" s="42">
        <v>-22</v>
      </c>
      <c r="H1494" s="40" t="s">
        <v>556</v>
      </c>
      <c r="I1494" s="39" t="s">
        <v>3061</v>
      </c>
      <c r="J1494" s="43">
        <v>54999.95</v>
      </c>
      <c r="K1494" s="43">
        <v>0</v>
      </c>
      <c r="L1494" s="43">
        <v>1545.83</v>
      </c>
      <c r="M1494" s="44">
        <v>0</v>
      </c>
      <c r="N1494" s="44">
        <f t="shared" si="23"/>
        <v>1285.26</v>
      </c>
      <c r="O1494" s="44">
        <v>1285.26</v>
      </c>
      <c r="P1494" s="40" t="s">
        <v>7665</v>
      </c>
      <c r="Q1494" s="40" t="s">
        <v>7666</v>
      </c>
      <c r="R1494" s="40" t="s">
        <v>494</v>
      </c>
      <c r="S1494" s="40" t="s">
        <v>502</v>
      </c>
      <c r="T1494" s="40" t="s">
        <v>301</v>
      </c>
      <c r="U1494" s="40" t="s">
        <v>3628</v>
      </c>
      <c r="V1494" s="40"/>
      <c r="W1494" s="40" t="s">
        <v>7667</v>
      </c>
    </row>
    <row r="1495" spans="1:23" ht="12" x14ac:dyDescent="0.2">
      <c r="A1495" s="39" t="s">
        <v>3757</v>
      </c>
      <c r="B1495" s="40" t="s">
        <v>7668</v>
      </c>
      <c r="C1495" s="40" t="s">
        <v>7669</v>
      </c>
      <c r="D1495" s="41">
        <v>46083</v>
      </c>
      <c r="E1495" s="41">
        <v>46113</v>
      </c>
      <c r="F1495" s="41">
        <v>46091</v>
      </c>
      <c r="G1495" s="42">
        <v>-22</v>
      </c>
      <c r="H1495" s="40" t="s">
        <v>556</v>
      </c>
      <c r="I1495" s="39" t="s">
        <v>323</v>
      </c>
      <c r="J1495" s="43">
        <v>103825.19</v>
      </c>
      <c r="K1495" s="43">
        <v>0</v>
      </c>
      <c r="L1495" s="43">
        <v>103825.19</v>
      </c>
      <c r="M1495" s="44">
        <v>0</v>
      </c>
      <c r="N1495" s="44">
        <f t="shared" si="23"/>
        <v>76907.55</v>
      </c>
      <c r="O1495" s="44">
        <v>76907.55</v>
      </c>
      <c r="P1495" s="40" t="s">
        <v>3754</v>
      </c>
      <c r="Q1495" s="40" t="s">
        <v>7670</v>
      </c>
      <c r="R1495" s="40" t="s">
        <v>494</v>
      </c>
      <c r="S1495" s="40" t="s">
        <v>502</v>
      </c>
      <c r="T1495" s="40" t="s">
        <v>534</v>
      </c>
      <c r="U1495" s="40" t="s">
        <v>1138</v>
      </c>
      <c r="V1495" s="40"/>
      <c r="W1495" s="40"/>
    </row>
    <row r="1496" spans="1:23" ht="12" x14ac:dyDescent="0.2">
      <c r="A1496" s="39" t="s">
        <v>71</v>
      </c>
      <c r="B1496" s="40" t="s">
        <v>458</v>
      </c>
      <c r="C1496" s="40" t="s">
        <v>7671</v>
      </c>
      <c r="D1496" s="41">
        <v>46083</v>
      </c>
      <c r="E1496" s="41">
        <v>46113</v>
      </c>
      <c r="F1496" s="41">
        <v>46091</v>
      </c>
      <c r="G1496" s="42">
        <v>-22</v>
      </c>
      <c r="H1496" s="40" t="s">
        <v>556</v>
      </c>
      <c r="I1496" s="39" t="s">
        <v>320</v>
      </c>
      <c r="J1496" s="43">
        <v>17103.580000000002</v>
      </c>
      <c r="K1496" s="43">
        <v>0</v>
      </c>
      <c r="L1496" s="43">
        <v>17103.580000000002</v>
      </c>
      <c r="M1496" s="44">
        <v>0</v>
      </c>
      <c r="N1496" s="44">
        <f t="shared" si="23"/>
        <v>17103.580000000002</v>
      </c>
      <c r="O1496" s="44">
        <v>17103.580000000002</v>
      </c>
      <c r="P1496" s="40" t="s">
        <v>7672</v>
      </c>
      <c r="Q1496" s="40" t="s">
        <v>7673</v>
      </c>
      <c r="R1496" s="40" t="s">
        <v>494</v>
      </c>
      <c r="S1496" s="40" t="s">
        <v>502</v>
      </c>
      <c r="T1496" s="40" t="s">
        <v>542</v>
      </c>
      <c r="U1496" s="40" t="s">
        <v>7674</v>
      </c>
      <c r="V1496" s="40"/>
      <c r="W1496" s="40" t="s">
        <v>7675</v>
      </c>
    </row>
    <row r="1497" spans="1:23" ht="12" x14ac:dyDescent="0.2">
      <c r="A1497" s="39" t="s">
        <v>949</v>
      </c>
      <c r="B1497" s="40" t="s">
        <v>1118</v>
      </c>
      <c r="C1497" s="40" t="s">
        <v>7676</v>
      </c>
      <c r="D1497" s="41">
        <v>46083</v>
      </c>
      <c r="E1497" s="41">
        <v>46113</v>
      </c>
      <c r="F1497" s="41">
        <v>46091</v>
      </c>
      <c r="G1497" s="42">
        <v>-22</v>
      </c>
      <c r="H1497" s="40" t="s">
        <v>556</v>
      </c>
      <c r="I1497" s="39" t="s">
        <v>320</v>
      </c>
      <c r="J1497" s="43">
        <v>29645.26</v>
      </c>
      <c r="K1497" s="43">
        <v>0</v>
      </c>
      <c r="L1497" s="43">
        <v>29645.26</v>
      </c>
      <c r="M1497" s="44">
        <v>0</v>
      </c>
      <c r="N1497" s="44">
        <f t="shared" si="23"/>
        <v>29645.26</v>
      </c>
      <c r="O1497" s="44">
        <v>29645.26</v>
      </c>
      <c r="P1497" s="40" t="s">
        <v>1146</v>
      </c>
      <c r="Q1497" s="40" t="s">
        <v>7677</v>
      </c>
      <c r="R1497" s="40" t="s">
        <v>494</v>
      </c>
      <c r="S1497" s="40" t="s">
        <v>502</v>
      </c>
      <c r="T1497" s="40" t="s">
        <v>362</v>
      </c>
      <c r="U1497" s="40" t="s">
        <v>7678</v>
      </c>
      <c r="V1497" s="40"/>
      <c r="W1497" s="40" t="s">
        <v>7679</v>
      </c>
    </row>
    <row r="1498" spans="1:23" ht="12" x14ac:dyDescent="0.2">
      <c r="A1498" s="39" t="s">
        <v>7680</v>
      </c>
      <c r="B1498" s="40" t="s">
        <v>7681</v>
      </c>
      <c r="C1498" s="40" t="s">
        <v>7682</v>
      </c>
      <c r="D1498" s="41">
        <v>46083</v>
      </c>
      <c r="E1498" s="41">
        <v>46113</v>
      </c>
      <c r="F1498" s="41">
        <v>46091</v>
      </c>
      <c r="G1498" s="42">
        <v>-22</v>
      </c>
      <c r="H1498" s="40" t="s">
        <v>556</v>
      </c>
      <c r="I1498" s="39" t="s">
        <v>320</v>
      </c>
      <c r="J1498" s="43">
        <v>-1847.03</v>
      </c>
      <c r="K1498" s="43">
        <v>0</v>
      </c>
      <c r="L1498" s="43">
        <v>-1847.03</v>
      </c>
      <c r="M1498" s="44">
        <v>0</v>
      </c>
      <c r="N1498" s="44">
        <f t="shared" si="23"/>
        <v>-1847.03</v>
      </c>
      <c r="O1498" s="44">
        <v>-1847.03</v>
      </c>
      <c r="P1498" s="40" t="s">
        <v>7683</v>
      </c>
      <c r="Q1498" s="40" t="s">
        <v>7684</v>
      </c>
      <c r="R1498" s="40" t="s">
        <v>494</v>
      </c>
      <c r="S1498" s="40" t="s">
        <v>495</v>
      </c>
      <c r="T1498" s="40" t="s">
        <v>330</v>
      </c>
      <c r="U1498" s="40" t="s">
        <v>7685</v>
      </c>
      <c r="V1498" s="40" t="s">
        <v>4017</v>
      </c>
      <c r="W1498" s="40" t="s">
        <v>7686</v>
      </c>
    </row>
    <row r="1499" spans="1:23" ht="12" x14ac:dyDescent="0.2">
      <c r="A1499" s="39" t="s">
        <v>949</v>
      </c>
      <c r="B1499" s="40" t="s">
        <v>1118</v>
      </c>
      <c r="C1499" s="40" t="s">
        <v>7687</v>
      </c>
      <c r="D1499" s="41">
        <v>46083</v>
      </c>
      <c r="E1499" s="41">
        <v>46113</v>
      </c>
      <c r="F1499" s="41">
        <v>46091</v>
      </c>
      <c r="G1499" s="42">
        <v>-22</v>
      </c>
      <c r="H1499" s="40" t="s">
        <v>556</v>
      </c>
      <c r="I1499" s="39" t="s">
        <v>320</v>
      </c>
      <c r="J1499" s="43">
        <v>120455.35</v>
      </c>
      <c r="K1499" s="43">
        <v>0</v>
      </c>
      <c r="L1499" s="43">
        <v>120455.35</v>
      </c>
      <c r="M1499" s="44">
        <v>0</v>
      </c>
      <c r="N1499" s="44">
        <f t="shared" si="23"/>
        <v>120455.35</v>
      </c>
      <c r="O1499" s="44">
        <v>120455.35</v>
      </c>
      <c r="P1499" s="40" t="s">
        <v>1524</v>
      </c>
      <c r="Q1499" s="40" t="s">
        <v>7688</v>
      </c>
      <c r="R1499" s="40" t="s">
        <v>494</v>
      </c>
      <c r="S1499" s="40" t="s">
        <v>502</v>
      </c>
      <c r="T1499" s="40" t="s">
        <v>362</v>
      </c>
      <c r="U1499" s="40" t="s">
        <v>1235</v>
      </c>
      <c r="V1499" s="40"/>
      <c r="W1499" s="40" t="s">
        <v>7689</v>
      </c>
    </row>
    <row r="1500" spans="1:23" ht="12" x14ac:dyDescent="0.2">
      <c r="A1500" s="39" t="s">
        <v>37</v>
      </c>
      <c r="B1500" s="40" t="s">
        <v>452</v>
      </c>
      <c r="C1500" s="40" t="s">
        <v>7690</v>
      </c>
      <c r="D1500" s="41">
        <v>46083</v>
      </c>
      <c r="E1500" s="41">
        <v>46113</v>
      </c>
      <c r="F1500" s="41">
        <v>46091</v>
      </c>
      <c r="G1500" s="42">
        <v>-22</v>
      </c>
      <c r="H1500" s="40" t="s">
        <v>556</v>
      </c>
      <c r="I1500" s="39" t="s">
        <v>320</v>
      </c>
      <c r="J1500" s="43">
        <v>12475.44</v>
      </c>
      <c r="K1500" s="43">
        <v>0</v>
      </c>
      <c r="L1500" s="43">
        <v>12475.44</v>
      </c>
      <c r="M1500" s="44">
        <v>0</v>
      </c>
      <c r="N1500" s="44">
        <f t="shared" si="23"/>
        <v>12475.44</v>
      </c>
      <c r="O1500" s="44">
        <v>12475.44</v>
      </c>
      <c r="P1500" s="40" t="s">
        <v>7691</v>
      </c>
      <c r="Q1500" s="40" t="s">
        <v>7692</v>
      </c>
      <c r="R1500" s="40" t="s">
        <v>494</v>
      </c>
      <c r="S1500" s="40" t="s">
        <v>502</v>
      </c>
      <c r="T1500" s="40" t="s">
        <v>506</v>
      </c>
      <c r="U1500" s="40" t="s">
        <v>2188</v>
      </c>
      <c r="V1500" s="40"/>
      <c r="W1500" s="40" t="s">
        <v>7693</v>
      </c>
    </row>
    <row r="1501" spans="1:23" ht="12" x14ac:dyDescent="0.2">
      <c r="A1501" s="39" t="s">
        <v>337</v>
      </c>
      <c r="B1501" s="40" t="s">
        <v>336</v>
      </c>
      <c r="C1501" s="40" t="s">
        <v>7694</v>
      </c>
      <c r="D1501" s="41">
        <v>46083</v>
      </c>
      <c r="E1501" s="41">
        <v>46113</v>
      </c>
      <c r="F1501" s="41">
        <v>46091</v>
      </c>
      <c r="G1501" s="42">
        <v>-22</v>
      </c>
      <c r="H1501" s="40" t="s">
        <v>556</v>
      </c>
      <c r="I1501" s="39" t="s">
        <v>320</v>
      </c>
      <c r="J1501" s="43">
        <v>57669.87</v>
      </c>
      <c r="K1501" s="43">
        <v>0</v>
      </c>
      <c r="L1501" s="43">
        <v>57669.87</v>
      </c>
      <c r="M1501" s="44">
        <v>0</v>
      </c>
      <c r="N1501" s="44">
        <f t="shared" si="23"/>
        <v>57669.87</v>
      </c>
      <c r="O1501" s="44">
        <v>57669.87</v>
      </c>
      <c r="P1501" s="40" t="s">
        <v>1092</v>
      </c>
      <c r="Q1501" s="40" t="s">
        <v>1093</v>
      </c>
      <c r="R1501" s="40" t="s">
        <v>494</v>
      </c>
      <c r="S1501" s="40" t="s">
        <v>502</v>
      </c>
      <c r="T1501" s="40" t="s">
        <v>289</v>
      </c>
      <c r="U1501" s="40" t="s">
        <v>637</v>
      </c>
      <c r="V1501" s="40"/>
      <c r="W1501" s="40" t="s">
        <v>1094</v>
      </c>
    </row>
    <row r="1502" spans="1:23" ht="12" x14ac:dyDescent="0.2">
      <c r="A1502" s="39" t="s">
        <v>958</v>
      </c>
      <c r="B1502" s="40" t="s">
        <v>7695</v>
      </c>
      <c r="C1502" s="40" t="s">
        <v>7696</v>
      </c>
      <c r="D1502" s="41">
        <v>46083</v>
      </c>
      <c r="E1502" s="41">
        <v>46113</v>
      </c>
      <c r="F1502" s="41">
        <v>46091</v>
      </c>
      <c r="G1502" s="42">
        <v>-22</v>
      </c>
      <c r="H1502" s="40" t="s">
        <v>556</v>
      </c>
      <c r="I1502" s="39" t="s">
        <v>320</v>
      </c>
      <c r="J1502" s="43">
        <v>1330301</v>
      </c>
      <c r="K1502" s="43">
        <v>0</v>
      </c>
      <c r="L1502" s="43">
        <v>1330301</v>
      </c>
      <c r="M1502" s="44">
        <v>0</v>
      </c>
      <c r="N1502" s="44">
        <f t="shared" si="23"/>
        <v>1330301</v>
      </c>
      <c r="O1502" s="44">
        <v>1330301</v>
      </c>
      <c r="P1502" s="40" t="s">
        <v>1557</v>
      </c>
      <c r="Q1502" s="40" t="s">
        <v>7697</v>
      </c>
      <c r="R1502" s="40" t="s">
        <v>494</v>
      </c>
      <c r="S1502" s="40" t="s">
        <v>502</v>
      </c>
      <c r="T1502" s="40" t="s">
        <v>218</v>
      </c>
      <c r="U1502" s="40" t="s">
        <v>7698</v>
      </c>
      <c r="V1502" s="40"/>
      <c r="W1502" s="40" t="s">
        <v>321</v>
      </c>
    </row>
    <row r="1503" spans="1:23" ht="12" x14ac:dyDescent="0.2">
      <c r="A1503" s="39" t="s">
        <v>67</v>
      </c>
      <c r="B1503" s="40" t="s">
        <v>372</v>
      </c>
      <c r="C1503" s="40" t="s">
        <v>7699</v>
      </c>
      <c r="D1503" s="41">
        <v>46083</v>
      </c>
      <c r="E1503" s="41">
        <v>46113</v>
      </c>
      <c r="F1503" s="41">
        <v>46091</v>
      </c>
      <c r="G1503" s="42">
        <v>-22</v>
      </c>
      <c r="H1503" s="40" t="s">
        <v>556</v>
      </c>
      <c r="I1503" s="39" t="s">
        <v>320</v>
      </c>
      <c r="J1503" s="43">
        <v>-1799</v>
      </c>
      <c r="K1503" s="43">
        <v>0</v>
      </c>
      <c r="L1503" s="43">
        <v>-1799</v>
      </c>
      <c r="M1503" s="44">
        <v>0</v>
      </c>
      <c r="N1503" s="44">
        <f t="shared" si="23"/>
        <v>-1799</v>
      </c>
      <c r="O1503" s="44">
        <v>-1799</v>
      </c>
      <c r="P1503" s="40" t="s">
        <v>7700</v>
      </c>
      <c r="Q1503" s="40" t="s">
        <v>7701</v>
      </c>
      <c r="R1503" s="40" t="s">
        <v>494</v>
      </c>
      <c r="S1503" s="40" t="s">
        <v>502</v>
      </c>
      <c r="T1503" s="40" t="s">
        <v>172</v>
      </c>
      <c r="U1503" s="40" t="s">
        <v>7702</v>
      </c>
      <c r="V1503" s="40" t="s">
        <v>4017</v>
      </c>
      <c r="W1503" s="40" t="s">
        <v>7703</v>
      </c>
    </row>
    <row r="1504" spans="1:23" ht="12" x14ac:dyDescent="0.2">
      <c r="A1504" s="39" t="s">
        <v>949</v>
      </c>
      <c r="B1504" s="40" t="s">
        <v>1118</v>
      </c>
      <c r="C1504" s="40" t="s">
        <v>7704</v>
      </c>
      <c r="D1504" s="41">
        <v>46083</v>
      </c>
      <c r="E1504" s="41">
        <v>46113</v>
      </c>
      <c r="F1504" s="41">
        <v>46091</v>
      </c>
      <c r="G1504" s="42">
        <v>-22</v>
      </c>
      <c r="H1504" s="40" t="s">
        <v>556</v>
      </c>
      <c r="I1504" s="39" t="s">
        <v>320</v>
      </c>
      <c r="J1504" s="43">
        <v>20750.990000000002</v>
      </c>
      <c r="K1504" s="43">
        <v>0</v>
      </c>
      <c r="L1504" s="43">
        <v>20750.990000000002</v>
      </c>
      <c r="M1504" s="44">
        <v>0</v>
      </c>
      <c r="N1504" s="44">
        <f t="shared" si="23"/>
        <v>20750.990000000002</v>
      </c>
      <c r="O1504" s="44">
        <v>20750.990000000002</v>
      </c>
      <c r="P1504" s="40" t="s">
        <v>1506</v>
      </c>
      <c r="Q1504" s="40" t="s">
        <v>1507</v>
      </c>
      <c r="R1504" s="40" t="s">
        <v>494</v>
      </c>
      <c r="S1504" s="40" t="s">
        <v>502</v>
      </c>
      <c r="T1504" s="40" t="s">
        <v>362</v>
      </c>
      <c r="U1504" s="40" t="s">
        <v>1235</v>
      </c>
      <c r="V1504" s="40" t="s">
        <v>4842</v>
      </c>
      <c r="W1504" s="40" t="s">
        <v>1508</v>
      </c>
    </row>
    <row r="1505" spans="1:23" ht="12" x14ac:dyDescent="0.2">
      <c r="A1505" s="39" t="s">
        <v>7705</v>
      </c>
      <c r="B1505" s="40" t="s">
        <v>7706</v>
      </c>
      <c r="C1505" s="40" t="s">
        <v>7707</v>
      </c>
      <c r="D1505" s="41">
        <v>46083</v>
      </c>
      <c r="E1505" s="41">
        <v>46113</v>
      </c>
      <c r="F1505" s="41">
        <v>46091</v>
      </c>
      <c r="G1505" s="42">
        <v>-22</v>
      </c>
      <c r="H1505" s="40" t="s">
        <v>556</v>
      </c>
      <c r="I1505" s="39" t="s">
        <v>323</v>
      </c>
      <c r="J1505" s="43">
        <v>51762.53</v>
      </c>
      <c r="K1505" s="43">
        <v>0</v>
      </c>
      <c r="L1505" s="43">
        <v>50</v>
      </c>
      <c r="M1505" s="44">
        <v>0</v>
      </c>
      <c r="N1505" s="44">
        <f t="shared" si="23"/>
        <v>40</v>
      </c>
      <c r="O1505" s="44">
        <v>40</v>
      </c>
      <c r="P1505" s="40" t="s">
        <v>7708</v>
      </c>
      <c r="Q1505" s="40" t="s">
        <v>7709</v>
      </c>
      <c r="R1505" s="40" t="s">
        <v>494</v>
      </c>
      <c r="S1505" s="40" t="s">
        <v>495</v>
      </c>
      <c r="T1505" s="40" t="s">
        <v>327</v>
      </c>
      <c r="U1505" s="40" t="s">
        <v>7710</v>
      </c>
      <c r="V1505" s="40"/>
      <c r="W1505" s="40" t="s">
        <v>322</v>
      </c>
    </row>
    <row r="1506" spans="1:23" ht="12" x14ac:dyDescent="0.2">
      <c r="A1506" s="39" t="s">
        <v>1518</v>
      </c>
      <c r="B1506" s="40" t="s">
        <v>5378</v>
      </c>
      <c r="C1506" s="40" t="s">
        <v>7711</v>
      </c>
      <c r="D1506" s="41">
        <v>46083</v>
      </c>
      <c r="E1506" s="41">
        <v>46113</v>
      </c>
      <c r="F1506" s="41">
        <v>46091</v>
      </c>
      <c r="G1506" s="42">
        <v>-22</v>
      </c>
      <c r="H1506" s="40" t="s">
        <v>556</v>
      </c>
      <c r="I1506" s="39" t="s">
        <v>320</v>
      </c>
      <c r="J1506" s="43">
        <v>4500.16</v>
      </c>
      <c r="K1506" s="43">
        <v>750.03</v>
      </c>
      <c r="L1506" s="43">
        <v>4500.16</v>
      </c>
      <c r="M1506" s="44">
        <v>750.03</v>
      </c>
      <c r="N1506" s="44">
        <f t="shared" si="23"/>
        <v>3750.13</v>
      </c>
      <c r="O1506" s="44">
        <v>4500.16</v>
      </c>
      <c r="P1506" s="40" t="s">
        <v>1517</v>
      </c>
      <c r="Q1506" s="40" t="s">
        <v>7712</v>
      </c>
      <c r="R1506" s="40" t="s">
        <v>494</v>
      </c>
      <c r="S1506" s="40" t="s">
        <v>502</v>
      </c>
      <c r="T1506" s="40" t="s">
        <v>218</v>
      </c>
      <c r="U1506" s="40" t="s">
        <v>563</v>
      </c>
      <c r="V1506" s="40"/>
      <c r="W1506" s="40" t="s">
        <v>7713</v>
      </c>
    </row>
    <row r="1507" spans="1:23" ht="12" x14ac:dyDescent="0.2">
      <c r="A1507" s="39" t="s">
        <v>7714</v>
      </c>
      <c r="B1507" s="40" t="s">
        <v>7715</v>
      </c>
      <c r="C1507" s="40" t="s">
        <v>7716</v>
      </c>
      <c r="D1507" s="41">
        <v>46083</v>
      </c>
      <c r="E1507" s="41">
        <v>46113</v>
      </c>
      <c r="F1507" s="41">
        <v>46091</v>
      </c>
      <c r="G1507" s="42">
        <v>-22</v>
      </c>
      <c r="H1507" s="40" t="s">
        <v>556</v>
      </c>
      <c r="I1507" s="39" t="s">
        <v>323</v>
      </c>
      <c r="J1507" s="43">
        <v>-4139.0600000000004</v>
      </c>
      <c r="K1507" s="43">
        <v>0</v>
      </c>
      <c r="L1507" s="43">
        <v>-4139.0600000000004</v>
      </c>
      <c r="M1507" s="44">
        <v>0</v>
      </c>
      <c r="N1507" s="44">
        <f t="shared" si="23"/>
        <v>-2759.37</v>
      </c>
      <c r="O1507" s="44">
        <v>-2759.37</v>
      </c>
      <c r="P1507" s="40" t="s">
        <v>7717</v>
      </c>
      <c r="Q1507" s="40" t="s">
        <v>7718</v>
      </c>
      <c r="R1507" s="40" t="s">
        <v>494</v>
      </c>
      <c r="S1507" s="40" t="s">
        <v>495</v>
      </c>
      <c r="T1507" s="40" t="s">
        <v>216</v>
      </c>
      <c r="U1507" s="40" t="s">
        <v>2624</v>
      </c>
      <c r="V1507" s="40"/>
      <c r="W1507" s="40" t="s">
        <v>7719</v>
      </c>
    </row>
    <row r="1508" spans="1:23" ht="12" x14ac:dyDescent="0.2">
      <c r="A1508" s="39" t="s">
        <v>7720</v>
      </c>
      <c r="B1508" s="40" t="s">
        <v>7721</v>
      </c>
      <c r="C1508" s="40" t="s">
        <v>7722</v>
      </c>
      <c r="D1508" s="41">
        <v>46083</v>
      </c>
      <c r="E1508" s="41">
        <v>46113</v>
      </c>
      <c r="F1508" s="41">
        <v>46091</v>
      </c>
      <c r="G1508" s="42">
        <v>-22</v>
      </c>
      <c r="H1508" s="40" t="s">
        <v>556</v>
      </c>
      <c r="I1508" s="39" t="s">
        <v>341</v>
      </c>
      <c r="J1508" s="43">
        <v>-7969.36</v>
      </c>
      <c r="K1508" s="43">
        <v>0</v>
      </c>
      <c r="L1508" s="43">
        <v>-7969.36</v>
      </c>
      <c r="M1508" s="44">
        <v>0</v>
      </c>
      <c r="N1508" s="44">
        <f t="shared" si="23"/>
        <v>-6375.49</v>
      </c>
      <c r="O1508" s="44">
        <v>-6375.49</v>
      </c>
      <c r="P1508" s="40" t="s">
        <v>7723</v>
      </c>
      <c r="Q1508" s="40" t="s">
        <v>7724</v>
      </c>
      <c r="R1508" s="40" t="s">
        <v>494</v>
      </c>
      <c r="S1508" s="40" t="s">
        <v>495</v>
      </c>
      <c r="T1508" s="40" t="s">
        <v>227</v>
      </c>
      <c r="U1508" s="40" t="s">
        <v>6118</v>
      </c>
      <c r="V1508" s="40"/>
      <c r="W1508" s="40" t="s">
        <v>321</v>
      </c>
    </row>
    <row r="1509" spans="1:23" ht="12" x14ac:dyDescent="0.2">
      <c r="A1509" s="39" t="s">
        <v>37</v>
      </c>
      <c r="B1509" s="40" t="s">
        <v>452</v>
      </c>
      <c r="C1509" s="40" t="s">
        <v>7725</v>
      </c>
      <c r="D1509" s="41">
        <v>46084</v>
      </c>
      <c r="E1509" s="41">
        <v>46114</v>
      </c>
      <c r="F1509" s="41">
        <v>46091</v>
      </c>
      <c r="G1509" s="42">
        <v>-23</v>
      </c>
      <c r="H1509" s="40" t="s">
        <v>556</v>
      </c>
      <c r="I1509" s="39" t="s">
        <v>320</v>
      </c>
      <c r="J1509" s="43">
        <v>24002.43</v>
      </c>
      <c r="K1509" s="43">
        <v>0</v>
      </c>
      <c r="L1509" s="43">
        <v>24002.43</v>
      </c>
      <c r="M1509" s="44">
        <v>0</v>
      </c>
      <c r="N1509" s="44">
        <f t="shared" si="23"/>
        <v>24002.43</v>
      </c>
      <c r="O1509" s="44">
        <v>24002.43</v>
      </c>
      <c r="P1509" s="40" t="s">
        <v>3372</v>
      </c>
      <c r="Q1509" s="40" t="s">
        <v>3373</v>
      </c>
      <c r="R1509" s="40" t="s">
        <v>494</v>
      </c>
      <c r="S1509" s="40" t="s">
        <v>502</v>
      </c>
      <c r="T1509" s="40" t="s">
        <v>278</v>
      </c>
      <c r="U1509" s="40" t="s">
        <v>3374</v>
      </c>
      <c r="V1509" s="40"/>
      <c r="W1509" s="40" t="s">
        <v>321</v>
      </c>
    </row>
    <row r="1510" spans="1:23" ht="12" x14ac:dyDescent="0.2">
      <c r="A1510" s="39" t="s">
        <v>1070</v>
      </c>
      <c r="B1510" s="40" t="s">
        <v>364</v>
      </c>
      <c r="C1510" s="40" t="s">
        <v>7726</v>
      </c>
      <c r="D1510" s="41">
        <v>46084</v>
      </c>
      <c r="E1510" s="41">
        <v>46114</v>
      </c>
      <c r="F1510" s="41">
        <v>46091</v>
      </c>
      <c r="G1510" s="42">
        <v>-23</v>
      </c>
      <c r="H1510" s="40" t="s">
        <v>556</v>
      </c>
      <c r="I1510" s="39" t="s">
        <v>320</v>
      </c>
      <c r="J1510" s="43">
        <v>1227.03</v>
      </c>
      <c r="K1510" s="43">
        <v>0</v>
      </c>
      <c r="L1510" s="43">
        <v>1227.03</v>
      </c>
      <c r="M1510" s="44">
        <v>0</v>
      </c>
      <c r="N1510" s="44">
        <f t="shared" si="23"/>
        <v>1227.03</v>
      </c>
      <c r="O1510" s="44">
        <v>1227.03</v>
      </c>
      <c r="P1510" s="40" t="s">
        <v>7727</v>
      </c>
      <c r="Q1510" s="40" t="s">
        <v>7728</v>
      </c>
      <c r="R1510" s="40" t="s">
        <v>494</v>
      </c>
      <c r="S1510" s="40" t="s">
        <v>502</v>
      </c>
      <c r="T1510" s="40" t="s">
        <v>176</v>
      </c>
      <c r="U1510" s="40" t="s">
        <v>1270</v>
      </c>
      <c r="V1510" s="40"/>
      <c r="W1510" s="40" t="s">
        <v>7729</v>
      </c>
    </row>
    <row r="1511" spans="1:23" ht="12" x14ac:dyDescent="0.2">
      <c r="A1511" s="39" t="s">
        <v>788</v>
      </c>
      <c r="B1511" s="40" t="s">
        <v>789</v>
      </c>
      <c r="C1511" s="40" t="s">
        <v>7730</v>
      </c>
      <c r="D1511" s="41">
        <v>46084</v>
      </c>
      <c r="E1511" s="41">
        <v>46114</v>
      </c>
      <c r="F1511" s="41">
        <v>46091</v>
      </c>
      <c r="G1511" s="42">
        <v>-23</v>
      </c>
      <c r="H1511" s="40" t="s">
        <v>556</v>
      </c>
      <c r="I1511" s="39" t="s">
        <v>320</v>
      </c>
      <c r="J1511" s="43">
        <v>86452.38</v>
      </c>
      <c r="K1511" s="43">
        <v>0</v>
      </c>
      <c r="L1511" s="43">
        <v>86452.38</v>
      </c>
      <c r="M1511" s="44">
        <v>0</v>
      </c>
      <c r="N1511" s="44">
        <f t="shared" si="23"/>
        <v>86452.38</v>
      </c>
      <c r="O1511" s="44">
        <v>86452.38</v>
      </c>
      <c r="P1511" s="40" t="s">
        <v>3272</v>
      </c>
      <c r="Q1511" s="40" t="s">
        <v>3273</v>
      </c>
      <c r="R1511" s="40" t="s">
        <v>494</v>
      </c>
      <c r="S1511" s="40" t="s">
        <v>502</v>
      </c>
      <c r="T1511" s="40" t="s">
        <v>221</v>
      </c>
      <c r="U1511" s="40" t="s">
        <v>3274</v>
      </c>
      <c r="V1511" s="40"/>
      <c r="W1511" s="40" t="s">
        <v>7731</v>
      </c>
    </row>
    <row r="1512" spans="1:23" ht="12" x14ac:dyDescent="0.2">
      <c r="A1512" s="39" t="s">
        <v>1051</v>
      </c>
      <c r="B1512" s="40" t="s">
        <v>2938</v>
      </c>
      <c r="C1512" s="40" t="s">
        <v>7732</v>
      </c>
      <c r="D1512" s="41">
        <v>46084</v>
      </c>
      <c r="E1512" s="41">
        <v>46114</v>
      </c>
      <c r="F1512" s="41">
        <v>46091</v>
      </c>
      <c r="G1512" s="42">
        <v>-23</v>
      </c>
      <c r="H1512" s="40" t="s">
        <v>556</v>
      </c>
      <c r="I1512" s="39" t="s">
        <v>320</v>
      </c>
      <c r="J1512" s="43">
        <v>434326.58</v>
      </c>
      <c r="K1512" s="43">
        <v>0</v>
      </c>
      <c r="L1512" s="43">
        <v>434326.58</v>
      </c>
      <c r="M1512" s="44">
        <v>0</v>
      </c>
      <c r="N1512" s="44">
        <f t="shared" si="23"/>
        <v>434326.58</v>
      </c>
      <c r="O1512" s="44">
        <v>434326.58</v>
      </c>
      <c r="P1512" s="40" t="s">
        <v>7733</v>
      </c>
      <c r="Q1512" s="40" t="s">
        <v>7734</v>
      </c>
      <c r="R1512" s="40" t="s">
        <v>494</v>
      </c>
      <c r="S1512" s="40" t="s">
        <v>502</v>
      </c>
      <c r="T1512" s="40" t="s">
        <v>282</v>
      </c>
      <c r="U1512" s="40" t="s">
        <v>783</v>
      </c>
      <c r="V1512" s="40"/>
      <c r="W1512" s="40" t="s">
        <v>7735</v>
      </c>
    </row>
    <row r="1513" spans="1:23" ht="12" x14ac:dyDescent="0.2">
      <c r="A1513" s="39" t="s">
        <v>7736</v>
      </c>
      <c r="B1513" s="40" t="s">
        <v>7737</v>
      </c>
      <c r="C1513" s="40" t="s">
        <v>7738</v>
      </c>
      <c r="D1513" s="41">
        <v>46084</v>
      </c>
      <c r="E1513" s="41">
        <v>46114</v>
      </c>
      <c r="F1513" s="41">
        <v>46091</v>
      </c>
      <c r="G1513" s="42">
        <v>-23</v>
      </c>
      <c r="H1513" s="40" t="s">
        <v>556</v>
      </c>
      <c r="I1513" s="39" t="s">
        <v>3061</v>
      </c>
      <c r="J1513" s="43">
        <v>34000.01</v>
      </c>
      <c r="K1513" s="43">
        <v>0</v>
      </c>
      <c r="L1513" s="43">
        <v>34000.01</v>
      </c>
      <c r="M1513" s="44">
        <v>0</v>
      </c>
      <c r="N1513" s="44">
        <f t="shared" si="23"/>
        <v>27680.54</v>
      </c>
      <c r="O1513" s="44">
        <v>27680.54</v>
      </c>
      <c r="P1513" s="40" t="s">
        <v>7739</v>
      </c>
      <c r="Q1513" s="40" t="s">
        <v>7740</v>
      </c>
      <c r="R1513" s="40" t="s">
        <v>494</v>
      </c>
      <c r="S1513" s="40" t="s">
        <v>502</v>
      </c>
      <c r="T1513" s="40" t="s">
        <v>330</v>
      </c>
      <c r="U1513" s="40" t="s">
        <v>7741</v>
      </c>
      <c r="V1513" s="40"/>
      <c r="W1513" s="40" t="s">
        <v>7742</v>
      </c>
    </row>
    <row r="1514" spans="1:23" ht="12" x14ac:dyDescent="0.2">
      <c r="A1514" s="39" t="s">
        <v>16</v>
      </c>
      <c r="B1514" s="40" t="s">
        <v>414</v>
      </c>
      <c r="C1514" s="40" t="s">
        <v>7743</v>
      </c>
      <c r="D1514" s="41">
        <v>46084</v>
      </c>
      <c r="E1514" s="41">
        <v>46114</v>
      </c>
      <c r="F1514" s="41">
        <v>46091</v>
      </c>
      <c r="G1514" s="42">
        <v>-23</v>
      </c>
      <c r="H1514" s="40" t="s">
        <v>556</v>
      </c>
      <c r="I1514" s="39" t="s">
        <v>320</v>
      </c>
      <c r="J1514" s="43">
        <v>15966.96</v>
      </c>
      <c r="K1514" s="43">
        <v>2661.16</v>
      </c>
      <c r="L1514" s="43">
        <v>15966.96</v>
      </c>
      <c r="M1514" s="44">
        <v>2661.16</v>
      </c>
      <c r="N1514" s="44">
        <f t="shared" si="23"/>
        <v>13305.8</v>
      </c>
      <c r="O1514" s="44">
        <v>15966.96</v>
      </c>
      <c r="P1514" s="40" t="s">
        <v>7744</v>
      </c>
      <c r="Q1514" s="40" t="s">
        <v>7745</v>
      </c>
      <c r="R1514" s="40" t="s">
        <v>494</v>
      </c>
      <c r="S1514" s="40" t="s">
        <v>502</v>
      </c>
      <c r="T1514" s="40" t="s">
        <v>327</v>
      </c>
      <c r="U1514" s="40" t="s">
        <v>565</v>
      </c>
      <c r="V1514" s="40"/>
      <c r="W1514" s="40"/>
    </row>
    <row r="1515" spans="1:23" ht="12" x14ac:dyDescent="0.2">
      <c r="A1515" s="39" t="s">
        <v>71</v>
      </c>
      <c r="B1515" s="40" t="s">
        <v>458</v>
      </c>
      <c r="C1515" s="40" t="s">
        <v>7746</v>
      </c>
      <c r="D1515" s="41">
        <v>46084</v>
      </c>
      <c r="E1515" s="41">
        <v>46114</v>
      </c>
      <c r="F1515" s="41">
        <v>46091</v>
      </c>
      <c r="G1515" s="42">
        <v>-23</v>
      </c>
      <c r="H1515" s="40" t="s">
        <v>556</v>
      </c>
      <c r="I1515" s="39" t="s">
        <v>320</v>
      </c>
      <c r="J1515" s="43">
        <v>111032.37</v>
      </c>
      <c r="K1515" s="43">
        <v>0</v>
      </c>
      <c r="L1515" s="43">
        <v>111032.37</v>
      </c>
      <c r="M1515" s="44">
        <v>0</v>
      </c>
      <c r="N1515" s="44">
        <f t="shared" si="23"/>
        <v>111032.37</v>
      </c>
      <c r="O1515" s="44">
        <v>111032.37</v>
      </c>
      <c r="P1515" s="40" t="s">
        <v>7747</v>
      </c>
      <c r="Q1515" s="40" t="s">
        <v>7748</v>
      </c>
      <c r="R1515" s="40" t="s">
        <v>494</v>
      </c>
      <c r="S1515" s="40" t="s">
        <v>502</v>
      </c>
      <c r="T1515" s="40" t="s">
        <v>278</v>
      </c>
      <c r="U1515" s="40" t="s">
        <v>7749</v>
      </c>
      <c r="V1515" s="40"/>
      <c r="W1515" s="40" t="s">
        <v>7750</v>
      </c>
    </row>
    <row r="1516" spans="1:23" ht="12" x14ac:dyDescent="0.2">
      <c r="A1516" s="39" t="s">
        <v>6850</v>
      </c>
      <c r="B1516" s="40" t="s">
        <v>6851</v>
      </c>
      <c r="C1516" s="40" t="s">
        <v>7751</v>
      </c>
      <c r="D1516" s="41">
        <v>46084</v>
      </c>
      <c r="E1516" s="41">
        <v>46114</v>
      </c>
      <c r="F1516" s="41">
        <v>46091</v>
      </c>
      <c r="G1516" s="42">
        <v>-23</v>
      </c>
      <c r="H1516" s="40" t="s">
        <v>556</v>
      </c>
      <c r="I1516" s="39" t="s">
        <v>320</v>
      </c>
      <c r="J1516" s="43">
        <v>56059.74</v>
      </c>
      <c r="K1516" s="43">
        <v>0</v>
      </c>
      <c r="L1516" s="43">
        <v>56059.74</v>
      </c>
      <c r="M1516" s="44">
        <v>0</v>
      </c>
      <c r="N1516" s="44">
        <f t="shared" si="23"/>
        <v>56059.74</v>
      </c>
      <c r="O1516" s="44">
        <v>56059.74</v>
      </c>
      <c r="P1516" s="40" t="s">
        <v>6853</v>
      </c>
      <c r="Q1516" s="40" t="s">
        <v>6854</v>
      </c>
      <c r="R1516" s="40" t="s">
        <v>494</v>
      </c>
      <c r="S1516" s="40" t="s">
        <v>502</v>
      </c>
      <c r="T1516" s="40" t="s">
        <v>191</v>
      </c>
      <c r="U1516" s="40" t="s">
        <v>1879</v>
      </c>
      <c r="V1516" s="40"/>
      <c r="W1516" s="40" t="s">
        <v>6856</v>
      </c>
    </row>
    <row r="1517" spans="1:23" ht="12" x14ac:dyDescent="0.2">
      <c r="A1517" s="39" t="s">
        <v>891</v>
      </c>
      <c r="B1517" s="40" t="s">
        <v>892</v>
      </c>
      <c r="C1517" s="40" t="s">
        <v>7752</v>
      </c>
      <c r="D1517" s="41">
        <v>46084</v>
      </c>
      <c r="E1517" s="41">
        <v>46114</v>
      </c>
      <c r="F1517" s="41">
        <v>46091</v>
      </c>
      <c r="G1517" s="42">
        <v>-23</v>
      </c>
      <c r="H1517" s="40" t="s">
        <v>556</v>
      </c>
      <c r="I1517" s="39" t="s">
        <v>323</v>
      </c>
      <c r="J1517" s="43">
        <v>52597.63</v>
      </c>
      <c r="K1517" s="43">
        <v>0</v>
      </c>
      <c r="L1517" s="43">
        <v>52597.63</v>
      </c>
      <c r="M1517" s="44">
        <v>0</v>
      </c>
      <c r="N1517" s="44">
        <f t="shared" si="23"/>
        <v>38961.21</v>
      </c>
      <c r="O1517" s="44">
        <v>38961.21</v>
      </c>
      <c r="P1517" s="40" t="s">
        <v>2031</v>
      </c>
      <c r="Q1517" s="40" t="s">
        <v>2032</v>
      </c>
      <c r="R1517" s="40" t="s">
        <v>494</v>
      </c>
      <c r="S1517" s="40" t="s">
        <v>502</v>
      </c>
      <c r="T1517" s="40" t="s">
        <v>301</v>
      </c>
      <c r="U1517" s="40" t="s">
        <v>1290</v>
      </c>
      <c r="V1517" s="40"/>
      <c r="W1517" s="40" t="s">
        <v>322</v>
      </c>
    </row>
    <row r="1518" spans="1:23" ht="12" x14ac:dyDescent="0.2">
      <c r="A1518" s="39" t="s">
        <v>925</v>
      </c>
      <c r="B1518" s="40" t="s">
        <v>926</v>
      </c>
      <c r="C1518" s="40" t="s">
        <v>7753</v>
      </c>
      <c r="D1518" s="41">
        <v>46084</v>
      </c>
      <c r="E1518" s="41">
        <v>46114</v>
      </c>
      <c r="F1518" s="41">
        <v>46091</v>
      </c>
      <c r="G1518" s="42">
        <v>-23</v>
      </c>
      <c r="H1518" s="40" t="s">
        <v>556</v>
      </c>
      <c r="I1518" s="39" t="s">
        <v>320</v>
      </c>
      <c r="J1518" s="43">
        <v>16945.71</v>
      </c>
      <c r="K1518" s="43">
        <v>0</v>
      </c>
      <c r="L1518" s="43">
        <v>16945.71</v>
      </c>
      <c r="M1518" s="44">
        <v>0</v>
      </c>
      <c r="N1518" s="44">
        <f t="shared" si="23"/>
        <v>16945.71</v>
      </c>
      <c r="O1518" s="44">
        <v>16945.71</v>
      </c>
      <c r="P1518" s="40" t="s">
        <v>1912</v>
      </c>
      <c r="Q1518" s="40" t="s">
        <v>1913</v>
      </c>
      <c r="R1518" s="40" t="s">
        <v>494</v>
      </c>
      <c r="S1518" s="40" t="s">
        <v>502</v>
      </c>
      <c r="T1518" s="40" t="s">
        <v>507</v>
      </c>
      <c r="U1518" s="40" t="s">
        <v>577</v>
      </c>
      <c r="V1518" s="40"/>
      <c r="W1518" s="40" t="s">
        <v>1914</v>
      </c>
    </row>
    <row r="1519" spans="1:23" ht="12" x14ac:dyDescent="0.2">
      <c r="A1519" s="39" t="s">
        <v>2057</v>
      </c>
      <c r="B1519" s="40" t="s">
        <v>2834</v>
      </c>
      <c r="C1519" s="40" t="s">
        <v>7754</v>
      </c>
      <c r="D1519" s="41">
        <v>46084</v>
      </c>
      <c r="E1519" s="41">
        <v>46114</v>
      </c>
      <c r="F1519" s="41">
        <v>46091</v>
      </c>
      <c r="G1519" s="42">
        <v>-23</v>
      </c>
      <c r="H1519" s="40" t="s">
        <v>556</v>
      </c>
      <c r="I1519" s="39" t="s">
        <v>320</v>
      </c>
      <c r="J1519" s="43">
        <v>25804.16</v>
      </c>
      <c r="K1519" s="43">
        <v>4300.7</v>
      </c>
      <c r="L1519" s="43">
        <v>25804.16</v>
      </c>
      <c r="M1519" s="44">
        <v>4300.7</v>
      </c>
      <c r="N1519" s="44">
        <f t="shared" si="23"/>
        <v>21503.46</v>
      </c>
      <c r="O1519" s="44">
        <v>25804.16</v>
      </c>
      <c r="P1519" s="40" t="s">
        <v>2835</v>
      </c>
      <c r="Q1519" s="40" t="s">
        <v>2836</v>
      </c>
      <c r="R1519" s="40" t="s">
        <v>494</v>
      </c>
      <c r="S1519" s="40" t="s">
        <v>502</v>
      </c>
      <c r="T1519" s="40" t="s">
        <v>197</v>
      </c>
      <c r="U1519" s="40" t="s">
        <v>1895</v>
      </c>
      <c r="V1519" s="40"/>
      <c r="W1519" s="40" t="s">
        <v>2837</v>
      </c>
    </row>
    <row r="1520" spans="1:23" ht="12" x14ac:dyDescent="0.2">
      <c r="A1520" s="39" t="s">
        <v>413</v>
      </c>
      <c r="B1520" s="40" t="s">
        <v>774</v>
      </c>
      <c r="C1520" s="40" t="s">
        <v>7755</v>
      </c>
      <c r="D1520" s="41">
        <v>46084</v>
      </c>
      <c r="E1520" s="41">
        <v>46114</v>
      </c>
      <c r="F1520" s="41">
        <v>46091</v>
      </c>
      <c r="G1520" s="42">
        <v>-23</v>
      </c>
      <c r="H1520" s="40" t="s">
        <v>556</v>
      </c>
      <c r="I1520" s="39" t="s">
        <v>320</v>
      </c>
      <c r="J1520" s="43">
        <v>12580.65</v>
      </c>
      <c r="K1520" s="43">
        <v>0</v>
      </c>
      <c r="L1520" s="43">
        <v>12580.65</v>
      </c>
      <c r="M1520" s="44">
        <v>0</v>
      </c>
      <c r="N1520" s="44">
        <f t="shared" si="23"/>
        <v>12580.65</v>
      </c>
      <c r="O1520" s="44">
        <v>12580.65</v>
      </c>
      <c r="P1520" s="40" t="s">
        <v>3427</v>
      </c>
      <c r="Q1520" s="40" t="s">
        <v>3428</v>
      </c>
      <c r="R1520" s="40" t="s">
        <v>494</v>
      </c>
      <c r="S1520" s="40" t="s">
        <v>495</v>
      </c>
      <c r="T1520" s="40" t="s">
        <v>512</v>
      </c>
      <c r="U1520" s="40" t="s">
        <v>3429</v>
      </c>
      <c r="V1520" s="40"/>
      <c r="W1520" s="40" t="s">
        <v>3430</v>
      </c>
    </row>
    <row r="1521" spans="1:23" ht="12" x14ac:dyDescent="0.2">
      <c r="A1521" s="39" t="s">
        <v>1444</v>
      </c>
      <c r="B1521" s="40" t="s">
        <v>1445</v>
      </c>
      <c r="C1521" s="40" t="s">
        <v>7756</v>
      </c>
      <c r="D1521" s="41">
        <v>46084</v>
      </c>
      <c r="E1521" s="41">
        <v>46114</v>
      </c>
      <c r="F1521" s="41">
        <v>46091</v>
      </c>
      <c r="G1521" s="42">
        <v>-23</v>
      </c>
      <c r="H1521" s="40" t="s">
        <v>556</v>
      </c>
      <c r="I1521" s="39" t="s">
        <v>320</v>
      </c>
      <c r="J1521" s="43">
        <v>7608.98</v>
      </c>
      <c r="K1521" s="43">
        <v>0</v>
      </c>
      <c r="L1521" s="43">
        <v>7608.98</v>
      </c>
      <c r="M1521" s="44">
        <v>0</v>
      </c>
      <c r="N1521" s="44">
        <f t="shared" si="23"/>
        <v>7608.98</v>
      </c>
      <c r="O1521" s="44">
        <v>7608.98</v>
      </c>
      <c r="P1521" s="40" t="s">
        <v>1667</v>
      </c>
      <c r="Q1521" s="40" t="s">
        <v>1668</v>
      </c>
      <c r="R1521" s="40" t="s">
        <v>494</v>
      </c>
      <c r="S1521" s="40" t="s">
        <v>502</v>
      </c>
      <c r="T1521" s="40" t="s">
        <v>1669</v>
      </c>
      <c r="U1521" s="40" t="s">
        <v>1670</v>
      </c>
      <c r="V1521" s="40"/>
      <c r="W1521" s="40" t="s">
        <v>7757</v>
      </c>
    </row>
    <row r="1522" spans="1:23" ht="12" x14ac:dyDescent="0.2">
      <c r="A1522" s="39" t="s">
        <v>337</v>
      </c>
      <c r="B1522" s="40" t="s">
        <v>336</v>
      </c>
      <c r="C1522" s="40" t="s">
        <v>7758</v>
      </c>
      <c r="D1522" s="41">
        <v>46084</v>
      </c>
      <c r="E1522" s="41">
        <v>46114</v>
      </c>
      <c r="F1522" s="41">
        <v>46091</v>
      </c>
      <c r="G1522" s="42">
        <v>-23</v>
      </c>
      <c r="H1522" s="40" t="s">
        <v>556</v>
      </c>
      <c r="I1522" s="39" t="s">
        <v>320</v>
      </c>
      <c r="J1522" s="43">
        <v>22352.94</v>
      </c>
      <c r="K1522" s="43">
        <v>0</v>
      </c>
      <c r="L1522" s="43">
        <v>22352.94</v>
      </c>
      <c r="M1522" s="44">
        <v>0</v>
      </c>
      <c r="N1522" s="44">
        <f t="shared" si="23"/>
        <v>22352.94</v>
      </c>
      <c r="O1522" s="44">
        <v>22352.94</v>
      </c>
      <c r="P1522" s="40" t="s">
        <v>3440</v>
      </c>
      <c r="Q1522" s="40" t="s">
        <v>3441</v>
      </c>
      <c r="R1522" s="40" t="s">
        <v>494</v>
      </c>
      <c r="S1522" s="40" t="s">
        <v>502</v>
      </c>
      <c r="T1522" s="40" t="s">
        <v>273</v>
      </c>
      <c r="U1522" s="40" t="s">
        <v>812</v>
      </c>
      <c r="V1522" s="40"/>
      <c r="W1522" s="40" t="s">
        <v>3442</v>
      </c>
    </row>
    <row r="1523" spans="1:23" ht="12" x14ac:dyDescent="0.2">
      <c r="A1523" s="39" t="s">
        <v>337</v>
      </c>
      <c r="B1523" s="40" t="s">
        <v>336</v>
      </c>
      <c r="C1523" s="40" t="s">
        <v>7759</v>
      </c>
      <c r="D1523" s="41">
        <v>46084</v>
      </c>
      <c r="E1523" s="41">
        <v>46114</v>
      </c>
      <c r="F1523" s="41">
        <v>46091</v>
      </c>
      <c r="G1523" s="42">
        <v>-23</v>
      </c>
      <c r="H1523" s="40" t="s">
        <v>556</v>
      </c>
      <c r="I1523" s="39" t="s">
        <v>320</v>
      </c>
      <c r="J1523" s="43">
        <v>27886.02</v>
      </c>
      <c r="K1523" s="43">
        <v>0</v>
      </c>
      <c r="L1523" s="43">
        <v>27886.02</v>
      </c>
      <c r="M1523" s="44">
        <v>0</v>
      </c>
      <c r="N1523" s="44">
        <f t="shared" si="23"/>
        <v>27886.02</v>
      </c>
      <c r="O1523" s="44">
        <v>27886.02</v>
      </c>
      <c r="P1523" s="40" t="s">
        <v>7760</v>
      </c>
      <c r="Q1523" s="40" t="s">
        <v>7761</v>
      </c>
      <c r="R1523" s="40" t="s">
        <v>494</v>
      </c>
      <c r="S1523" s="40" t="s">
        <v>502</v>
      </c>
      <c r="T1523" s="40" t="s">
        <v>289</v>
      </c>
      <c r="U1523" s="40" t="s">
        <v>7762</v>
      </c>
      <c r="V1523" s="40"/>
      <c r="W1523" s="40" t="s">
        <v>7763</v>
      </c>
    </row>
    <row r="1524" spans="1:23" ht="12" x14ac:dyDescent="0.2">
      <c r="A1524" s="39" t="s">
        <v>7764</v>
      </c>
      <c r="B1524" s="40" t="s">
        <v>7765</v>
      </c>
      <c r="C1524" s="40" t="s">
        <v>7766</v>
      </c>
      <c r="D1524" s="41">
        <v>46084</v>
      </c>
      <c r="E1524" s="41">
        <v>46114</v>
      </c>
      <c r="F1524" s="41">
        <v>46091</v>
      </c>
      <c r="G1524" s="42">
        <v>-23</v>
      </c>
      <c r="H1524" s="40" t="s">
        <v>556</v>
      </c>
      <c r="I1524" s="39" t="s">
        <v>341</v>
      </c>
      <c r="J1524" s="43">
        <v>82093.84</v>
      </c>
      <c r="K1524" s="43">
        <v>0</v>
      </c>
      <c r="L1524" s="43">
        <v>82093.84</v>
      </c>
      <c r="M1524" s="44">
        <v>0</v>
      </c>
      <c r="N1524" s="44">
        <f t="shared" si="23"/>
        <v>63149.11</v>
      </c>
      <c r="O1524" s="44">
        <v>63149.11</v>
      </c>
      <c r="P1524" s="40" t="s">
        <v>7767</v>
      </c>
      <c r="Q1524" s="40" t="s">
        <v>7768</v>
      </c>
      <c r="R1524" s="40" t="s">
        <v>494</v>
      </c>
      <c r="S1524" s="40" t="s">
        <v>495</v>
      </c>
      <c r="T1524" s="40" t="s">
        <v>733</v>
      </c>
      <c r="U1524" s="40" t="s">
        <v>7769</v>
      </c>
      <c r="V1524" s="40"/>
      <c r="W1524" s="40"/>
    </row>
    <row r="1525" spans="1:23" ht="12" x14ac:dyDescent="0.2">
      <c r="A1525" s="39" t="s">
        <v>7770</v>
      </c>
      <c r="B1525" s="40" t="s">
        <v>7771</v>
      </c>
      <c r="C1525" s="40" t="s">
        <v>7772</v>
      </c>
      <c r="D1525" s="41">
        <v>46084</v>
      </c>
      <c r="E1525" s="41">
        <v>46114</v>
      </c>
      <c r="F1525" s="41">
        <v>46091</v>
      </c>
      <c r="G1525" s="42">
        <v>-23</v>
      </c>
      <c r="H1525" s="40" t="s">
        <v>556</v>
      </c>
      <c r="I1525" s="39" t="s">
        <v>320</v>
      </c>
      <c r="J1525" s="43">
        <v>20000</v>
      </c>
      <c r="K1525" s="43">
        <v>0</v>
      </c>
      <c r="L1525" s="43">
        <v>20000</v>
      </c>
      <c r="M1525" s="44">
        <v>0</v>
      </c>
      <c r="N1525" s="44">
        <f t="shared" si="23"/>
        <v>20000</v>
      </c>
      <c r="O1525" s="44">
        <v>20000</v>
      </c>
      <c r="P1525" s="40" t="s">
        <v>7773</v>
      </c>
      <c r="Q1525" s="40" t="s">
        <v>7774</v>
      </c>
      <c r="R1525" s="40" t="s">
        <v>494</v>
      </c>
      <c r="S1525" s="40" t="s">
        <v>502</v>
      </c>
      <c r="T1525" s="40" t="s">
        <v>299</v>
      </c>
      <c r="U1525" s="40" t="s">
        <v>7775</v>
      </c>
      <c r="V1525" s="40"/>
      <c r="W1525" s="40" t="s">
        <v>321</v>
      </c>
    </row>
    <row r="1526" spans="1:23" ht="12" x14ac:dyDescent="0.2">
      <c r="A1526" s="39" t="s">
        <v>442</v>
      </c>
      <c r="B1526" s="40" t="s">
        <v>441</v>
      </c>
      <c r="C1526" s="40" t="s">
        <v>7776</v>
      </c>
      <c r="D1526" s="41">
        <v>46084</v>
      </c>
      <c r="E1526" s="41">
        <v>46114</v>
      </c>
      <c r="F1526" s="41">
        <v>46091</v>
      </c>
      <c r="G1526" s="42">
        <v>-23</v>
      </c>
      <c r="H1526" s="40" t="s">
        <v>556</v>
      </c>
      <c r="I1526" s="39" t="s">
        <v>320</v>
      </c>
      <c r="J1526" s="43">
        <v>-6.03</v>
      </c>
      <c r="K1526" s="43">
        <v>0</v>
      </c>
      <c r="L1526" s="43">
        <v>-6.03</v>
      </c>
      <c r="M1526" s="44">
        <v>0</v>
      </c>
      <c r="N1526" s="44">
        <f t="shared" si="23"/>
        <v>-6.03</v>
      </c>
      <c r="O1526" s="44">
        <v>-6.03</v>
      </c>
      <c r="P1526" s="40" t="s">
        <v>7777</v>
      </c>
      <c r="Q1526" s="40" t="s">
        <v>7778</v>
      </c>
      <c r="R1526" s="40" t="s">
        <v>494</v>
      </c>
      <c r="S1526" s="40" t="s">
        <v>495</v>
      </c>
      <c r="T1526" s="40" t="s">
        <v>222</v>
      </c>
      <c r="U1526" s="40" t="s">
        <v>553</v>
      </c>
      <c r="V1526" s="40"/>
      <c r="W1526" s="40" t="s">
        <v>7779</v>
      </c>
    </row>
    <row r="1527" spans="1:23" ht="12" x14ac:dyDescent="0.2">
      <c r="A1527" s="39" t="s">
        <v>339</v>
      </c>
      <c r="B1527" s="40" t="s">
        <v>338</v>
      </c>
      <c r="C1527" s="40" t="s">
        <v>7780</v>
      </c>
      <c r="D1527" s="41">
        <v>46084</v>
      </c>
      <c r="E1527" s="41">
        <v>46114</v>
      </c>
      <c r="F1527" s="41">
        <v>46091</v>
      </c>
      <c r="G1527" s="42">
        <v>-23</v>
      </c>
      <c r="H1527" s="40" t="s">
        <v>556</v>
      </c>
      <c r="I1527" s="39" t="s">
        <v>320</v>
      </c>
      <c r="J1527" s="43">
        <v>-58528.46</v>
      </c>
      <c r="K1527" s="43">
        <v>0</v>
      </c>
      <c r="L1527" s="43">
        <v>-58528.46</v>
      </c>
      <c r="M1527" s="44">
        <v>0</v>
      </c>
      <c r="N1527" s="44">
        <f t="shared" si="23"/>
        <v>-58528.46</v>
      </c>
      <c r="O1527" s="44">
        <v>-58528.46</v>
      </c>
      <c r="P1527" s="40" t="s">
        <v>7781</v>
      </c>
      <c r="Q1527" s="40" t="s">
        <v>7782</v>
      </c>
      <c r="R1527" s="40" t="s">
        <v>494</v>
      </c>
      <c r="S1527" s="40" t="s">
        <v>502</v>
      </c>
      <c r="T1527" s="40" t="s">
        <v>508</v>
      </c>
      <c r="U1527" s="40" t="s">
        <v>4450</v>
      </c>
      <c r="V1527" s="40"/>
      <c r="W1527" s="40" t="s">
        <v>7783</v>
      </c>
    </row>
    <row r="1528" spans="1:23" ht="12" x14ac:dyDescent="0.2">
      <c r="A1528" s="39" t="s">
        <v>49</v>
      </c>
      <c r="B1528" s="40" t="s">
        <v>396</v>
      </c>
      <c r="C1528" s="40" t="s">
        <v>7784</v>
      </c>
      <c r="D1528" s="41">
        <v>46084</v>
      </c>
      <c r="E1528" s="41">
        <v>46114</v>
      </c>
      <c r="F1528" s="41">
        <v>46091</v>
      </c>
      <c r="G1528" s="42">
        <v>-23</v>
      </c>
      <c r="H1528" s="40" t="s">
        <v>556</v>
      </c>
      <c r="I1528" s="39" t="s">
        <v>320</v>
      </c>
      <c r="J1528" s="43">
        <v>1214416</v>
      </c>
      <c r="K1528" s="43">
        <v>0</v>
      </c>
      <c r="L1528" s="43">
        <v>1214416</v>
      </c>
      <c r="M1528" s="44">
        <v>0</v>
      </c>
      <c r="N1528" s="44">
        <f t="shared" si="23"/>
        <v>1214416</v>
      </c>
      <c r="O1528" s="44">
        <v>1214416</v>
      </c>
      <c r="P1528" s="40" t="s">
        <v>3379</v>
      </c>
      <c r="Q1528" s="40" t="s">
        <v>3380</v>
      </c>
      <c r="R1528" s="40" t="s">
        <v>494</v>
      </c>
      <c r="S1528" s="40" t="s">
        <v>502</v>
      </c>
      <c r="T1528" s="40" t="s">
        <v>273</v>
      </c>
      <c r="U1528" s="40" t="s">
        <v>3381</v>
      </c>
      <c r="V1528" s="40"/>
      <c r="W1528" s="40" t="s">
        <v>3382</v>
      </c>
    </row>
    <row r="1529" spans="1:23" ht="12" x14ac:dyDescent="0.2">
      <c r="A1529" s="39" t="s">
        <v>49</v>
      </c>
      <c r="B1529" s="40" t="s">
        <v>396</v>
      </c>
      <c r="C1529" s="40" t="s">
        <v>7785</v>
      </c>
      <c r="D1529" s="41">
        <v>46084</v>
      </c>
      <c r="E1529" s="41">
        <v>46114</v>
      </c>
      <c r="F1529" s="41">
        <v>46091</v>
      </c>
      <c r="G1529" s="42">
        <v>-23</v>
      </c>
      <c r="H1529" s="40" t="s">
        <v>556</v>
      </c>
      <c r="I1529" s="39" t="s">
        <v>320</v>
      </c>
      <c r="J1529" s="43">
        <v>985151</v>
      </c>
      <c r="K1529" s="43">
        <v>0</v>
      </c>
      <c r="L1529" s="43">
        <v>985151</v>
      </c>
      <c r="M1529" s="44">
        <v>0</v>
      </c>
      <c r="N1529" s="44">
        <f t="shared" si="23"/>
        <v>985151</v>
      </c>
      <c r="O1529" s="44">
        <v>985151</v>
      </c>
      <c r="P1529" s="40" t="s">
        <v>3379</v>
      </c>
      <c r="Q1529" s="40" t="s">
        <v>3380</v>
      </c>
      <c r="R1529" s="40" t="s">
        <v>494</v>
      </c>
      <c r="S1529" s="40" t="s">
        <v>502</v>
      </c>
      <c r="T1529" s="40" t="s">
        <v>273</v>
      </c>
      <c r="U1529" s="40" t="s">
        <v>3381</v>
      </c>
      <c r="V1529" s="40"/>
      <c r="W1529" s="40" t="s">
        <v>3382</v>
      </c>
    </row>
    <row r="1530" spans="1:23" ht="12" x14ac:dyDescent="0.2">
      <c r="A1530" s="39" t="s">
        <v>439</v>
      </c>
      <c r="B1530" s="40" t="s">
        <v>438</v>
      </c>
      <c r="C1530" s="40" t="s">
        <v>7786</v>
      </c>
      <c r="D1530" s="41">
        <v>46084</v>
      </c>
      <c r="E1530" s="41">
        <v>46114</v>
      </c>
      <c r="F1530" s="41">
        <v>46091</v>
      </c>
      <c r="G1530" s="42">
        <v>-23</v>
      </c>
      <c r="H1530" s="40" t="s">
        <v>556</v>
      </c>
      <c r="I1530" s="39" t="s">
        <v>320</v>
      </c>
      <c r="J1530" s="43">
        <v>18462</v>
      </c>
      <c r="K1530" s="43">
        <v>3077</v>
      </c>
      <c r="L1530" s="43">
        <v>18462</v>
      </c>
      <c r="M1530" s="44">
        <v>3077</v>
      </c>
      <c r="N1530" s="44">
        <f t="shared" si="23"/>
        <v>15385</v>
      </c>
      <c r="O1530" s="44">
        <v>18462</v>
      </c>
      <c r="P1530" s="40" t="s">
        <v>7787</v>
      </c>
      <c r="Q1530" s="40" t="s">
        <v>7788</v>
      </c>
      <c r="R1530" s="40" t="s">
        <v>494</v>
      </c>
      <c r="S1530" s="40" t="s">
        <v>502</v>
      </c>
      <c r="T1530" s="40" t="s">
        <v>218</v>
      </c>
      <c r="U1530" s="40" t="s">
        <v>982</v>
      </c>
      <c r="V1530" s="40"/>
      <c r="W1530" s="40" t="s">
        <v>7789</v>
      </c>
    </row>
    <row r="1531" spans="1:23" ht="12" x14ac:dyDescent="0.2">
      <c r="A1531" s="39" t="s">
        <v>2308</v>
      </c>
      <c r="B1531" s="40" t="s">
        <v>2309</v>
      </c>
      <c r="C1531" s="40" t="s">
        <v>7790</v>
      </c>
      <c r="D1531" s="41">
        <v>46084</v>
      </c>
      <c r="E1531" s="41">
        <v>46114</v>
      </c>
      <c r="F1531" s="41">
        <v>46091</v>
      </c>
      <c r="G1531" s="42">
        <v>-23</v>
      </c>
      <c r="H1531" s="40" t="s">
        <v>556</v>
      </c>
      <c r="I1531" s="39" t="s">
        <v>320</v>
      </c>
      <c r="J1531" s="43">
        <v>29162.01</v>
      </c>
      <c r="K1531" s="43">
        <v>0</v>
      </c>
      <c r="L1531" s="43">
        <v>29162.01</v>
      </c>
      <c r="M1531" s="44">
        <v>0</v>
      </c>
      <c r="N1531" s="44">
        <f t="shared" si="23"/>
        <v>29162.01</v>
      </c>
      <c r="O1531" s="44">
        <v>29162.01</v>
      </c>
      <c r="P1531" s="40" t="s">
        <v>2310</v>
      </c>
      <c r="Q1531" s="40" t="s">
        <v>2311</v>
      </c>
      <c r="R1531" s="40" t="s">
        <v>494</v>
      </c>
      <c r="S1531" s="40" t="s">
        <v>502</v>
      </c>
      <c r="T1531" s="40" t="s">
        <v>191</v>
      </c>
      <c r="U1531" s="40" t="s">
        <v>1395</v>
      </c>
      <c r="V1531" s="40"/>
      <c r="W1531" s="40" t="s">
        <v>2312</v>
      </c>
    </row>
    <row r="1532" spans="1:23" ht="12" x14ac:dyDescent="0.2">
      <c r="A1532" s="39" t="s">
        <v>7791</v>
      </c>
      <c r="B1532" s="40" t="s">
        <v>7792</v>
      </c>
      <c r="C1532" s="40" t="s">
        <v>7793</v>
      </c>
      <c r="D1532" s="41">
        <v>46084</v>
      </c>
      <c r="E1532" s="41">
        <v>46114</v>
      </c>
      <c r="F1532" s="41">
        <v>46091</v>
      </c>
      <c r="G1532" s="42">
        <v>-23</v>
      </c>
      <c r="H1532" s="40" t="s">
        <v>556</v>
      </c>
      <c r="I1532" s="39" t="s">
        <v>320</v>
      </c>
      <c r="J1532" s="43">
        <v>12474.39</v>
      </c>
      <c r="K1532" s="43">
        <v>0</v>
      </c>
      <c r="L1532" s="43">
        <v>12474.39</v>
      </c>
      <c r="M1532" s="44">
        <v>0</v>
      </c>
      <c r="N1532" s="44">
        <f t="shared" si="23"/>
        <v>12474.39</v>
      </c>
      <c r="O1532" s="44">
        <v>12474.39</v>
      </c>
      <c r="P1532" s="40" t="s">
        <v>7794</v>
      </c>
      <c r="Q1532" s="40" t="s">
        <v>7795</v>
      </c>
      <c r="R1532" s="40" t="s">
        <v>494</v>
      </c>
      <c r="S1532" s="40" t="s">
        <v>502</v>
      </c>
      <c r="T1532" s="40" t="s">
        <v>191</v>
      </c>
      <c r="U1532" s="40" t="s">
        <v>7796</v>
      </c>
      <c r="V1532" s="40"/>
      <c r="W1532" s="40" t="s">
        <v>7797</v>
      </c>
    </row>
    <row r="1533" spans="1:23" ht="12" x14ac:dyDescent="0.2">
      <c r="A1533" s="39" t="s">
        <v>357</v>
      </c>
      <c r="B1533" s="40" t="s">
        <v>356</v>
      </c>
      <c r="C1533" s="40" t="s">
        <v>7798</v>
      </c>
      <c r="D1533" s="41">
        <v>46084</v>
      </c>
      <c r="E1533" s="41">
        <v>46114</v>
      </c>
      <c r="F1533" s="41">
        <v>46091</v>
      </c>
      <c r="G1533" s="42">
        <v>-23</v>
      </c>
      <c r="H1533" s="40" t="s">
        <v>556</v>
      </c>
      <c r="I1533" s="39" t="s">
        <v>341</v>
      </c>
      <c r="J1533" s="43">
        <v>14566.67</v>
      </c>
      <c r="K1533" s="43">
        <v>0</v>
      </c>
      <c r="L1533" s="43">
        <v>14566.67</v>
      </c>
      <c r="M1533" s="44">
        <v>0</v>
      </c>
      <c r="N1533" s="44">
        <f t="shared" si="23"/>
        <v>12517.58</v>
      </c>
      <c r="O1533" s="44">
        <v>12517.58</v>
      </c>
      <c r="P1533" s="40" t="s">
        <v>7799</v>
      </c>
      <c r="Q1533" s="40" t="s">
        <v>7800</v>
      </c>
      <c r="R1533" s="40" t="s">
        <v>494</v>
      </c>
      <c r="S1533" s="40" t="s">
        <v>502</v>
      </c>
      <c r="T1533" s="40" t="s">
        <v>189</v>
      </c>
      <c r="U1533" s="40" t="s">
        <v>2470</v>
      </c>
      <c r="V1533" s="40"/>
      <c r="W1533" s="40" t="s">
        <v>7801</v>
      </c>
    </row>
    <row r="1534" spans="1:23" ht="12" x14ac:dyDescent="0.2">
      <c r="A1534" s="39" t="s">
        <v>1070</v>
      </c>
      <c r="B1534" s="40" t="s">
        <v>364</v>
      </c>
      <c r="C1534" s="40" t="s">
        <v>7802</v>
      </c>
      <c r="D1534" s="41">
        <v>46084</v>
      </c>
      <c r="E1534" s="41">
        <v>46114</v>
      </c>
      <c r="F1534" s="41">
        <v>46091</v>
      </c>
      <c r="G1534" s="42">
        <v>-23</v>
      </c>
      <c r="H1534" s="40" t="s">
        <v>556</v>
      </c>
      <c r="I1534" s="39" t="s">
        <v>320</v>
      </c>
      <c r="J1534" s="43">
        <v>30012.2</v>
      </c>
      <c r="K1534" s="43">
        <v>0</v>
      </c>
      <c r="L1534" s="43">
        <v>30012.2</v>
      </c>
      <c r="M1534" s="44">
        <v>0</v>
      </c>
      <c r="N1534" s="44">
        <f t="shared" si="23"/>
        <v>30012.2</v>
      </c>
      <c r="O1534" s="44">
        <v>30012.2</v>
      </c>
      <c r="P1534" s="40" t="s">
        <v>3507</v>
      </c>
      <c r="Q1534" s="40" t="s">
        <v>3508</v>
      </c>
      <c r="R1534" s="40" t="s">
        <v>494</v>
      </c>
      <c r="S1534" s="40" t="s">
        <v>502</v>
      </c>
      <c r="T1534" s="40" t="s">
        <v>166</v>
      </c>
      <c r="U1534" s="40" t="s">
        <v>2725</v>
      </c>
      <c r="V1534" s="40"/>
      <c r="W1534" s="40" t="s">
        <v>7803</v>
      </c>
    </row>
    <row r="1535" spans="1:23" ht="12" x14ac:dyDescent="0.2">
      <c r="A1535" s="39" t="s">
        <v>337</v>
      </c>
      <c r="B1535" s="40" t="s">
        <v>336</v>
      </c>
      <c r="C1535" s="40" t="s">
        <v>7804</v>
      </c>
      <c r="D1535" s="41">
        <v>46084</v>
      </c>
      <c r="E1535" s="41">
        <v>46114</v>
      </c>
      <c r="F1535" s="41">
        <v>46091</v>
      </c>
      <c r="G1535" s="42">
        <v>-23</v>
      </c>
      <c r="H1535" s="40" t="s">
        <v>556</v>
      </c>
      <c r="I1535" s="39" t="s">
        <v>320</v>
      </c>
      <c r="J1535" s="43">
        <v>20256.29</v>
      </c>
      <c r="K1535" s="43">
        <v>0</v>
      </c>
      <c r="L1535" s="43">
        <v>20256.29</v>
      </c>
      <c r="M1535" s="44">
        <v>0</v>
      </c>
      <c r="N1535" s="44">
        <f t="shared" si="23"/>
        <v>20256.29</v>
      </c>
      <c r="O1535" s="44">
        <v>20256.29</v>
      </c>
      <c r="P1535" s="40" t="s">
        <v>3524</v>
      </c>
      <c r="Q1535" s="40" t="s">
        <v>3525</v>
      </c>
      <c r="R1535" s="40" t="s">
        <v>494</v>
      </c>
      <c r="S1535" s="40" t="s">
        <v>502</v>
      </c>
      <c r="T1535" s="40" t="s">
        <v>289</v>
      </c>
      <c r="U1535" s="40" t="s">
        <v>1076</v>
      </c>
      <c r="V1535" s="40"/>
      <c r="W1535" s="40" t="s">
        <v>3526</v>
      </c>
    </row>
    <row r="1536" spans="1:23" ht="12" x14ac:dyDescent="0.2">
      <c r="A1536" s="39" t="s">
        <v>1477</v>
      </c>
      <c r="B1536" s="40" t="s">
        <v>7805</v>
      </c>
      <c r="C1536" s="40" t="s">
        <v>7806</v>
      </c>
      <c r="D1536" s="41">
        <v>46084</v>
      </c>
      <c r="E1536" s="41">
        <v>46114</v>
      </c>
      <c r="F1536" s="41">
        <v>46091</v>
      </c>
      <c r="G1536" s="42">
        <v>-23</v>
      </c>
      <c r="H1536" s="40" t="s">
        <v>556</v>
      </c>
      <c r="I1536" s="39" t="s">
        <v>320</v>
      </c>
      <c r="J1536" s="43">
        <v>57112.959999999999</v>
      </c>
      <c r="K1536" s="43">
        <v>0</v>
      </c>
      <c r="L1536" s="43">
        <v>57112.959999999999</v>
      </c>
      <c r="M1536" s="44">
        <v>0</v>
      </c>
      <c r="N1536" s="44">
        <f t="shared" si="23"/>
        <v>57112.959999999999</v>
      </c>
      <c r="O1536" s="44">
        <v>57112.959999999999</v>
      </c>
      <c r="P1536" s="40" t="s">
        <v>1478</v>
      </c>
      <c r="Q1536" s="40" t="s">
        <v>7807</v>
      </c>
      <c r="R1536" s="40" t="s">
        <v>494</v>
      </c>
      <c r="S1536" s="40" t="s">
        <v>502</v>
      </c>
      <c r="T1536" s="40" t="s">
        <v>163</v>
      </c>
      <c r="U1536" s="40" t="s">
        <v>7808</v>
      </c>
      <c r="V1536" s="40"/>
      <c r="W1536" s="40" t="s">
        <v>321</v>
      </c>
    </row>
    <row r="1537" spans="1:23" ht="12" x14ac:dyDescent="0.2">
      <c r="A1537" s="39" t="s">
        <v>444</v>
      </c>
      <c r="B1537" s="40" t="s">
        <v>443</v>
      </c>
      <c r="C1537" s="40" t="s">
        <v>7809</v>
      </c>
      <c r="D1537" s="41">
        <v>46084</v>
      </c>
      <c r="E1537" s="41">
        <v>46114</v>
      </c>
      <c r="F1537" s="41">
        <v>46091</v>
      </c>
      <c r="G1537" s="42">
        <v>-23</v>
      </c>
      <c r="H1537" s="40" t="s">
        <v>556</v>
      </c>
      <c r="I1537" s="39" t="s">
        <v>320</v>
      </c>
      <c r="J1537" s="43">
        <v>40499.33</v>
      </c>
      <c r="K1537" s="43">
        <v>0</v>
      </c>
      <c r="L1537" s="43">
        <v>40499.33</v>
      </c>
      <c r="M1537" s="44">
        <v>0</v>
      </c>
      <c r="N1537" s="44">
        <f t="shared" si="23"/>
        <v>40499.33</v>
      </c>
      <c r="O1537" s="44">
        <v>40499.33</v>
      </c>
      <c r="P1537" s="40" t="s">
        <v>7810</v>
      </c>
      <c r="Q1537" s="40" t="s">
        <v>7811</v>
      </c>
      <c r="R1537" s="40" t="s">
        <v>494</v>
      </c>
      <c r="S1537" s="40" t="s">
        <v>502</v>
      </c>
      <c r="T1537" s="40" t="s">
        <v>184</v>
      </c>
      <c r="U1537" s="40" t="s">
        <v>7812</v>
      </c>
      <c r="V1537" s="40"/>
      <c r="W1537" s="40"/>
    </row>
    <row r="1538" spans="1:23" ht="12" x14ac:dyDescent="0.2">
      <c r="A1538" s="39" t="s">
        <v>3702</v>
      </c>
      <c r="B1538" s="40" t="s">
        <v>3703</v>
      </c>
      <c r="C1538" s="40" t="s">
        <v>7813</v>
      </c>
      <c r="D1538" s="41">
        <v>46085</v>
      </c>
      <c r="E1538" s="41">
        <v>46115</v>
      </c>
      <c r="F1538" s="41">
        <v>46091</v>
      </c>
      <c r="G1538" s="42">
        <v>-24</v>
      </c>
      <c r="H1538" s="40" t="s">
        <v>556</v>
      </c>
      <c r="I1538" s="39" t="s">
        <v>323</v>
      </c>
      <c r="J1538" s="43">
        <v>37665.56</v>
      </c>
      <c r="K1538" s="43">
        <v>0</v>
      </c>
      <c r="L1538" s="43">
        <v>37665.56</v>
      </c>
      <c r="M1538" s="44">
        <v>0</v>
      </c>
      <c r="N1538" s="44">
        <f t="shared" si="23"/>
        <v>25976.25</v>
      </c>
      <c r="O1538" s="44">
        <v>25976.25</v>
      </c>
      <c r="P1538" s="40" t="s">
        <v>4875</v>
      </c>
      <c r="Q1538" s="40" t="s">
        <v>4876</v>
      </c>
      <c r="R1538" s="40" t="s">
        <v>494</v>
      </c>
      <c r="S1538" s="40" t="s">
        <v>502</v>
      </c>
      <c r="T1538" s="40" t="s">
        <v>330</v>
      </c>
      <c r="U1538" s="40" t="s">
        <v>4393</v>
      </c>
      <c r="V1538" s="40"/>
      <c r="W1538" s="40" t="s">
        <v>4878</v>
      </c>
    </row>
    <row r="1539" spans="1:23" ht="12" x14ac:dyDescent="0.2">
      <c r="A1539" s="39" t="s">
        <v>461</v>
      </c>
      <c r="B1539" s="40" t="s">
        <v>460</v>
      </c>
      <c r="C1539" s="40" t="s">
        <v>7814</v>
      </c>
      <c r="D1539" s="41">
        <v>46085</v>
      </c>
      <c r="E1539" s="41">
        <v>46115</v>
      </c>
      <c r="F1539" s="41">
        <v>46091</v>
      </c>
      <c r="G1539" s="42">
        <v>-24</v>
      </c>
      <c r="H1539" s="40" t="s">
        <v>556</v>
      </c>
      <c r="I1539" s="39" t="s">
        <v>320</v>
      </c>
      <c r="J1539" s="43">
        <v>1613.99</v>
      </c>
      <c r="K1539" s="43">
        <v>0</v>
      </c>
      <c r="L1539" s="43">
        <v>1613.99</v>
      </c>
      <c r="M1539" s="44">
        <v>0</v>
      </c>
      <c r="N1539" s="44">
        <f t="shared" ref="N1539:N1602" si="24">IF(I1539="GBP",L1539-K1539,O1539-K1539)</f>
        <v>1613.99</v>
      </c>
      <c r="O1539" s="44">
        <v>1613.99</v>
      </c>
      <c r="P1539" s="40" t="s">
        <v>3072</v>
      </c>
      <c r="Q1539" s="40" t="s">
        <v>3073</v>
      </c>
      <c r="R1539" s="40" t="s">
        <v>494</v>
      </c>
      <c r="S1539" s="40" t="s">
        <v>502</v>
      </c>
      <c r="T1539" s="40" t="s">
        <v>542</v>
      </c>
      <c r="U1539" s="40" t="s">
        <v>3074</v>
      </c>
      <c r="V1539" s="40"/>
      <c r="W1539" s="40" t="s">
        <v>3075</v>
      </c>
    </row>
    <row r="1540" spans="1:23" ht="12" x14ac:dyDescent="0.2">
      <c r="A1540" s="39" t="s">
        <v>47</v>
      </c>
      <c r="B1540" s="40" t="s">
        <v>1222</v>
      </c>
      <c r="C1540" s="40" t="s">
        <v>7815</v>
      </c>
      <c r="D1540" s="41">
        <v>46085</v>
      </c>
      <c r="E1540" s="41">
        <v>46115</v>
      </c>
      <c r="F1540" s="41">
        <v>46091</v>
      </c>
      <c r="G1540" s="42">
        <v>-24</v>
      </c>
      <c r="H1540" s="40" t="s">
        <v>556</v>
      </c>
      <c r="I1540" s="39" t="s">
        <v>320</v>
      </c>
      <c r="J1540" s="43">
        <v>14772.7</v>
      </c>
      <c r="K1540" s="43">
        <v>0</v>
      </c>
      <c r="L1540" s="43">
        <v>14772.7</v>
      </c>
      <c r="M1540" s="44">
        <v>0</v>
      </c>
      <c r="N1540" s="44">
        <f t="shared" si="24"/>
        <v>14772.7</v>
      </c>
      <c r="O1540" s="44">
        <v>14772.7</v>
      </c>
      <c r="P1540" s="40" t="s">
        <v>7816</v>
      </c>
      <c r="Q1540" s="40" t="s">
        <v>7817</v>
      </c>
      <c r="R1540" s="40" t="s">
        <v>494</v>
      </c>
      <c r="S1540" s="40" t="s">
        <v>495</v>
      </c>
      <c r="T1540" s="40" t="s">
        <v>191</v>
      </c>
      <c r="U1540" s="40" t="s">
        <v>7818</v>
      </c>
      <c r="V1540" s="40"/>
      <c r="W1540" s="40" t="s">
        <v>7819</v>
      </c>
    </row>
    <row r="1541" spans="1:23" ht="12" x14ac:dyDescent="0.2">
      <c r="A1541" s="39" t="s">
        <v>788</v>
      </c>
      <c r="B1541" s="40" t="s">
        <v>789</v>
      </c>
      <c r="C1541" s="40" t="s">
        <v>7820</v>
      </c>
      <c r="D1541" s="41">
        <v>46085</v>
      </c>
      <c r="E1541" s="41">
        <v>46115</v>
      </c>
      <c r="F1541" s="41">
        <v>46091</v>
      </c>
      <c r="G1541" s="42">
        <v>-24</v>
      </c>
      <c r="H1541" s="40" t="s">
        <v>556</v>
      </c>
      <c r="I1541" s="39" t="s">
        <v>320</v>
      </c>
      <c r="J1541" s="43">
        <v>532.20000000000005</v>
      </c>
      <c r="K1541" s="43">
        <v>0</v>
      </c>
      <c r="L1541" s="43">
        <v>532.20000000000005</v>
      </c>
      <c r="M1541" s="44">
        <v>0</v>
      </c>
      <c r="N1541" s="44">
        <f t="shared" si="24"/>
        <v>532.20000000000005</v>
      </c>
      <c r="O1541" s="44">
        <v>532.20000000000005</v>
      </c>
      <c r="P1541" s="40" t="s">
        <v>3272</v>
      </c>
      <c r="Q1541" s="40" t="s">
        <v>3273</v>
      </c>
      <c r="R1541" s="40" t="s">
        <v>494</v>
      </c>
      <c r="S1541" s="40" t="s">
        <v>502</v>
      </c>
      <c r="T1541" s="40" t="s">
        <v>221</v>
      </c>
      <c r="U1541" s="40" t="s">
        <v>3274</v>
      </c>
      <c r="V1541" s="40"/>
      <c r="W1541" s="40" t="s">
        <v>7731</v>
      </c>
    </row>
    <row r="1542" spans="1:23" ht="12" x14ac:dyDescent="0.2">
      <c r="A1542" s="39" t="s">
        <v>3763</v>
      </c>
      <c r="B1542" s="40" t="s">
        <v>7821</v>
      </c>
      <c r="C1542" s="40" t="s">
        <v>7822</v>
      </c>
      <c r="D1542" s="41">
        <v>46085</v>
      </c>
      <c r="E1542" s="41">
        <v>46115</v>
      </c>
      <c r="F1542" s="41">
        <v>46091</v>
      </c>
      <c r="G1542" s="42">
        <v>-24</v>
      </c>
      <c r="H1542" s="40" t="s">
        <v>556</v>
      </c>
      <c r="I1542" s="39" t="s">
        <v>320</v>
      </c>
      <c r="J1542" s="43">
        <v>24000</v>
      </c>
      <c r="K1542" s="43">
        <v>0</v>
      </c>
      <c r="L1542" s="43">
        <v>24000</v>
      </c>
      <c r="M1542" s="44">
        <v>0</v>
      </c>
      <c r="N1542" s="44">
        <f t="shared" si="24"/>
        <v>24000</v>
      </c>
      <c r="O1542" s="44">
        <v>24000</v>
      </c>
      <c r="P1542" s="40" t="s">
        <v>7823</v>
      </c>
      <c r="Q1542" s="40" t="s">
        <v>7824</v>
      </c>
      <c r="R1542" s="40" t="s">
        <v>494</v>
      </c>
      <c r="S1542" s="40" t="s">
        <v>502</v>
      </c>
      <c r="T1542" s="40" t="s">
        <v>218</v>
      </c>
      <c r="U1542" s="40" t="s">
        <v>6601</v>
      </c>
      <c r="V1542" s="40"/>
      <c r="W1542" s="40" t="s">
        <v>321</v>
      </c>
    </row>
    <row r="1543" spans="1:23" ht="12" x14ac:dyDescent="0.2">
      <c r="A1543" s="39" t="s">
        <v>6334</v>
      </c>
      <c r="B1543" s="40" t="s">
        <v>6335</v>
      </c>
      <c r="C1543" s="40" t="s">
        <v>7825</v>
      </c>
      <c r="D1543" s="41">
        <v>46085</v>
      </c>
      <c r="E1543" s="41">
        <v>46115</v>
      </c>
      <c r="F1543" s="41">
        <v>46091</v>
      </c>
      <c r="G1543" s="42">
        <v>-24</v>
      </c>
      <c r="H1543" s="40" t="s">
        <v>556</v>
      </c>
      <c r="I1543" s="39" t="s">
        <v>320</v>
      </c>
      <c r="J1543" s="43">
        <v>13500</v>
      </c>
      <c r="K1543" s="43">
        <v>2250</v>
      </c>
      <c r="L1543" s="43">
        <v>13500</v>
      </c>
      <c r="M1543" s="44">
        <v>2250</v>
      </c>
      <c r="N1543" s="44">
        <f t="shared" si="24"/>
        <v>11250</v>
      </c>
      <c r="O1543" s="44">
        <v>13500</v>
      </c>
      <c r="P1543" s="40" t="s">
        <v>7826</v>
      </c>
      <c r="Q1543" s="40" t="s">
        <v>7827</v>
      </c>
      <c r="R1543" s="40" t="s">
        <v>494</v>
      </c>
      <c r="S1543" s="40" t="s">
        <v>502</v>
      </c>
      <c r="T1543" s="40" t="s">
        <v>218</v>
      </c>
      <c r="U1543" s="40" t="s">
        <v>570</v>
      </c>
      <c r="V1543" s="40"/>
      <c r="W1543" s="40" t="s">
        <v>321</v>
      </c>
    </row>
    <row r="1544" spans="1:23" ht="12" x14ac:dyDescent="0.2">
      <c r="A1544" s="39" t="s">
        <v>41</v>
      </c>
      <c r="B1544" s="40" t="s">
        <v>459</v>
      </c>
      <c r="C1544" s="40" t="s">
        <v>7828</v>
      </c>
      <c r="D1544" s="41">
        <v>46085</v>
      </c>
      <c r="E1544" s="41">
        <v>46115</v>
      </c>
      <c r="F1544" s="41">
        <v>46091</v>
      </c>
      <c r="G1544" s="42">
        <v>-24</v>
      </c>
      <c r="H1544" s="40" t="s">
        <v>556</v>
      </c>
      <c r="I1544" s="39" t="s">
        <v>320</v>
      </c>
      <c r="J1544" s="43">
        <v>88400</v>
      </c>
      <c r="K1544" s="43">
        <v>0</v>
      </c>
      <c r="L1544" s="43">
        <v>88400</v>
      </c>
      <c r="M1544" s="44">
        <v>0</v>
      </c>
      <c r="N1544" s="44">
        <f t="shared" si="24"/>
        <v>88400</v>
      </c>
      <c r="O1544" s="44">
        <v>88400</v>
      </c>
      <c r="P1544" s="40" t="s">
        <v>7829</v>
      </c>
      <c r="Q1544" s="40" t="s">
        <v>7830</v>
      </c>
      <c r="R1544" s="40" t="s">
        <v>494</v>
      </c>
      <c r="S1544" s="40" t="s">
        <v>502</v>
      </c>
      <c r="T1544" s="40" t="s">
        <v>534</v>
      </c>
      <c r="U1544" s="40" t="s">
        <v>3313</v>
      </c>
      <c r="V1544" s="40"/>
      <c r="W1544" s="40" t="s">
        <v>7831</v>
      </c>
    </row>
    <row r="1545" spans="1:23" ht="12" x14ac:dyDescent="0.2">
      <c r="A1545" s="39" t="s">
        <v>454</v>
      </c>
      <c r="B1545" s="40" t="s">
        <v>1202</v>
      </c>
      <c r="C1545" s="40" t="s">
        <v>7832</v>
      </c>
      <c r="D1545" s="41">
        <v>46085</v>
      </c>
      <c r="E1545" s="41">
        <v>46115</v>
      </c>
      <c r="F1545" s="41">
        <v>46091</v>
      </c>
      <c r="G1545" s="42">
        <v>-24</v>
      </c>
      <c r="H1545" s="40" t="s">
        <v>556</v>
      </c>
      <c r="I1545" s="39" t="s">
        <v>320</v>
      </c>
      <c r="J1545" s="43">
        <v>32853.919999999998</v>
      </c>
      <c r="K1545" s="43">
        <v>0</v>
      </c>
      <c r="L1545" s="43">
        <v>32853.919999999998</v>
      </c>
      <c r="M1545" s="44">
        <v>0</v>
      </c>
      <c r="N1545" s="44">
        <f t="shared" si="24"/>
        <v>32853.919999999998</v>
      </c>
      <c r="O1545" s="44">
        <v>32853.919999999998</v>
      </c>
      <c r="P1545" s="40" t="s">
        <v>3760</v>
      </c>
      <c r="Q1545" s="40" t="s">
        <v>7833</v>
      </c>
      <c r="R1545" s="40" t="s">
        <v>494</v>
      </c>
      <c r="S1545" s="40" t="s">
        <v>502</v>
      </c>
      <c r="T1545" s="40" t="s">
        <v>218</v>
      </c>
      <c r="U1545" s="40" t="s">
        <v>2631</v>
      </c>
      <c r="V1545" s="40"/>
      <c r="W1545" s="40" t="s">
        <v>7834</v>
      </c>
    </row>
    <row r="1546" spans="1:23" ht="12" x14ac:dyDescent="0.2">
      <c r="A1546" s="39" t="s">
        <v>41</v>
      </c>
      <c r="B1546" s="40" t="s">
        <v>459</v>
      </c>
      <c r="C1546" s="40" t="s">
        <v>7835</v>
      </c>
      <c r="D1546" s="41">
        <v>46085</v>
      </c>
      <c r="E1546" s="41">
        <v>46115</v>
      </c>
      <c r="F1546" s="41">
        <v>46091</v>
      </c>
      <c r="G1546" s="42">
        <v>-24</v>
      </c>
      <c r="H1546" s="40" t="s">
        <v>556</v>
      </c>
      <c r="I1546" s="39" t="s">
        <v>320</v>
      </c>
      <c r="J1546" s="43">
        <v>5856.95</v>
      </c>
      <c r="K1546" s="43">
        <v>0</v>
      </c>
      <c r="L1546" s="43">
        <v>5856.95</v>
      </c>
      <c r="M1546" s="44">
        <v>0</v>
      </c>
      <c r="N1546" s="44">
        <f t="shared" si="24"/>
        <v>5856.95</v>
      </c>
      <c r="O1546" s="44">
        <v>5856.95</v>
      </c>
      <c r="P1546" s="40" t="s">
        <v>7836</v>
      </c>
      <c r="Q1546" s="40" t="s">
        <v>7837</v>
      </c>
      <c r="R1546" s="40" t="s">
        <v>494</v>
      </c>
      <c r="S1546" s="40" t="s">
        <v>502</v>
      </c>
      <c r="T1546" s="40" t="s">
        <v>216</v>
      </c>
      <c r="U1546" s="40" t="s">
        <v>7838</v>
      </c>
      <c r="V1546" s="40"/>
      <c r="W1546" s="40" t="s">
        <v>7839</v>
      </c>
    </row>
    <row r="1547" spans="1:23" ht="12" x14ac:dyDescent="0.2">
      <c r="A1547" s="39" t="s">
        <v>1216</v>
      </c>
      <c r="B1547" s="40" t="s">
        <v>4926</v>
      </c>
      <c r="C1547" s="40" t="s">
        <v>7840</v>
      </c>
      <c r="D1547" s="41">
        <v>46085</v>
      </c>
      <c r="E1547" s="41">
        <v>46115</v>
      </c>
      <c r="F1547" s="41">
        <v>46091</v>
      </c>
      <c r="G1547" s="42">
        <v>-24</v>
      </c>
      <c r="H1547" s="40" t="s">
        <v>556</v>
      </c>
      <c r="I1547" s="39" t="s">
        <v>320</v>
      </c>
      <c r="J1547" s="43">
        <v>11453.07</v>
      </c>
      <c r="K1547" s="43">
        <v>0</v>
      </c>
      <c r="L1547" s="43">
        <v>11453.07</v>
      </c>
      <c r="M1547" s="44">
        <v>0</v>
      </c>
      <c r="N1547" s="44">
        <f t="shared" si="24"/>
        <v>11453.07</v>
      </c>
      <c r="O1547" s="44">
        <v>11453.07</v>
      </c>
      <c r="P1547" s="40" t="s">
        <v>7841</v>
      </c>
      <c r="Q1547" s="40" t="s">
        <v>7842</v>
      </c>
      <c r="R1547" s="40" t="s">
        <v>494</v>
      </c>
      <c r="S1547" s="40" t="s">
        <v>502</v>
      </c>
      <c r="T1547" s="40" t="s">
        <v>507</v>
      </c>
      <c r="U1547" s="40" t="s">
        <v>1083</v>
      </c>
      <c r="V1547" s="40"/>
      <c r="W1547" s="40" t="s">
        <v>7843</v>
      </c>
    </row>
    <row r="1548" spans="1:23" ht="12" x14ac:dyDescent="0.2">
      <c r="A1548" s="39" t="s">
        <v>710</v>
      </c>
      <c r="B1548" s="40" t="s">
        <v>5829</v>
      </c>
      <c r="C1548" s="40" t="s">
        <v>7844</v>
      </c>
      <c r="D1548" s="41">
        <v>46085</v>
      </c>
      <c r="E1548" s="41">
        <v>46115</v>
      </c>
      <c r="F1548" s="41">
        <v>46091</v>
      </c>
      <c r="G1548" s="42">
        <v>-24</v>
      </c>
      <c r="H1548" s="40" t="s">
        <v>556</v>
      </c>
      <c r="I1548" s="39" t="s">
        <v>320</v>
      </c>
      <c r="J1548" s="43">
        <v>2089.23</v>
      </c>
      <c r="K1548" s="43">
        <v>0</v>
      </c>
      <c r="L1548" s="43">
        <v>2089.23</v>
      </c>
      <c r="M1548" s="44">
        <v>0</v>
      </c>
      <c r="N1548" s="44">
        <f t="shared" si="24"/>
        <v>2089.23</v>
      </c>
      <c r="O1548" s="44">
        <v>2089.23</v>
      </c>
      <c r="P1548" s="40" t="s">
        <v>5831</v>
      </c>
      <c r="Q1548" s="40" t="s">
        <v>5832</v>
      </c>
      <c r="R1548" s="40" t="s">
        <v>494</v>
      </c>
      <c r="S1548" s="40" t="s">
        <v>502</v>
      </c>
      <c r="T1548" s="40" t="s">
        <v>204</v>
      </c>
      <c r="U1548" s="40" t="s">
        <v>5833</v>
      </c>
      <c r="V1548" s="40"/>
      <c r="W1548" s="40" t="s">
        <v>5834</v>
      </c>
    </row>
    <row r="1549" spans="1:23" ht="12" x14ac:dyDescent="0.2">
      <c r="A1549" s="39" t="s">
        <v>63</v>
      </c>
      <c r="B1549" s="40" t="s">
        <v>886</v>
      </c>
      <c r="C1549" s="40" t="s">
        <v>7845</v>
      </c>
      <c r="D1549" s="41">
        <v>46085</v>
      </c>
      <c r="E1549" s="41">
        <v>46115</v>
      </c>
      <c r="F1549" s="41">
        <v>46091</v>
      </c>
      <c r="G1549" s="42">
        <v>-24</v>
      </c>
      <c r="H1549" s="40" t="s">
        <v>556</v>
      </c>
      <c r="I1549" s="39" t="s">
        <v>320</v>
      </c>
      <c r="J1549" s="43">
        <v>28015</v>
      </c>
      <c r="K1549" s="43">
        <v>0</v>
      </c>
      <c r="L1549" s="43">
        <v>28015</v>
      </c>
      <c r="M1549" s="44">
        <v>0</v>
      </c>
      <c r="N1549" s="44">
        <f t="shared" si="24"/>
        <v>28015</v>
      </c>
      <c r="O1549" s="44">
        <v>28015</v>
      </c>
      <c r="P1549" s="40" t="s">
        <v>2703</v>
      </c>
      <c r="Q1549" s="40" t="s">
        <v>2704</v>
      </c>
      <c r="R1549" s="40" t="s">
        <v>494</v>
      </c>
      <c r="S1549" s="40" t="s">
        <v>502</v>
      </c>
      <c r="T1549" s="40" t="s">
        <v>280</v>
      </c>
      <c r="U1549" s="40" t="s">
        <v>560</v>
      </c>
      <c r="V1549" s="40"/>
      <c r="W1549" s="40" t="s">
        <v>7846</v>
      </c>
    </row>
    <row r="1550" spans="1:23" ht="12" x14ac:dyDescent="0.2">
      <c r="A1550" s="39" t="s">
        <v>40</v>
      </c>
      <c r="B1550" s="40" t="s">
        <v>456</v>
      </c>
      <c r="C1550" s="40" t="s">
        <v>7847</v>
      </c>
      <c r="D1550" s="41">
        <v>46085</v>
      </c>
      <c r="E1550" s="41">
        <v>46115</v>
      </c>
      <c r="F1550" s="41">
        <v>46091</v>
      </c>
      <c r="G1550" s="42">
        <v>-24</v>
      </c>
      <c r="H1550" s="40" t="s">
        <v>556</v>
      </c>
      <c r="I1550" s="39" t="s">
        <v>320</v>
      </c>
      <c r="J1550" s="43">
        <v>14817.68</v>
      </c>
      <c r="K1550" s="43">
        <v>0</v>
      </c>
      <c r="L1550" s="43">
        <v>14817.68</v>
      </c>
      <c r="M1550" s="44">
        <v>0</v>
      </c>
      <c r="N1550" s="44">
        <f t="shared" si="24"/>
        <v>14817.68</v>
      </c>
      <c r="O1550" s="44">
        <v>14817.68</v>
      </c>
      <c r="P1550" s="40" t="s">
        <v>6197</v>
      </c>
      <c r="Q1550" s="40" t="s">
        <v>6198</v>
      </c>
      <c r="R1550" s="40" t="s">
        <v>494</v>
      </c>
      <c r="S1550" s="40" t="s">
        <v>502</v>
      </c>
      <c r="T1550" s="40" t="s">
        <v>538</v>
      </c>
      <c r="U1550" s="40" t="s">
        <v>3566</v>
      </c>
      <c r="V1550" s="40"/>
      <c r="W1550" s="40" t="s">
        <v>6199</v>
      </c>
    </row>
    <row r="1551" spans="1:23" ht="12" x14ac:dyDescent="0.2">
      <c r="A1551" s="39" t="s">
        <v>6334</v>
      </c>
      <c r="B1551" s="40" t="s">
        <v>6335</v>
      </c>
      <c r="C1551" s="40" t="s">
        <v>7848</v>
      </c>
      <c r="D1551" s="41">
        <v>46085</v>
      </c>
      <c r="E1551" s="41">
        <v>46115</v>
      </c>
      <c r="F1551" s="41">
        <v>46091</v>
      </c>
      <c r="G1551" s="42">
        <v>-24</v>
      </c>
      <c r="H1551" s="40" t="s">
        <v>556</v>
      </c>
      <c r="I1551" s="39" t="s">
        <v>320</v>
      </c>
      <c r="J1551" s="43">
        <v>18000</v>
      </c>
      <c r="K1551" s="43">
        <v>3000</v>
      </c>
      <c r="L1551" s="43">
        <v>18000</v>
      </c>
      <c r="M1551" s="44">
        <v>3000</v>
      </c>
      <c r="N1551" s="44">
        <f t="shared" si="24"/>
        <v>15000</v>
      </c>
      <c r="O1551" s="44">
        <v>18000</v>
      </c>
      <c r="P1551" s="40" t="s">
        <v>7849</v>
      </c>
      <c r="Q1551" s="40" t="s">
        <v>7850</v>
      </c>
      <c r="R1551" s="40" t="s">
        <v>494</v>
      </c>
      <c r="S1551" s="40" t="s">
        <v>502</v>
      </c>
      <c r="T1551" s="40" t="s">
        <v>1669</v>
      </c>
      <c r="U1551" s="40" t="s">
        <v>1670</v>
      </c>
      <c r="V1551" s="40"/>
      <c r="W1551" s="40" t="s">
        <v>322</v>
      </c>
    </row>
    <row r="1552" spans="1:23" ht="12" x14ac:dyDescent="0.2">
      <c r="A1552" s="39" t="s">
        <v>37</v>
      </c>
      <c r="B1552" s="40" t="s">
        <v>452</v>
      </c>
      <c r="C1552" s="40" t="s">
        <v>7851</v>
      </c>
      <c r="D1552" s="41">
        <v>46085</v>
      </c>
      <c r="E1552" s="41">
        <v>46115</v>
      </c>
      <c r="F1552" s="41">
        <v>46091</v>
      </c>
      <c r="G1552" s="42">
        <v>-24</v>
      </c>
      <c r="H1552" s="40" t="s">
        <v>556</v>
      </c>
      <c r="I1552" s="39" t="s">
        <v>320</v>
      </c>
      <c r="J1552" s="43">
        <v>12314.95</v>
      </c>
      <c r="K1552" s="43">
        <v>0</v>
      </c>
      <c r="L1552" s="43">
        <v>12314.95</v>
      </c>
      <c r="M1552" s="44">
        <v>0</v>
      </c>
      <c r="N1552" s="44">
        <f t="shared" si="24"/>
        <v>12314.95</v>
      </c>
      <c r="O1552" s="44">
        <v>12314.95</v>
      </c>
      <c r="P1552" s="40" t="s">
        <v>3740</v>
      </c>
      <c r="Q1552" s="40" t="s">
        <v>3741</v>
      </c>
      <c r="R1552" s="40" t="s">
        <v>494</v>
      </c>
      <c r="S1552" s="40" t="s">
        <v>502</v>
      </c>
      <c r="T1552" s="40" t="s">
        <v>1669</v>
      </c>
      <c r="U1552" s="40" t="s">
        <v>1670</v>
      </c>
      <c r="V1552" s="40"/>
      <c r="W1552" s="40" t="s">
        <v>3742</v>
      </c>
    </row>
    <row r="1553" spans="1:23" ht="12" x14ac:dyDescent="0.2">
      <c r="A1553" s="39" t="s">
        <v>624</v>
      </c>
      <c r="B1553" s="40" t="s">
        <v>4602</v>
      </c>
      <c r="C1553" s="40" t="s">
        <v>7852</v>
      </c>
      <c r="D1553" s="41">
        <v>46085</v>
      </c>
      <c r="E1553" s="41">
        <v>46115</v>
      </c>
      <c r="F1553" s="41">
        <v>46091</v>
      </c>
      <c r="G1553" s="42">
        <v>-24</v>
      </c>
      <c r="H1553" s="40" t="s">
        <v>556</v>
      </c>
      <c r="I1553" s="39" t="s">
        <v>320</v>
      </c>
      <c r="J1553" s="43">
        <v>11.05</v>
      </c>
      <c r="K1553" s="43">
        <v>0</v>
      </c>
      <c r="L1553" s="43">
        <v>11.05</v>
      </c>
      <c r="M1553" s="44">
        <v>0</v>
      </c>
      <c r="N1553" s="44">
        <f t="shared" si="24"/>
        <v>11.05</v>
      </c>
      <c r="O1553" s="44">
        <v>11.05</v>
      </c>
      <c r="P1553" s="40" t="s">
        <v>2077</v>
      </c>
      <c r="Q1553" s="40" t="s">
        <v>7853</v>
      </c>
      <c r="R1553" s="40" t="s">
        <v>494</v>
      </c>
      <c r="S1553" s="40" t="s">
        <v>502</v>
      </c>
      <c r="T1553" s="40" t="s">
        <v>284</v>
      </c>
      <c r="U1553" s="40" t="s">
        <v>994</v>
      </c>
      <c r="V1553" s="40"/>
      <c r="W1553" s="40" t="s">
        <v>7854</v>
      </c>
    </row>
    <row r="1554" spans="1:23" ht="12" x14ac:dyDescent="0.2">
      <c r="A1554" s="39" t="s">
        <v>357</v>
      </c>
      <c r="B1554" s="40" t="s">
        <v>356</v>
      </c>
      <c r="C1554" s="40" t="s">
        <v>7855</v>
      </c>
      <c r="D1554" s="41">
        <v>46085</v>
      </c>
      <c r="E1554" s="41">
        <v>46115</v>
      </c>
      <c r="F1554" s="41">
        <v>46091</v>
      </c>
      <c r="G1554" s="42">
        <v>-24</v>
      </c>
      <c r="H1554" s="40" t="s">
        <v>556</v>
      </c>
      <c r="I1554" s="39" t="s">
        <v>341</v>
      </c>
      <c r="J1554" s="43">
        <v>6614.58</v>
      </c>
      <c r="K1554" s="43">
        <v>0</v>
      </c>
      <c r="L1554" s="43">
        <v>6614.58</v>
      </c>
      <c r="M1554" s="44">
        <v>0</v>
      </c>
      <c r="N1554" s="44">
        <f t="shared" si="24"/>
        <v>5627.22</v>
      </c>
      <c r="O1554" s="44">
        <v>5627.22</v>
      </c>
      <c r="P1554" s="40" t="s">
        <v>7856</v>
      </c>
      <c r="Q1554" s="40" t="s">
        <v>7857</v>
      </c>
      <c r="R1554" s="40" t="s">
        <v>494</v>
      </c>
      <c r="S1554" s="40" t="s">
        <v>502</v>
      </c>
      <c r="T1554" s="40" t="s">
        <v>191</v>
      </c>
      <c r="U1554" s="40" t="s">
        <v>2448</v>
      </c>
      <c r="V1554" s="40"/>
      <c r="W1554" s="40" t="s">
        <v>7858</v>
      </c>
    </row>
    <row r="1555" spans="1:23" ht="12" x14ac:dyDescent="0.2">
      <c r="A1555" s="39" t="s">
        <v>40</v>
      </c>
      <c r="B1555" s="40" t="s">
        <v>456</v>
      </c>
      <c r="C1555" s="40" t="s">
        <v>7859</v>
      </c>
      <c r="D1555" s="41">
        <v>46085</v>
      </c>
      <c r="E1555" s="41">
        <v>46115</v>
      </c>
      <c r="F1555" s="41">
        <v>46091</v>
      </c>
      <c r="G1555" s="42">
        <v>-24</v>
      </c>
      <c r="H1555" s="40" t="s">
        <v>556</v>
      </c>
      <c r="I1555" s="39" t="s">
        <v>320</v>
      </c>
      <c r="J1555" s="43">
        <v>111045.32</v>
      </c>
      <c r="K1555" s="43">
        <v>0</v>
      </c>
      <c r="L1555" s="43">
        <v>111045.32</v>
      </c>
      <c r="M1555" s="44">
        <v>0</v>
      </c>
      <c r="N1555" s="44">
        <f t="shared" si="24"/>
        <v>111045.32</v>
      </c>
      <c r="O1555" s="44">
        <v>111045.32</v>
      </c>
      <c r="P1555" s="40" t="s">
        <v>1620</v>
      </c>
      <c r="Q1555" s="40" t="s">
        <v>3610</v>
      </c>
      <c r="R1555" s="40" t="s">
        <v>494</v>
      </c>
      <c r="S1555" s="40" t="s">
        <v>502</v>
      </c>
      <c r="T1555" s="40" t="s">
        <v>185</v>
      </c>
      <c r="U1555" s="40" t="s">
        <v>1043</v>
      </c>
      <c r="V1555" s="40"/>
      <c r="W1555" s="40" t="s">
        <v>3611</v>
      </c>
    </row>
    <row r="1556" spans="1:23" ht="12" x14ac:dyDescent="0.2">
      <c r="A1556" s="39" t="s">
        <v>1588</v>
      </c>
      <c r="B1556" s="40" t="s">
        <v>2000</v>
      </c>
      <c r="C1556" s="40" t="s">
        <v>7860</v>
      </c>
      <c r="D1556" s="41">
        <v>46085</v>
      </c>
      <c r="E1556" s="41">
        <v>46115</v>
      </c>
      <c r="F1556" s="41">
        <v>46091</v>
      </c>
      <c r="G1556" s="42">
        <v>-24</v>
      </c>
      <c r="H1556" s="40" t="s">
        <v>556</v>
      </c>
      <c r="I1556" s="39" t="s">
        <v>320</v>
      </c>
      <c r="J1556" s="43">
        <v>15381.64</v>
      </c>
      <c r="K1556" s="43">
        <v>0</v>
      </c>
      <c r="L1556" s="43">
        <v>15381.64</v>
      </c>
      <c r="M1556" s="44">
        <v>0</v>
      </c>
      <c r="N1556" s="44">
        <f t="shared" si="24"/>
        <v>15381.64</v>
      </c>
      <c r="O1556" s="44">
        <v>15381.64</v>
      </c>
      <c r="P1556" s="40" t="s">
        <v>1623</v>
      </c>
      <c r="Q1556" s="40" t="s">
        <v>2625</v>
      </c>
      <c r="R1556" s="40" t="s">
        <v>494</v>
      </c>
      <c r="S1556" s="40" t="s">
        <v>502</v>
      </c>
      <c r="T1556" s="40" t="s">
        <v>330</v>
      </c>
      <c r="U1556" s="40" t="s">
        <v>2626</v>
      </c>
      <c r="V1556" s="40"/>
      <c r="W1556" s="40" t="s">
        <v>2627</v>
      </c>
    </row>
    <row r="1557" spans="1:23" ht="12" x14ac:dyDescent="0.2">
      <c r="A1557" s="39" t="s">
        <v>5287</v>
      </c>
      <c r="B1557" s="40" t="s">
        <v>5288</v>
      </c>
      <c r="C1557" s="40" t="s">
        <v>7861</v>
      </c>
      <c r="D1557" s="41">
        <v>46085</v>
      </c>
      <c r="E1557" s="41">
        <v>46115</v>
      </c>
      <c r="F1557" s="41">
        <v>46091</v>
      </c>
      <c r="G1557" s="42">
        <v>-24</v>
      </c>
      <c r="H1557" s="40" t="s">
        <v>556</v>
      </c>
      <c r="I1557" s="39" t="s">
        <v>323</v>
      </c>
      <c r="J1557" s="43">
        <v>54545.4</v>
      </c>
      <c r="K1557" s="43">
        <v>0</v>
      </c>
      <c r="L1557" s="43">
        <v>54545.4</v>
      </c>
      <c r="M1557" s="44">
        <v>0</v>
      </c>
      <c r="N1557" s="44">
        <f t="shared" si="24"/>
        <v>40404</v>
      </c>
      <c r="O1557" s="44">
        <v>40404</v>
      </c>
      <c r="P1557" s="40" t="s">
        <v>7862</v>
      </c>
      <c r="Q1557" s="40" t="s">
        <v>7863</v>
      </c>
      <c r="R1557" s="40" t="s">
        <v>494</v>
      </c>
      <c r="S1557" s="40" t="s">
        <v>502</v>
      </c>
      <c r="T1557" s="40" t="s">
        <v>209</v>
      </c>
      <c r="U1557" s="40" t="s">
        <v>2958</v>
      </c>
      <c r="V1557" s="40"/>
      <c r="W1557" s="40" t="s">
        <v>7864</v>
      </c>
    </row>
    <row r="1558" spans="1:23" ht="12" x14ac:dyDescent="0.2">
      <c r="A1558" s="39" t="s">
        <v>37</v>
      </c>
      <c r="B1558" s="40" t="s">
        <v>452</v>
      </c>
      <c r="C1558" s="40" t="s">
        <v>7865</v>
      </c>
      <c r="D1558" s="41">
        <v>46085</v>
      </c>
      <c r="E1558" s="41">
        <v>46115</v>
      </c>
      <c r="F1558" s="41">
        <v>46091</v>
      </c>
      <c r="G1558" s="42">
        <v>-24</v>
      </c>
      <c r="H1558" s="40" t="s">
        <v>556</v>
      </c>
      <c r="I1558" s="39" t="s">
        <v>320</v>
      </c>
      <c r="J1558" s="43">
        <v>14004.82</v>
      </c>
      <c r="K1558" s="43">
        <v>0</v>
      </c>
      <c r="L1558" s="43">
        <v>14004.82</v>
      </c>
      <c r="M1558" s="44">
        <v>0</v>
      </c>
      <c r="N1558" s="44">
        <f t="shared" si="24"/>
        <v>14004.82</v>
      </c>
      <c r="O1558" s="44">
        <v>14004.82</v>
      </c>
      <c r="P1558" s="40" t="s">
        <v>3682</v>
      </c>
      <c r="Q1558" s="40" t="s">
        <v>3683</v>
      </c>
      <c r="R1558" s="40" t="s">
        <v>494</v>
      </c>
      <c r="S1558" s="40" t="s">
        <v>502</v>
      </c>
      <c r="T1558" s="40" t="s">
        <v>888</v>
      </c>
      <c r="U1558" s="40" t="s">
        <v>1160</v>
      </c>
      <c r="V1558" s="40"/>
      <c r="W1558" s="40" t="s">
        <v>3684</v>
      </c>
    </row>
    <row r="1559" spans="1:23" ht="12" x14ac:dyDescent="0.2">
      <c r="A1559" s="39" t="s">
        <v>16</v>
      </c>
      <c r="B1559" s="40" t="s">
        <v>414</v>
      </c>
      <c r="C1559" s="40" t="s">
        <v>7866</v>
      </c>
      <c r="D1559" s="41">
        <v>46085</v>
      </c>
      <c r="E1559" s="41">
        <v>46115</v>
      </c>
      <c r="F1559" s="41">
        <v>46091</v>
      </c>
      <c r="G1559" s="42">
        <v>-24</v>
      </c>
      <c r="H1559" s="40" t="s">
        <v>556</v>
      </c>
      <c r="I1559" s="39" t="s">
        <v>320</v>
      </c>
      <c r="J1559" s="43">
        <v>21318.48</v>
      </c>
      <c r="K1559" s="43">
        <v>0</v>
      </c>
      <c r="L1559" s="43">
        <v>21318.48</v>
      </c>
      <c r="M1559" s="44">
        <v>0</v>
      </c>
      <c r="N1559" s="44">
        <f t="shared" si="24"/>
        <v>21318.48</v>
      </c>
      <c r="O1559" s="44">
        <v>21318.48</v>
      </c>
      <c r="P1559" s="40" t="s">
        <v>1621</v>
      </c>
      <c r="Q1559" s="40" t="s">
        <v>1881</v>
      </c>
      <c r="R1559" s="40" t="s">
        <v>494</v>
      </c>
      <c r="S1559" s="40" t="s">
        <v>502</v>
      </c>
      <c r="T1559" s="40" t="s">
        <v>508</v>
      </c>
      <c r="U1559" s="40" t="s">
        <v>1017</v>
      </c>
      <c r="V1559" s="40"/>
      <c r="W1559" s="40" t="s">
        <v>1882</v>
      </c>
    </row>
    <row r="1560" spans="1:23" ht="12" x14ac:dyDescent="0.2">
      <c r="A1560" s="39" t="s">
        <v>37</v>
      </c>
      <c r="B1560" s="40" t="s">
        <v>452</v>
      </c>
      <c r="C1560" s="40" t="s">
        <v>7867</v>
      </c>
      <c r="D1560" s="41">
        <v>46085</v>
      </c>
      <c r="E1560" s="41">
        <v>46115</v>
      </c>
      <c r="F1560" s="41">
        <v>46091</v>
      </c>
      <c r="G1560" s="42">
        <v>-24</v>
      </c>
      <c r="H1560" s="40" t="s">
        <v>556</v>
      </c>
      <c r="I1560" s="39" t="s">
        <v>320</v>
      </c>
      <c r="J1560" s="43">
        <v>3627.8</v>
      </c>
      <c r="K1560" s="43">
        <v>0</v>
      </c>
      <c r="L1560" s="43">
        <v>3627.8</v>
      </c>
      <c r="M1560" s="44">
        <v>0</v>
      </c>
      <c r="N1560" s="44">
        <f t="shared" si="24"/>
        <v>3627.8</v>
      </c>
      <c r="O1560" s="44">
        <v>3627.8</v>
      </c>
      <c r="P1560" s="40" t="s">
        <v>3423</v>
      </c>
      <c r="Q1560" s="40" t="s">
        <v>3424</v>
      </c>
      <c r="R1560" s="40" t="s">
        <v>494</v>
      </c>
      <c r="S1560" s="40" t="s">
        <v>502</v>
      </c>
      <c r="T1560" s="40" t="s">
        <v>512</v>
      </c>
      <c r="U1560" s="40" t="s">
        <v>857</v>
      </c>
      <c r="V1560" s="40"/>
      <c r="W1560" s="40" t="s">
        <v>3425</v>
      </c>
    </row>
    <row r="1561" spans="1:23" ht="12" x14ac:dyDescent="0.2">
      <c r="A1561" s="39" t="s">
        <v>54</v>
      </c>
      <c r="B1561" s="40" t="s">
        <v>455</v>
      </c>
      <c r="C1561" s="40" t="s">
        <v>7868</v>
      </c>
      <c r="D1561" s="41">
        <v>46085</v>
      </c>
      <c r="E1561" s="41">
        <v>46115</v>
      </c>
      <c r="F1561" s="41">
        <v>46091</v>
      </c>
      <c r="G1561" s="42">
        <v>-24</v>
      </c>
      <c r="H1561" s="40" t="s">
        <v>556</v>
      </c>
      <c r="I1561" s="39" t="s">
        <v>320</v>
      </c>
      <c r="J1561" s="43">
        <v>29916.47</v>
      </c>
      <c r="K1561" s="43">
        <v>0</v>
      </c>
      <c r="L1561" s="43">
        <v>29916.47</v>
      </c>
      <c r="M1561" s="44">
        <v>0</v>
      </c>
      <c r="N1561" s="44">
        <f t="shared" si="24"/>
        <v>29916.47</v>
      </c>
      <c r="O1561" s="44">
        <v>29916.47</v>
      </c>
      <c r="P1561" s="40" t="s">
        <v>2061</v>
      </c>
      <c r="Q1561" s="40" t="s">
        <v>2260</v>
      </c>
      <c r="R1561" s="40" t="s">
        <v>494</v>
      </c>
      <c r="S1561" s="40" t="s">
        <v>502</v>
      </c>
      <c r="T1561" s="40" t="s">
        <v>282</v>
      </c>
      <c r="U1561" s="40" t="s">
        <v>1233</v>
      </c>
      <c r="V1561" s="40"/>
      <c r="W1561" s="40" t="s">
        <v>2261</v>
      </c>
    </row>
    <row r="1562" spans="1:23" ht="12" x14ac:dyDescent="0.2">
      <c r="A1562" s="39" t="s">
        <v>22</v>
      </c>
      <c r="B1562" s="40" t="s">
        <v>326</v>
      </c>
      <c r="C1562" s="40" t="s">
        <v>7869</v>
      </c>
      <c r="D1562" s="41">
        <v>46085</v>
      </c>
      <c r="E1562" s="41">
        <v>46115</v>
      </c>
      <c r="F1562" s="41">
        <v>46091</v>
      </c>
      <c r="G1562" s="42">
        <v>-24</v>
      </c>
      <c r="H1562" s="40" t="s">
        <v>556</v>
      </c>
      <c r="I1562" s="39" t="s">
        <v>320</v>
      </c>
      <c r="J1562" s="43">
        <v>17925.63</v>
      </c>
      <c r="K1562" s="43">
        <v>0</v>
      </c>
      <c r="L1562" s="43">
        <v>17925.63</v>
      </c>
      <c r="M1562" s="44">
        <v>0</v>
      </c>
      <c r="N1562" s="44">
        <f t="shared" si="24"/>
        <v>17925.63</v>
      </c>
      <c r="O1562" s="44">
        <v>17925.63</v>
      </c>
      <c r="P1562" s="40" t="s">
        <v>1858</v>
      </c>
      <c r="Q1562" s="40" t="s">
        <v>1859</v>
      </c>
      <c r="R1562" s="40" t="s">
        <v>494</v>
      </c>
      <c r="S1562" s="40" t="s">
        <v>502</v>
      </c>
      <c r="T1562" s="40" t="s">
        <v>507</v>
      </c>
      <c r="U1562" s="40" t="s">
        <v>1744</v>
      </c>
      <c r="V1562" s="40"/>
      <c r="W1562" s="40" t="s">
        <v>1860</v>
      </c>
    </row>
    <row r="1563" spans="1:23" ht="12" x14ac:dyDescent="0.2">
      <c r="A1563" s="39" t="s">
        <v>33</v>
      </c>
      <c r="B1563" s="40" t="s">
        <v>340</v>
      </c>
      <c r="C1563" s="40" t="s">
        <v>7870</v>
      </c>
      <c r="D1563" s="41">
        <v>46085</v>
      </c>
      <c r="E1563" s="41">
        <v>46115</v>
      </c>
      <c r="F1563" s="41">
        <v>46091</v>
      </c>
      <c r="G1563" s="42">
        <v>-24</v>
      </c>
      <c r="H1563" s="40" t="s">
        <v>556</v>
      </c>
      <c r="I1563" s="39" t="s">
        <v>320</v>
      </c>
      <c r="J1563" s="43">
        <v>10992.52</v>
      </c>
      <c r="K1563" s="43">
        <v>0</v>
      </c>
      <c r="L1563" s="43">
        <v>10992.52</v>
      </c>
      <c r="M1563" s="44">
        <v>0</v>
      </c>
      <c r="N1563" s="44">
        <f t="shared" si="24"/>
        <v>10992.52</v>
      </c>
      <c r="O1563" s="44">
        <v>10992.52</v>
      </c>
      <c r="P1563" s="40" t="s">
        <v>2100</v>
      </c>
      <c r="Q1563" s="40" t="s">
        <v>2630</v>
      </c>
      <c r="R1563" s="40" t="s">
        <v>494</v>
      </c>
      <c r="S1563" s="40" t="s">
        <v>502</v>
      </c>
      <c r="T1563" s="40" t="s">
        <v>218</v>
      </c>
      <c r="U1563" s="40" t="s">
        <v>2631</v>
      </c>
      <c r="V1563" s="40"/>
      <c r="W1563" s="40" t="s">
        <v>2632</v>
      </c>
    </row>
    <row r="1564" spans="1:23" ht="12" x14ac:dyDescent="0.2">
      <c r="A1564" s="39" t="s">
        <v>47</v>
      </c>
      <c r="B1564" s="40" t="s">
        <v>1222</v>
      </c>
      <c r="C1564" s="40" t="s">
        <v>7871</v>
      </c>
      <c r="D1564" s="41">
        <v>46085</v>
      </c>
      <c r="E1564" s="41">
        <v>46115</v>
      </c>
      <c r="F1564" s="41">
        <v>46091</v>
      </c>
      <c r="G1564" s="42">
        <v>-24</v>
      </c>
      <c r="H1564" s="40" t="s">
        <v>556</v>
      </c>
      <c r="I1564" s="39" t="s">
        <v>320</v>
      </c>
      <c r="J1564" s="43">
        <v>1387.87</v>
      </c>
      <c r="K1564" s="43">
        <v>0</v>
      </c>
      <c r="L1564" s="43">
        <v>1387.87</v>
      </c>
      <c r="M1564" s="44">
        <v>0</v>
      </c>
      <c r="N1564" s="44">
        <f t="shared" si="24"/>
        <v>1387.87</v>
      </c>
      <c r="O1564" s="44">
        <v>1387.87</v>
      </c>
      <c r="P1564" s="40" t="s">
        <v>2651</v>
      </c>
      <c r="Q1564" s="40" t="s">
        <v>2652</v>
      </c>
      <c r="R1564" s="40" t="s">
        <v>494</v>
      </c>
      <c r="S1564" s="40" t="s">
        <v>502</v>
      </c>
      <c r="T1564" s="40" t="s">
        <v>343</v>
      </c>
      <c r="U1564" s="40" t="s">
        <v>2653</v>
      </c>
      <c r="V1564" s="40"/>
      <c r="W1564" s="40" t="s">
        <v>2654</v>
      </c>
    </row>
    <row r="1565" spans="1:23" ht="12" x14ac:dyDescent="0.2">
      <c r="A1565" s="39" t="s">
        <v>40</v>
      </c>
      <c r="B1565" s="40" t="s">
        <v>456</v>
      </c>
      <c r="C1565" s="40" t="s">
        <v>7872</v>
      </c>
      <c r="D1565" s="41">
        <v>46085</v>
      </c>
      <c r="E1565" s="41">
        <v>46115</v>
      </c>
      <c r="F1565" s="41">
        <v>46091</v>
      </c>
      <c r="G1565" s="42">
        <v>-24</v>
      </c>
      <c r="H1565" s="40" t="s">
        <v>556</v>
      </c>
      <c r="I1565" s="39" t="s">
        <v>320</v>
      </c>
      <c r="J1565" s="43">
        <v>2872.24</v>
      </c>
      <c r="K1565" s="43">
        <v>0</v>
      </c>
      <c r="L1565" s="43">
        <v>2872.24</v>
      </c>
      <c r="M1565" s="44">
        <v>0</v>
      </c>
      <c r="N1565" s="44">
        <f t="shared" si="24"/>
        <v>2872.24</v>
      </c>
      <c r="O1565" s="44">
        <v>2872.24</v>
      </c>
      <c r="P1565" s="40" t="s">
        <v>2760</v>
      </c>
      <c r="Q1565" s="40" t="s">
        <v>2761</v>
      </c>
      <c r="R1565" s="40" t="s">
        <v>494</v>
      </c>
      <c r="S1565" s="40" t="s">
        <v>502</v>
      </c>
      <c r="T1565" s="40" t="s">
        <v>219</v>
      </c>
      <c r="U1565" s="40" t="s">
        <v>2420</v>
      </c>
      <c r="V1565" s="40"/>
      <c r="W1565" s="40" t="s">
        <v>2762</v>
      </c>
    </row>
    <row r="1566" spans="1:23" ht="12" x14ac:dyDescent="0.2">
      <c r="A1566" s="39" t="s">
        <v>22</v>
      </c>
      <c r="B1566" s="40" t="s">
        <v>326</v>
      </c>
      <c r="C1566" s="40" t="s">
        <v>7873</v>
      </c>
      <c r="D1566" s="41">
        <v>46085</v>
      </c>
      <c r="E1566" s="41">
        <v>46115</v>
      </c>
      <c r="F1566" s="41">
        <v>46091</v>
      </c>
      <c r="G1566" s="42">
        <v>-24</v>
      </c>
      <c r="H1566" s="40" t="s">
        <v>556</v>
      </c>
      <c r="I1566" s="39" t="s">
        <v>320</v>
      </c>
      <c r="J1566" s="43">
        <v>9363.6299999999992</v>
      </c>
      <c r="K1566" s="43">
        <v>0</v>
      </c>
      <c r="L1566" s="43">
        <v>9363.6299999999992</v>
      </c>
      <c r="M1566" s="44">
        <v>0</v>
      </c>
      <c r="N1566" s="44">
        <f t="shared" si="24"/>
        <v>9363.6299999999992</v>
      </c>
      <c r="O1566" s="44">
        <v>9363.6299999999992</v>
      </c>
      <c r="P1566" s="40" t="s">
        <v>7874</v>
      </c>
      <c r="Q1566" s="40" t="s">
        <v>7875</v>
      </c>
      <c r="R1566" s="40" t="s">
        <v>494</v>
      </c>
      <c r="S1566" s="40" t="s">
        <v>502</v>
      </c>
      <c r="T1566" s="40" t="s">
        <v>287</v>
      </c>
      <c r="U1566" s="40" t="s">
        <v>7876</v>
      </c>
      <c r="V1566" s="40"/>
      <c r="W1566" s="40" t="s">
        <v>7877</v>
      </c>
    </row>
    <row r="1567" spans="1:23" ht="12" x14ac:dyDescent="0.2">
      <c r="A1567" s="39" t="s">
        <v>53</v>
      </c>
      <c r="B1567" s="40" t="s">
        <v>331</v>
      </c>
      <c r="C1567" s="40" t="s">
        <v>7878</v>
      </c>
      <c r="D1567" s="41">
        <v>46085</v>
      </c>
      <c r="E1567" s="41">
        <v>46115</v>
      </c>
      <c r="F1567" s="41">
        <v>46091</v>
      </c>
      <c r="G1567" s="42">
        <v>-24</v>
      </c>
      <c r="H1567" s="40" t="s">
        <v>556</v>
      </c>
      <c r="I1567" s="39" t="s">
        <v>320</v>
      </c>
      <c r="J1567" s="43">
        <v>15294.09</v>
      </c>
      <c r="K1567" s="43">
        <v>0</v>
      </c>
      <c r="L1567" s="43">
        <v>15294.09</v>
      </c>
      <c r="M1567" s="44">
        <v>0</v>
      </c>
      <c r="N1567" s="44">
        <f t="shared" si="24"/>
        <v>15294.09</v>
      </c>
      <c r="O1567" s="44">
        <v>15294.09</v>
      </c>
      <c r="P1567" s="40" t="s">
        <v>7879</v>
      </c>
      <c r="Q1567" s="40" t="s">
        <v>7880</v>
      </c>
      <c r="R1567" s="40" t="s">
        <v>494</v>
      </c>
      <c r="S1567" s="40" t="s">
        <v>502</v>
      </c>
      <c r="T1567" s="40" t="s">
        <v>733</v>
      </c>
      <c r="U1567" s="40" t="s">
        <v>7881</v>
      </c>
      <c r="V1567" s="40"/>
      <c r="W1567" s="40" t="s">
        <v>7882</v>
      </c>
    </row>
    <row r="1568" spans="1:23" ht="12" x14ac:dyDescent="0.2">
      <c r="A1568" s="39" t="s">
        <v>1148</v>
      </c>
      <c r="B1568" s="40" t="s">
        <v>2884</v>
      </c>
      <c r="C1568" s="40" t="s">
        <v>7883</v>
      </c>
      <c r="D1568" s="41">
        <v>46085</v>
      </c>
      <c r="E1568" s="41">
        <v>46115</v>
      </c>
      <c r="F1568" s="41">
        <v>46091</v>
      </c>
      <c r="G1568" s="42">
        <v>-24</v>
      </c>
      <c r="H1568" s="40" t="s">
        <v>556</v>
      </c>
      <c r="I1568" s="39" t="s">
        <v>320</v>
      </c>
      <c r="J1568" s="43">
        <v>53134.98</v>
      </c>
      <c r="K1568" s="43">
        <v>0</v>
      </c>
      <c r="L1568" s="43">
        <v>53134.98</v>
      </c>
      <c r="M1568" s="44">
        <v>0</v>
      </c>
      <c r="N1568" s="44">
        <f t="shared" si="24"/>
        <v>53134.98</v>
      </c>
      <c r="O1568" s="44">
        <v>53134.98</v>
      </c>
      <c r="P1568" s="40" t="s">
        <v>1578</v>
      </c>
      <c r="Q1568" s="40" t="s">
        <v>2885</v>
      </c>
      <c r="R1568" s="40" t="s">
        <v>494</v>
      </c>
      <c r="S1568" s="40" t="s">
        <v>502</v>
      </c>
      <c r="T1568" s="40" t="s">
        <v>280</v>
      </c>
      <c r="U1568" s="40" t="s">
        <v>559</v>
      </c>
      <c r="V1568" s="40"/>
      <c r="W1568" s="40" t="s">
        <v>2886</v>
      </c>
    </row>
    <row r="1569" spans="1:23" ht="12" x14ac:dyDescent="0.2">
      <c r="A1569" s="39" t="s">
        <v>911</v>
      </c>
      <c r="B1569" s="40" t="s">
        <v>912</v>
      </c>
      <c r="C1569" s="40" t="s">
        <v>7884</v>
      </c>
      <c r="D1569" s="41">
        <v>46085</v>
      </c>
      <c r="E1569" s="41">
        <v>46115</v>
      </c>
      <c r="F1569" s="41">
        <v>46091</v>
      </c>
      <c r="G1569" s="42">
        <v>-24</v>
      </c>
      <c r="H1569" s="40" t="s">
        <v>556</v>
      </c>
      <c r="I1569" s="39" t="s">
        <v>323</v>
      </c>
      <c r="J1569" s="43">
        <v>1133.76</v>
      </c>
      <c r="K1569" s="43">
        <v>0</v>
      </c>
      <c r="L1569" s="43">
        <v>1133.76</v>
      </c>
      <c r="M1569" s="44">
        <v>0</v>
      </c>
      <c r="N1569" s="44">
        <f t="shared" si="24"/>
        <v>907.01</v>
      </c>
      <c r="O1569" s="44">
        <v>907.01</v>
      </c>
      <c r="P1569" s="40" t="s">
        <v>2273</v>
      </c>
      <c r="Q1569" s="40" t="s">
        <v>2274</v>
      </c>
      <c r="R1569" s="40" t="s">
        <v>494</v>
      </c>
      <c r="S1569" s="40" t="s">
        <v>502</v>
      </c>
      <c r="T1569" s="40" t="s">
        <v>501</v>
      </c>
      <c r="U1569" s="40" t="s">
        <v>2275</v>
      </c>
      <c r="V1569" s="40"/>
      <c r="W1569" s="40" t="s">
        <v>2276</v>
      </c>
    </row>
    <row r="1570" spans="1:23" ht="12" x14ac:dyDescent="0.2">
      <c r="A1570" s="39" t="s">
        <v>1543</v>
      </c>
      <c r="B1570" s="40" t="s">
        <v>2894</v>
      </c>
      <c r="C1570" s="40" t="s">
        <v>7885</v>
      </c>
      <c r="D1570" s="41">
        <v>46085</v>
      </c>
      <c r="E1570" s="41">
        <v>46115</v>
      </c>
      <c r="F1570" s="41">
        <v>46091</v>
      </c>
      <c r="G1570" s="42">
        <v>-24</v>
      </c>
      <c r="H1570" s="40" t="s">
        <v>556</v>
      </c>
      <c r="I1570" s="39" t="s">
        <v>320</v>
      </c>
      <c r="J1570" s="43">
        <v>91570.16</v>
      </c>
      <c r="K1570" s="43">
        <v>0</v>
      </c>
      <c r="L1570" s="43">
        <v>91570.16</v>
      </c>
      <c r="M1570" s="44">
        <v>0</v>
      </c>
      <c r="N1570" s="44">
        <f t="shared" si="24"/>
        <v>91570.16</v>
      </c>
      <c r="O1570" s="44">
        <v>91570.16</v>
      </c>
      <c r="P1570" s="40" t="s">
        <v>1536</v>
      </c>
      <c r="Q1570" s="40" t="s">
        <v>3305</v>
      </c>
      <c r="R1570" s="40" t="s">
        <v>494</v>
      </c>
      <c r="S1570" s="40" t="s">
        <v>502</v>
      </c>
      <c r="T1570" s="40" t="s">
        <v>280</v>
      </c>
      <c r="U1570" s="40" t="s">
        <v>560</v>
      </c>
      <c r="V1570" s="40"/>
      <c r="W1570" s="40" t="s">
        <v>3306</v>
      </c>
    </row>
    <row r="1571" spans="1:23" ht="12" x14ac:dyDescent="0.2">
      <c r="A1571" s="39" t="s">
        <v>33</v>
      </c>
      <c r="B1571" s="40" t="s">
        <v>340</v>
      </c>
      <c r="C1571" s="40" t="s">
        <v>7886</v>
      </c>
      <c r="D1571" s="41">
        <v>46085</v>
      </c>
      <c r="E1571" s="41">
        <v>46115</v>
      </c>
      <c r="F1571" s="41">
        <v>46091</v>
      </c>
      <c r="G1571" s="42">
        <v>-24</v>
      </c>
      <c r="H1571" s="40" t="s">
        <v>556</v>
      </c>
      <c r="I1571" s="39" t="s">
        <v>320</v>
      </c>
      <c r="J1571" s="43">
        <v>854.81</v>
      </c>
      <c r="K1571" s="43">
        <v>0</v>
      </c>
      <c r="L1571" s="43">
        <v>854.81</v>
      </c>
      <c r="M1571" s="44">
        <v>0</v>
      </c>
      <c r="N1571" s="44">
        <f t="shared" si="24"/>
        <v>854.81</v>
      </c>
      <c r="O1571" s="44">
        <v>854.81</v>
      </c>
      <c r="P1571" s="40" t="s">
        <v>1528</v>
      </c>
      <c r="Q1571" s="40" t="s">
        <v>3599</v>
      </c>
      <c r="R1571" s="40" t="s">
        <v>494</v>
      </c>
      <c r="S1571" s="40" t="s">
        <v>502</v>
      </c>
      <c r="T1571" s="40" t="s">
        <v>191</v>
      </c>
      <c r="U1571" s="40" t="s">
        <v>2888</v>
      </c>
      <c r="V1571" s="40"/>
      <c r="W1571" s="40" t="s">
        <v>3600</v>
      </c>
    </row>
    <row r="1572" spans="1:23" ht="12" x14ac:dyDescent="0.2">
      <c r="A1572" s="39" t="s">
        <v>829</v>
      </c>
      <c r="B1572" s="40" t="s">
        <v>830</v>
      </c>
      <c r="C1572" s="40" t="s">
        <v>7887</v>
      </c>
      <c r="D1572" s="41">
        <v>46085</v>
      </c>
      <c r="E1572" s="41">
        <v>46115</v>
      </c>
      <c r="F1572" s="41">
        <v>46091</v>
      </c>
      <c r="G1572" s="42">
        <v>-24</v>
      </c>
      <c r="H1572" s="40" t="s">
        <v>556</v>
      </c>
      <c r="I1572" s="39" t="s">
        <v>320</v>
      </c>
      <c r="J1572" s="43">
        <v>936.69</v>
      </c>
      <c r="K1572" s="43">
        <v>0</v>
      </c>
      <c r="L1572" s="43">
        <v>936.69</v>
      </c>
      <c r="M1572" s="44">
        <v>0</v>
      </c>
      <c r="N1572" s="44">
        <f t="shared" si="24"/>
        <v>936.69</v>
      </c>
      <c r="O1572" s="44">
        <v>936.69</v>
      </c>
      <c r="P1572" s="40" t="s">
        <v>1529</v>
      </c>
      <c r="Q1572" s="40" t="s">
        <v>3601</v>
      </c>
      <c r="R1572" s="40" t="s">
        <v>494</v>
      </c>
      <c r="S1572" s="40" t="s">
        <v>502</v>
      </c>
      <c r="T1572" s="40" t="s">
        <v>733</v>
      </c>
      <c r="U1572" s="40" t="s">
        <v>3602</v>
      </c>
      <c r="V1572" s="40"/>
      <c r="W1572" s="40" t="s">
        <v>3603</v>
      </c>
    </row>
    <row r="1573" spans="1:23" ht="12" x14ac:dyDescent="0.2">
      <c r="A1573" s="39" t="s">
        <v>815</v>
      </c>
      <c r="B1573" s="40" t="s">
        <v>1119</v>
      </c>
      <c r="C1573" s="40" t="s">
        <v>7888</v>
      </c>
      <c r="D1573" s="41">
        <v>46085</v>
      </c>
      <c r="E1573" s="41">
        <v>46115</v>
      </c>
      <c r="F1573" s="41">
        <v>46091</v>
      </c>
      <c r="G1573" s="42">
        <v>-24</v>
      </c>
      <c r="H1573" s="40" t="s">
        <v>556</v>
      </c>
      <c r="I1573" s="39" t="s">
        <v>320</v>
      </c>
      <c r="J1573" s="43">
        <v>26074.36</v>
      </c>
      <c r="K1573" s="43">
        <v>0</v>
      </c>
      <c r="L1573" s="43">
        <v>26074.36</v>
      </c>
      <c r="M1573" s="44">
        <v>0</v>
      </c>
      <c r="N1573" s="44">
        <f t="shared" si="24"/>
        <v>26074.36</v>
      </c>
      <c r="O1573" s="44">
        <v>26074.36</v>
      </c>
      <c r="P1573" s="40" t="s">
        <v>3676</v>
      </c>
      <c r="Q1573" s="40" t="s">
        <v>4058</v>
      </c>
      <c r="R1573" s="40" t="s">
        <v>494</v>
      </c>
      <c r="S1573" s="40" t="s">
        <v>495</v>
      </c>
      <c r="T1573" s="40" t="s">
        <v>284</v>
      </c>
      <c r="U1573" s="40" t="s">
        <v>3677</v>
      </c>
      <c r="V1573" s="40"/>
      <c r="W1573" s="40" t="s">
        <v>4060</v>
      </c>
    </row>
    <row r="1574" spans="1:23" ht="12" x14ac:dyDescent="0.2">
      <c r="A1574" s="39" t="s">
        <v>1070</v>
      </c>
      <c r="B1574" s="40" t="s">
        <v>364</v>
      </c>
      <c r="C1574" s="40" t="s">
        <v>7889</v>
      </c>
      <c r="D1574" s="41">
        <v>46085</v>
      </c>
      <c r="E1574" s="41">
        <v>46115</v>
      </c>
      <c r="F1574" s="41">
        <v>46091</v>
      </c>
      <c r="G1574" s="42">
        <v>-24</v>
      </c>
      <c r="H1574" s="40" t="s">
        <v>556</v>
      </c>
      <c r="I1574" s="39" t="s">
        <v>320</v>
      </c>
      <c r="J1574" s="43">
        <v>15224.24</v>
      </c>
      <c r="K1574" s="43">
        <v>0</v>
      </c>
      <c r="L1574" s="43">
        <v>15224.24</v>
      </c>
      <c r="M1574" s="44">
        <v>0</v>
      </c>
      <c r="N1574" s="44">
        <f t="shared" si="24"/>
        <v>15224.24</v>
      </c>
      <c r="O1574" s="44">
        <v>15224.24</v>
      </c>
      <c r="P1574" s="40" t="s">
        <v>7890</v>
      </c>
      <c r="Q1574" s="40" t="s">
        <v>7891</v>
      </c>
      <c r="R1574" s="40" t="s">
        <v>494</v>
      </c>
      <c r="S1574" s="40" t="s">
        <v>502</v>
      </c>
      <c r="T1574" s="40" t="s">
        <v>284</v>
      </c>
      <c r="U1574" s="40" t="s">
        <v>793</v>
      </c>
      <c r="V1574" s="40"/>
      <c r="W1574" s="40" t="s">
        <v>7892</v>
      </c>
    </row>
    <row r="1575" spans="1:23" ht="12" x14ac:dyDescent="0.2">
      <c r="A1575" s="39" t="s">
        <v>6334</v>
      </c>
      <c r="B1575" s="40" t="s">
        <v>6335</v>
      </c>
      <c r="C1575" s="40" t="s">
        <v>7893</v>
      </c>
      <c r="D1575" s="41">
        <v>46085</v>
      </c>
      <c r="E1575" s="41">
        <v>46115</v>
      </c>
      <c r="F1575" s="41">
        <v>46091</v>
      </c>
      <c r="G1575" s="42">
        <v>-24</v>
      </c>
      <c r="H1575" s="40" t="s">
        <v>556</v>
      </c>
      <c r="I1575" s="39" t="s">
        <v>320</v>
      </c>
      <c r="J1575" s="43">
        <v>13500</v>
      </c>
      <c r="K1575" s="43">
        <v>2250</v>
      </c>
      <c r="L1575" s="43">
        <v>13500</v>
      </c>
      <c r="M1575" s="44">
        <v>2250</v>
      </c>
      <c r="N1575" s="44">
        <f t="shared" si="24"/>
        <v>11250</v>
      </c>
      <c r="O1575" s="44">
        <v>13500</v>
      </c>
      <c r="P1575" s="40" t="s">
        <v>7894</v>
      </c>
      <c r="Q1575" s="40" t="s">
        <v>7895</v>
      </c>
      <c r="R1575" s="40" t="s">
        <v>494</v>
      </c>
      <c r="S1575" s="40" t="s">
        <v>502</v>
      </c>
      <c r="T1575" s="40" t="s">
        <v>218</v>
      </c>
      <c r="U1575" s="40" t="s">
        <v>7896</v>
      </c>
      <c r="V1575" s="40"/>
      <c r="W1575" s="40" t="s">
        <v>321</v>
      </c>
    </row>
    <row r="1576" spans="1:23" ht="12" x14ac:dyDescent="0.2">
      <c r="A1576" s="39" t="s">
        <v>1070</v>
      </c>
      <c r="B1576" s="40" t="s">
        <v>364</v>
      </c>
      <c r="C1576" s="40" t="s">
        <v>7897</v>
      </c>
      <c r="D1576" s="41">
        <v>46085</v>
      </c>
      <c r="E1576" s="41">
        <v>46115</v>
      </c>
      <c r="F1576" s="41">
        <v>46091</v>
      </c>
      <c r="G1576" s="42">
        <v>-24</v>
      </c>
      <c r="H1576" s="40" t="s">
        <v>556</v>
      </c>
      <c r="I1576" s="39" t="s">
        <v>320</v>
      </c>
      <c r="J1576" s="43">
        <v>1658.29</v>
      </c>
      <c r="K1576" s="43">
        <v>0</v>
      </c>
      <c r="L1576" s="43">
        <v>1658.29</v>
      </c>
      <c r="M1576" s="44">
        <v>0</v>
      </c>
      <c r="N1576" s="44">
        <f t="shared" si="24"/>
        <v>1658.29</v>
      </c>
      <c r="O1576" s="44">
        <v>1658.29</v>
      </c>
      <c r="P1576" s="40" t="s">
        <v>2839</v>
      </c>
      <c r="Q1576" s="40" t="s">
        <v>2840</v>
      </c>
      <c r="R1576" s="40" t="s">
        <v>494</v>
      </c>
      <c r="S1576" s="40" t="s">
        <v>502</v>
      </c>
      <c r="T1576" s="40" t="s">
        <v>191</v>
      </c>
      <c r="U1576" s="40" t="s">
        <v>583</v>
      </c>
      <c r="V1576" s="40"/>
      <c r="W1576" s="40" t="s">
        <v>2841</v>
      </c>
    </row>
    <row r="1577" spans="1:23" ht="12" x14ac:dyDescent="0.2">
      <c r="A1577" s="39" t="s">
        <v>6526</v>
      </c>
      <c r="B1577" s="40" t="s">
        <v>6527</v>
      </c>
      <c r="C1577" s="40" t="s">
        <v>7898</v>
      </c>
      <c r="D1577" s="41">
        <v>46085</v>
      </c>
      <c r="E1577" s="41">
        <v>46115</v>
      </c>
      <c r="F1577" s="41">
        <v>46091</v>
      </c>
      <c r="G1577" s="42">
        <v>-24</v>
      </c>
      <c r="H1577" s="40" t="s">
        <v>556</v>
      </c>
      <c r="I1577" s="39" t="s">
        <v>320</v>
      </c>
      <c r="J1577" s="43">
        <v>357.12</v>
      </c>
      <c r="K1577" s="43">
        <v>0</v>
      </c>
      <c r="L1577" s="43">
        <v>357.12</v>
      </c>
      <c r="M1577" s="44">
        <v>0</v>
      </c>
      <c r="N1577" s="44">
        <f t="shared" si="24"/>
        <v>357.12</v>
      </c>
      <c r="O1577" s="44">
        <v>357.12</v>
      </c>
      <c r="P1577" s="40" t="s">
        <v>7899</v>
      </c>
      <c r="Q1577" s="40" t="s">
        <v>7900</v>
      </c>
      <c r="R1577" s="40" t="s">
        <v>494</v>
      </c>
      <c r="S1577" s="40" t="s">
        <v>502</v>
      </c>
      <c r="T1577" s="40" t="s">
        <v>225</v>
      </c>
      <c r="U1577" s="40" t="s">
        <v>7901</v>
      </c>
      <c r="V1577" s="40"/>
      <c r="W1577" s="40" t="s">
        <v>7902</v>
      </c>
    </row>
    <row r="1578" spans="1:23" ht="12" x14ac:dyDescent="0.2">
      <c r="A1578" s="39" t="s">
        <v>47</v>
      </c>
      <c r="B1578" s="40" t="s">
        <v>1222</v>
      </c>
      <c r="C1578" s="40" t="s">
        <v>7903</v>
      </c>
      <c r="D1578" s="41">
        <v>46085</v>
      </c>
      <c r="E1578" s="41">
        <v>46115</v>
      </c>
      <c r="F1578" s="41">
        <v>46091</v>
      </c>
      <c r="G1578" s="42">
        <v>-24</v>
      </c>
      <c r="H1578" s="40" t="s">
        <v>556</v>
      </c>
      <c r="I1578" s="39" t="s">
        <v>320</v>
      </c>
      <c r="J1578" s="43">
        <v>997.5</v>
      </c>
      <c r="K1578" s="43">
        <v>0</v>
      </c>
      <c r="L1578" s="43">
        <v>997.5</v>
      </c>
      <c r="M1578" s="44">
        <v>0</v>
      </c>
      <c r="N1578" s="44">
        <f t="shared" si="24"/>
        <v>997.5</v>
      </c>
      <c r="O1578" s="44">
        <v>997.5</v>
      </c>
      <c r="P1578" s="40" t="s">
        <v>1530</v>
      </c>
      <c r="Q1578" s="40" t="s">
        <v>2628</v>
      </c>
      <c r="R1578" s="40" t="s">
        <v>494</v>
      </c>
      <c r="S1578" s="40" t="s">
        <v>502</v>
      </c>
      <c r="T1578" s="40" t="s">
        <v>214</v>
      </c>
      <c r="U1578" s="40" t="s">
        <v>2414</v>
      </c>
      <c r="V1578" s="40"/>
      <c r="W1578" s="40" t="s">
        <v>2629</v>
      </c>
    </row>
    <row r="1579" spans="1:23" ht="12" x14ac:dyDescent="0.2">
      <c r="A1579" s="39" t="s">
        <v>48</v>
      </c>
      <c r="B1579" s="40" t="s">
        <v>389</v>
      </c>
      <c r="C1579" s="40" t="s">
        <v>7904</v>
      </c>
      <c r="D1579" s="41">
        <v>46085</v>
      </c>
      <c r="E1579" s="41">
        <v>46115</v>
      </c>
      <c r="F1579" s="41">
        <v>46091</v>
      </c>
      <c r="G1579" s="42">
        <v>-24</v>
      </c>
      <c r="H1579" s="40" t="s">
        <v>556</v>
      </c>
      <c r="I1579" s="39" t="s">
        <v>320</v>
      </c>
      <c r="J1579" s="43">
        <v>24791.25</v>
      </c>
      <c r="K1579" s="43">
        <v>0</v>
      </c>
      <c r="L1579" s="43">
        <v>24791.25</v>
      </c>
      <c r="M1579" s="44">
        <v>0</v>
      </c>
      <c r="N1579" s="44">
        <f t="shared" si="24"/>
        <v>24791.25</v>
      </c>
      <c r="O1579" s="44">
        <v>24791.25</v>
      </c>
      <c r="P1579" s="40" t="s">
        <v>7905</v>
      </c>
      <c r="Q1579" s="40" t="s">
        <v>7906</v>
      </c>
      <c r="R1579" s="40" t="s">
        <v>494</v>
      </c>
      <c r="S1579" s="40" t="s">
        <v>502</v>
      </c>
      <c r="T1579" s="40" t="s">
        <v>198</v>
      </c>
      <c r="U1579" s="40" t="s">
        <v>7907</v>
      </c>
      <c r="V1579" s="40"/>
      <c r="W1579" s="40" t="s">
        <v>7908</v>
      </c>
    </row>
    <row r="1580" spans="1:23" ht="12" x14ac:dyDescent="0.2">
      <c r="A1580" s="39" t="s">
        <v>41</v>
      </c>
      <c r="B1580" s="40" t="s">
        <v>459</v>
      </c>
      <c r="C1580" s="40" t="s">
        <v>7909</v>
      </c>
      <c r="D1580" s="41">
        <v>46085</v>
      </c>
      <c r="E1580" s="41">
        <v>46115</v>
      </c>
      <c r="F1580" s="41">
        <v>46091</v>
      </c>
      <c r="G1580" s="42">
        <v>-24</v>
      </c>
      <c r="H1580" s="40" t="s">
        <v>556</v>
      </c>
      <c r="I1580" s="39" t="s">
        <v>320</v>
      </c>
      <c r="J1580" s="43">
        <v>3687.54</v>
      </c>
      <c r="K1580" s="43">
        <v>0</v>
      </c>
      <c r="L1580" s="43">
        <v>3687.54</v>
      </c>
      <c r="M1580" s="44">
        <v>0</v>
      </c>
      <c r="N1580" s="44">
        <f t="shared" si="24"/>
        <v>3687.54</v>
      </c>
      <c r="O1580" s="44">
        <v>3687.54</v>
      </c>
      <c r="P1580" s="40" t="s">
        <v>1527</v>
      </c>
      <c r="Q1580" s="40" t="s">
        <v>3641</v>
      </c>
      <c r="R1580" s="40" t="s">
        <v>494</v>
      </c>
      <c r="S1580" s="40" t="s">
        <v>502</v>
      </c>
      <c r="T1580" s="40" t="s">
        <v>185</v>
      </c>
      <c r="U1580" s="40" t="s">
        <v>2921</v>
      </c>
      <c r="V1580" s="40"/>
      <c r="W1580" s="40" t="s">
        <v>3642</v>
      </c>
    </row>
    <row r="1581" spans="1:23" ht="12" x14ac:dyDescent="0.2">
      <c r="A1581" s="39" t="s">
        <v>41</v>
      </c>
      <c r="B1581" s="40" t="s">
        <v>459</v>
      </c>
      <c r="C1581" s="40" t="s">
        <v>7910</v>
      </c>
      <c r="D1581" s="41">
        <v>46085</v>
      </c>
      <c r="E1581" s="41">
        <v>46115</v>
      </c>
      <c r="F1581" s="41">
        <v>46091</v>
      </c>
      <c r="G1581" s="42">
        <v>-24</v>
      </c>
      <c r="H1581" s="40" t="s">
        <v>556</v>
      </c>
      <c r="I1581" s="39" t="s">
        <v>320</v>
      </c>
      <c r="J1581" s="43">
        <v>3905.25</v>
      </c>
      <c r="K1581" s="43">
        <v>0</v>
      </c>
      <c r="L1581" s="43">
        <v>3905.25</v>
      </c>
      <c r="M1581" s="44">
        <v>0</v>
      </c>
      <c r="N1581" s="44">
        <f t="shared" si="24"/>
        <v>3905.25</v>
      </c>
      <c r="O1581" s="44">
        <v>3905.25</v>
      </c>
      <c r="P1581" s="40" t="s">
        <v>2684</v>
      </c>
      <c r="Q1581" s="40" t="s">
        <v>2685</v>
      </c>
      <c r="R1581" s="40" t="s">
        <v>494</v>
      </c>
      <c r="S1581" s="40" t="s">
        <v>502</v>
      </c>
      <c r="T1581" s="40" t="s">
        <v>280</v>
      </c>
      <c r="U1581" s="40" t="s">
        <v>753</v>
      </c>
      <c r="V1581" s="40"/>
      <c r="W1581" s="40" t="s">
        <v>2686</v>
      </c>
    </row>
    <row r="1582" spans="1:23" ht="12" x14ac:dyDescent="0.2">
      <c r="A1582" s="39" t="s">
        <v>906</v>
      </c>
      <c r="B1582" s="40" t="s">
        <v>907</v>
      </c>
      <c r="C1582" s="40" t="s">
        <v>7911</v>
      </c>
      <c r="D1582" s="41">
        <v>46085</v>
      </c>
      <c r="E1582" s="41">
        <v>46115</v>
      </c>
      <c r="F1582" s="41">
        <v>46091</v>
      </c>
      <c r="G1582" s="42">
        <v>-24</v>
      </c>
      <c r="H1582" s="40" t="s">
        <v>556</v>
      </c>
      <c r="I1582" s="39" t="s">
        <v>320</v>
      </c>
      <c r="J1582" s="43">
        <v>6203.6</v>
      </c>
      <c r="K1582" s="43">
        <v>0</v>
      </c>
      <c r="L1582" s="43">
        <v>6203.6</v>
      </c>
      <c r="M1582" s="44">
        <v>0</v>
      </c>
      <c r="N1582" s="44">
        <f t="shared" si="24"/>
        <v>6203.6</v>
      </c>
      <c r="O1582" s="44">
        <v>6203.6</v>
      </c>
      <c r="P1582" s="40" t="s">
        <v>2210</v>
      </c>
      <c r="Q1582" s="40" t="s">
        <v>2211</v>
      </c>
      <c r="R1582" s="40" t="s">
        <v>494</v>
      </c>
      <c r="S1582" s="40" t="s">
        <v>495</v>
      </c>
      <c r="T1582" s="40" t="s">
        <v>330</v>
      </c>
      <c r="U1582" s="40" t="s">
        <v>498</v>
      </c>
      <c r="V1582" s="40"/>
      <c r="W1582" s="40" t="s">
        <v>2212</v>
      </c>
    </row>
    <row r="1583" spans="1:23" ht="12" x14ac:dyDescent="0.2">
      <c r="A1583" s="39" t="s">
        <v>1589</v>
      </c>
      <c r="B1583" s="40" t="s">
        <v>7283</v>
      </c>
      <c r="C1583" s="40" t="s">
        <v>7912</v>
      </c>
      <c r="D1583" s="41">
        <v>46085</v>
      </c>
      <c r="E1583" s="41">
        <v>46115</v>
      </c>
      <c r="F1583" s="41">
        <v>46091</v>
      </c>
      <c r="G1583" s="42">
        <v>-24</v>
      </c>
      <c r="H1583" s="40" t="s">
        <v>556</v>
      </c>
      <c r="I1583" s="39" t="s">
        <v>323</v>
      </c>
      <c r="J1583" s="43">
        <v>-65.099999999999994</v>
      </c>
      <c r="K1583" s="43">
        <v>0</v>
      </c>
      <c r="L1583" s="43">
        <v>-65.099999999999994</v>
      </c>
      <c r="M1583" s="44">
        <v>0</v>
      </c>
      <c r="N1583" s="44">
        <f t="shared" si="24"/>
        <v>-52.08</v>
      </c>
      <c r="O1583" s="44">
        <v>-52.08</v>
      </c>
      <c r="P1583" s="40" t="s">
        <v>7913</v>
      </c>
      <c r="Q1583" s="40" t="s">
        <v>7914</v>
      </c>
      <c r="R1583" s="40" t="s">
        <v>494</v>
      </c>
      <c r="S1583" s="40" t="s">
        <v>495</v>
      </c>
      <c r="T1583" s="40" t="s">
        <v>330</v>
      </c>
      <c r="U1583" s="40" t="s">
        <v>681</v>
      </c>
      <c r="V1583" s="40" t="s">
        <v>4017</v>
      </c>
      <c r="W1583" s="40" t="s">
        <v>7915</v>
      </c>
    </row>
    <row r="1584" spans="1:23" ht="12" x14ac:dyDescent="0.2">
      <c r="A1584" s="39" t="s">
        <v>702</v>
      </c>
      <c r="B1584" s="40" t="s">
        <v>7916</v>
      </c>
      <c r="C1584" s="40" t="s">
        <v>7917</v>
      </c>
      <c r="D1584" s="41">
        <v>46085</v>
      </c>
      <c r="E1584" s="41">
        <v>46115</v>
      </c>
      <c r="F1584" s="41">
        <v>46091</v>
      </c>
      <c r="G1584" s="42">
        <v>-24</v>
      </c>
      <c r="H1584" s="40" t="s">
        <v>556</v>
      </c>
      <c r="I1584" s="39" t="s">
        <v>320</v>
      </c>
      <c r="J1584" s="43">
        <v>2622.49</v>
      </c>
      <c r="K1584" s="43">
        <v>0</v>
      </c>
      <c r="L1584" s="43">
        <v>2622.49</v>
      </c>
      <c r="M1584" s="44">
        <v>0</v>
      </c>
      <c r="N1584" s="44">
        <f t="shared" si="24"/>
        <v>2622.49</v>
      </c>
      <c r="O1584" s="44">
        <v>2622.49</v>
      </c>
      <c r="P1584" s="40" t="s">
        <v>7918</v>
      </c>
      <c r="Q1584" s="40" t="s">
        <v>7919</v>
      </c>
      <c r="R1584" s="40" t="s">
        <v>494</v>
      </c>
      <c r="S1584" s="40" t="s">
        <v>502</v>
      </c>
      <c r="T1584" s="40" t="s">
        <v>204</v>
      </c>
      <c r="U1584" s="40" t="s">
        <v>3506</v>
      </c>
      <c r="V1584" s="40"/>
      <c r="W1584" s="40" t="s">
        <v>7920</v>
      </c>
    </row>
    <row r="1585" spans="1:23" ht="12" x14ac:dyDescent="0.2">
      <c r="A1585" s="39" t="s">
        <v>337</v>
      </c>
      <c r="B1585" s="40" t="s">
        <v>336</v>
      </c>
      <c r="C1585" s="40" t="s">
        <v>7921</v>
      </c>
      <c r="D1585" s="41">
        <v>46085</v>
      </c>
      <c r="E1585" s="41">
        <v>46115</v>
      </c>
      <c r="F1585" s="41">
        <v>46091</v>
      </c>
      <c r="G1585" s="42">
        <v>-24</v>
      </c>
      <c r="H1585" s="40" t="s">
        <v>556</v>
      </c>
      <c r="I1585" s="39" t="s">
        <v>320</v>
      </c>
      <c r="J1585" s="43">
        <v>13913.82</v>
      </c>
      <c r="K1585" s="43">
        <v>0</v>
      </c>
      <c r="L1585" s="43">
        <v>13913.82</v>
      </c>
      <c r="M1585" s="44">
        <v>0</v>
      </c>
      <c r="N1585" s="44">
        <f t="shared" si="24"/>
        <v>13913.82</v>
      </c>
      <c r="O1585" s="44">
        <v>13913.82</v>
      </c>
      <c r="P1585" s="40" t="s">
        <v>3461</v>
      </c>
      <c r="Q1585" s="40" t="s">
        <v>3462</v>
      </c>
      <c r="R1585" s="40" t="s">
        <v>494</v>
      </c>
      <c r="S1585" s="40" t="s">
        <v>502</v>
      </c>
      <c r="T1585" s="40" t="s">
        <v>289</v>
      </c>
      <c r="U1585" s="40" t="s">
        <v>3463</v>
      </c>
      <c r="V1585" s="40"/>
      <c r="W1585" s="40" t="s">
        <v>3464</v>
      </c>
    </row>
    <row r="1586" spans="1:23" ht="12" x14ac:dyDescent="0.2">
      <c r="A1586" s="39" t="s">
        <v>719</v>
      </c>
      <c r="B1586" s="40" t="s">
        <v>782</v>
      </c>
      <c r="C1586" s="40" t="s">
        <v>7922</v>
      </c>
      <c r="D1586" s="41">
        <v>46085</v>
      </c>
      <c r="E1586" s="41">
        <v>46115</v>
      </c>
      <c r="F1586" s="41">
        <v>46091</v>
      </c>
      <c r="G1586" s="42">
        <v>-24</v>
      </c>
      <c r="H1586" s="40" t="s">
        <v>556</v>
      </c>
      <c r="I1586" s="39" t="s">
        <v>320</v>
      </c>
      <c r="J1586" s="43">
        <v>1061.27</v>
      </c>
      <c r="K1586" s="43">
        <v>0</v>
      </c>
      <c r="L1586" s="43">
        <v>1061.27</v>
      </c>
      <c r="M1586" s="44">
        <v>0</v>
      </c>
      <c r="N1586" s="44">
        <f t="shared" si="24"/>
        <v>1061.27</v>
      </c>
      <c r="O1586" s="44">
        <v>1061.27</v>
      </c>
      <c r="P1586" s="40" t="s">
        <v>3685</v>
      </c>
      <c r="Q1586" s="40" t="s">
        <v>3686</v>
      </c>
      <c r="R1586" s="40" t="s">
        <v>494</v>
      </c>
      <c r="S1586" s="40" t="s">
        <v>502</v>
      </c>
      <c r="T1586" s="40" t="s">
        <v>330</v>
      </c>
      <c r="U1586" s="40" t="s">
        <v>3687</v>
      </c>
      <c r="V1586" s="40"/>
      <c r="W1586" s="40" t="s">
        <v>3221</v>
      </c>
    </row>
    <row r="1587" spans="1:23" ht="12" x14ac:dyDescent="0.2">
      <c r="A1587" s="39" t="s">
        <v>2178</v>
      </c>
      <c r="B1587" s="40" t="s">
        <v>2179</v>
      </c>
      <c r="C1587" s="40" t="s">
        <v>7923</v>
      </c>
      <c r="D1587" s="41">
        <v>46085</v>
      </c>
      <c r="E1587" s="41">
        <v>46115</v>
      </c>
      <c r="F1587" s="41">
        <v>46091</v>
      </c>
      <c r="G1587" s="42">
        <v>-24</v>
      </c>
      <c r="H1587" s="40" t="s">
        <v>556</v>
      </c>
      <c r="I1587" s="39" t="s">
        <v>320</v>
      </c>
      <c r="J1587" s="43">
        <v>-7136.23</v>
      </c>
      <c r="K1587" s="43">
        <v>0</v>
      </c>
      <c r="L1587" s="43">
        <v>-7136.23</v>
      </c>
      <c r="M1587" s="44">
        <v>0</v>
      </c>
      <c r="N1587" s="44">
        <f t="shared" si="24"/>
        <v>-7136.23</v>
      </c>
      <c r="O1587" s="44">
        <v>-7136.23</v>
      </c>
      <c r="P1587" s="40" t="s">
        <v>7924</v>
      </c>
      <c r="Q1587" s="40" t="s">
        <v>7925</v>
      </c>
      <c r="R1587" s="40" t="s">
        <v>494</v>
      </c>
      <c r="S1587" s="40" t="s">
        <v>502</v>
      </c>
      <c r="T1587" s="40" t="s">
        <v>222</v>
      </c>
      <c r="U1587" s="40" t="s">
        <v>553</v>
      </c>
      <c r="V1587" s="40"/>
      <c r="W1587" s="40" t="s">
        <v>7926</v>
      </c>
    </row>
    <row r="1588" spans="1:23" ht="12" x14ac:dyDescent="0.2">
      <c r="A1588" s="39" t="s">
        <v>69</v>
      </c>
      <c r="B1588" s="40" t="s">
        <v>453</v>
      </c>
      <c r="C1588" s="40" t="s">
        <v>7927</v>
      </c>
      <c r="D1588" s="41">
        <v>46085</v>
      </c>
      <c r="E1588" s="41">
        <v>46115</v>
      </c>
      <c r="F1588" s="41">
        <v>46091</v>
      </c>
      <c r="G1588" s="42">
        <v>-24</v>
      </c>
      <c r="H1588" s="40" t="s">
        <v>556</v>
      </c>
      <c r="I1588" s="39" t="s">
        <v>320</v>
      </c>
      <c r="J1588" s="43">
        <v>1083.08</v>
      </c>
      <c r="K1588" s="43">
        <v>0</v>
      </c>
      <c r="L1588" s="43">
        <v>1083.08</v>
      </c>
      <c r="M1588" s="44">
        <v>0</v>
      </c>
      <c r="N1588" s="44">
        <f t="shared" si="24"/>
        <v>1083.08</v>
      </c>
      <c r="O1588" s="44">
        <v>1083.08</v>
      </c>
      <c r="P1588" s="40" t="s">
        <v>1532</v>
      </c>
      <c r="Q1588" s="40" t="s">
        <v>3619</v>
      </c>
      <c r="R1588" s="40" t="s">
        <v>494</v>
      </c>
      <c r="S1588" s="40" t="s">
        <v>502</v>
      </c>
      <c r="T1588" s="40" t="s">
        <v>219</v>
      </c>
      <c r="U1588" s="40" t="s">
        <v>3620</v>
      </c>
      <c r="V1588" s="40"/>
      <c r="W1588" s="40" t="s">
        <v>3621</v>
      </c>
    </row>
    <row r="1589" spans="1:23" ht="12" x14ac:dyDescent="0.2">
      <c r="A1589" s="39" t="s">
        <v>69</v>
      </c>
      <c r="B1589" s="40" t="s">
        <v>453</v>
      </c>
      <c r="C1589" s="40" t="s">
        <v>7928</v>
      </c>
      <c r="D1589" s="41">
        <v>46085</v>
      </c>
      <c r="E1589" s="41">
        <v>46115</v>
      </c>
      <c r="F1589" s="41">
        <v>46091</v>
      </c>
      <c r="G1589" s="42">
        <v>-24</v>
      </c>
      <c r="H1589" s="40" t="s">
        <v>556</v>
      </c>
      <c r="I1589" s="39" t="s">
        <v>320</v>
      </c>
      <c r="J1589" s="43">
        <v>39252.400000000001</v>
      </c>
      <c r="K1589" s="43">
        <v>0</v>
      </c>
      <c r="L1589" s="43">
        <v>39252.400000000001</v>
      </c>
      <c r="M1589" s="44">
        <v>0</v>
      </c>
      <c r="N1589" s="44">
        <f t="shared" si="24"/>
        <v>39252.400000000001</v>
      </c>
      <c r="O1589" s="44">
        <v>39252.400000000001</v>
      </c>
      <c r="P1589" s="40" t="s">
        <v>841</v>
      </c>
      <c r="Q1589" s="40" t="s">
        <v>842</v>
      </c>
      <c r="R1589" s="40" t="s">
        <v>494</v>
      </c>
      <c r="S1589" s="40" t="s">
        <v>502</v>
      </c>
      <c r="T1589" s="40" t="s">
        <v>284</v>
      </c>
      <c r="U1589" s="40" t="s">
        <v>1880</v>
      </c>
      <c r="V1589" s="40"/>
      <c r="W1589" s="40" t="s">
        <v>843</v>
      </c>
    </row>
    <row r="1590" spans="1:23" ht="12" x14ac:dyDescent="0.2">
      <c r="A1590" s="39" t="s">
        <v>38</v>
      </c>
      <c r="B1590" s="40" t="s">
        <v>605</v>
      </c>
      <c r="C1590" s="40" t="s">
        <v>7929</v>
      </c>
      <c r="D1590" s="41">
        <v>46085</v>
      </c>
      <c r="E1590" s="41">
        <v>46115</v>
      </c>
      <c r="F1590" s="41">
        <v>46091</v>
      </c>
      <c r="G1590" s="42">
        <v>-24</v>
      </c>
      <c r="H1590" s="40" t="s">
        <v>556</v>
      </c>
      <c r="I1590" s="39" t="s">
        <v>320</v>
      </c>
      <c r="J1590" s="43">
        <v>30258.66</v>
      </c>
      <c r="K1590" s="43">
        <v>0</v>
      </c>
      <c r="L1590" s="43">
        <v>30258.66</v>
      </c>
      <c r="M1590" s="44">
        <v>0</v>
      </c>
      <c r="N1590" s="44">
        <f t="shared" si="24"/>
        <v>30258.66</v>
      </c>
      <c r="O1590" s="44">
        <v>30258.66</v>
      </c>
      <c r="P1590" s="40" t="s">
        <v>1534</v>
      </c>
      <c r="Q1590" s="40" t="s">
        <v>3622</v>
      </c>
      <c r="R1590" s="40" t="s">
        <v>494</v>
      </c>
      <c r="S1590" s="40" t="s">
        <v>502</v>
      </c>
      <c r="T1590" s="40" t="s">
        <v>221</v>
      </c>
      <c r="U1590" s="40" t="s">
        <v>2336</v>
      </c>
      <c r="V1590" s="40"/>
      <c r="W1590" s="40" t="s">
        <v>3623</v>
      </c>
    </row>
    <row r="1591" spans="1:23" ht="12" x14ac:dyDescent="0.2">
      <c r="A1591" s="39" t="s">
        <v>37</v>
      </c>
      <c r="B1591" s="40" t="s">
        <v>452</v>
      </c>
      <c r="C1591" s="40" t="s">
        <v>7930</v>
      </c>
      <c r="D1591" s="41">
        <v>46085</v>
      </c>
      <c r="E1591" s="41">
        <v>46115</v>
      </c>
      <c r="F1591" s="41">
        <v>46091</v>
      </c>
      <c r="G1591" s="42">
        <v>-24</v>
      </c>
      <c r="H1591" s="40" t="s">
        <v>556</v>
      </c>
      <c r="I1591" s="39" t="s">
        <v>320</v>
      </c>
      <c r="J1591" s="43">
        <v>501.69</v>
      </c>
      <c r="K1591" s="43">
        <v>0</v>
      </c>
      <c r="L1591" s="43">
        <v>501.69</v>
      </c>
      <c r="M1591" s="44">
        <v>0</v>
      </c>
      <c r="N1591" s="44">
        <f t="shared" si="24"/>
        <v>501.69</v>
      </c>
      <c r="O1591" s="44">
        <v>501.69</v>
      </c>
      <c r="P1591" s="40" t="s">
        <v>2521</v>
      </c>
      <c r="Q1591" s="40" t="s">
        <v>2522</v>
      </c>
      <c r="R1591" s="40" t="s">
        <v>494</v>
      </c>
      <c r="S1591" s="40" t="s">
        <v>502</v>
      </c>
      <c r="T1591" s="40" t="s">
        <v>330</v>
      </c>
      <c r="U1591" s="40" t="s">
        <v>2523</v>
      </c>
      <c r="V1591" s="40"/>
      <c r="W1591" s="40" t="s">
        <v>2524</v>
      </c>
    </row>
    <row r="1592" spans="1:23" ht="12" x14ac:dyDescent="0.2">
      <c r="A1592" s="39" t="s">
        <v>1463</v>
      </c>
      <c r="B1592" s="40" t="s">
        <v>2726</v>
      </c>
      <c r="C1592" s="40" t="s">
        <v>7931</v>
      </c>
      <c r="D1592" s="41">
        <v>46085</v>
      </c>
      <c r="E1592" s="41">
        <v>46115</v>
      </c>
      <c r="F1592" s="41">
        <v>46091</v>
      </c>
      <c r="G1592" s="42">
        <v>-24</v>
      </c>
      <c r="H1592" s="40" t="s">
        <v>556</v>
      </c>
      <c r="I1592" s="39" t="s">
        <v>323</v>
      </c>
      <c r="J1592" s="43">
        <v>8571.75</v>
      </c>
      <c r="K1592" s="43">
        <v>0</v>
      </c>
      <c r="L1592" s="43">
        <v>8571.75</v>
      </c>
      <c r="M1592" s="44">
        <v>0</v>
      </c>
      <c r="N1592" s="44">
        <f t="shared" si="24"/>
        <v>5714.5</v>
      </c>
      <c r="O1592" s="44">
        <v>5714.5</v>
      </c>
      <c r="P1592" s="40" t="s">
        <v>1464</v>
      </c>
      <c r="Q1592" s="40" t="s">
        <v>3624</v>
      </c>
      <c r="R1592" s="40" t="s">
        <v>494</v>
      </c>
      <c r="S1592" s="40" t="s">
        <v>502</v>
      </c>
      <c r="T1592" s="40" t="s">
        <v>184</v>
      </c>
      <c r="U1592" s="40" t="s">
        <v>3625</v>
      </c>
      <c r="V1592" s="40"/>
      <c r="W1592" s="40" t="s">
        <v>3626</v>
      </c>
    </row>
    <row r="1593" spans="1:23" ht="12" x14ac:dyDescent="0.2">
      <c r="A1593" s="39" t="s">
        <v>47</v>
      </c>
      <c r="B1593" s="40" t="s">
        <v>1222</v>
      </c>
      <c r="C1593" s="40" t="s">
        <v>7932</v>
      </c>
      <c r="D1593" s="41">
        <v>46085</v>
      </c>
      <c r="E1593" s="41">
        <v>46115</v>
      </c>
      <c r="F1593" s="41">
        <v>46091</v>
      </c>
      <c r="G1593" s="42">
        <v>-24</v>
      </c>
      <c r="H1593" s="40" t="s">
        <v>556</v>
      </c>
      <c r="I1593" s="39" t="s">
        <v>320</v>
      </c>
      <c r="J1593" s="43">
        <v>33102.35</v>
      </c>
      <c r="K1593" s="43">
        <v>0</v>
      </c>
      <c r="L1593" s="43">
        <v>33102.35</v>
      </c>
      <c r="M1593" s="44">
        <v>0</v>
      </c>
      <c r="N1593" s="44">
        <f t="shared" si="24"/>
        <v>33102.35</v>
      </c>
      <c r="O1593" s="44">
        <v>33102.35</v>
      </c>
      <c r="P1593" s="40" t="s">
        <v>7816</v>
      </c>
      <c r="Q1593" s="40" t="s">
        <v>7817</v>
      </c>
      <c r="R1593" s="40" t="s">
        <v>494</v>
      </c>
      <c r="S1593" s="40" t="s">
        <v>495</v>
      </c>
      <c r="T1593" s="40" t="s">
        <v>191</v>
      </c>
      <c r="U1593" s="40" t="s">
        <v>7818</v>
      </c>
      <c r="V1593" s="40"/>
      <c r="W1593" s="40" t="s">
        <v>7819</v>
      </c>
    </row>
    <row r="1594" spans="1:23" ht="12" x14ac:dyDescent="0.2">
      <c r="A1594" s="39" t="s">
        <v>4983</v>
      </c>
      <c r="B1594" s="40" t="s">
        <v>4984</v>
      </c>
      <c r="C1594" s="40" t="s">
        <v>7933</v>
      </c>
      <c r="D1594" s="41">
        <v>46086</v>
      </c>
      <c r="E1594" s="41">
        <v>46116</v>
      </c>
      <c r="F1594" s="41">
        <v>46091</v>
      </c>
      <c r="G1594" s="42">
        <v>-25</v>
      </c>
      <c r="H1594" s="40" t="s">
        <v>556</v>
      </c>
      <c r="I1594" s="39" t="s">
        <v>320</v>
      </c>
      <c r="J1594" s="43">
        <v>14112.36</v>
      </c>
      <c r="K1594" s="43">
        <v>0</v>
      </c>
      <c r="L1594" s="43">
        <v>14112.36</v>
      </c>
      <c r="M1594" s="44">
        <v>0</v>
      </c>
      <c r="N1594" s="44">
        <f t="shared" si="24"/>
        <v>14112.36</v>
      </c>
      <c r="O1594" s="44">
        <v>14112.36</v>
      </c>
      <c r="P1594" s="40" t="s">
        <v>4986</v>
      </c>
      <c r="Q1594" s="40" t="s">
        <v>4987</v>
      </c>
      <c r="R1594" s="40" t="s">
        <v>494</v>
      </c>
      <c r="S1594" s="40" t="s">
        <v>502</v>
      </c>
      <c r="T1594" s="40" t="s">
        <v>218</v>
      </c>
      <c r="U1594" s="40" t="s">
        <v>4988</v>
      </c>
      <c r="V1594" s="40"/>
      <c r="W1594" s="40" t="s">
        <v>4989</v>
      </c>
    </row>
    <row r="1595" spans="1:23" ht="12" x14ac:dyDescent="0.2">
      <c r="A1595" s="39" t="s">
        <v>2178</v>
      </c>
      <c r="B1595" s="40" t="s">
        <v>2179</v>
      </c>
      <c r="C1595" s="40" t="s">
        <v>7934</v>
      </c>
      <c r="D1595" s="41">
        <v>46086</v>
      </c>
      <c r="E1595" s="41">
        <v>46116</v>
      </c>
      <c r="F1595" s="41">
        <v>46091</v>
      </c>
      <c r="G1595" s="42">
        <v>-25</v>
      </c>
      <c r="H1595" s="40" t="s">
        <v>556</v>
      </c>
      <c r="I1595" s="39" t="s">
        <v>320</v>
      </c>
      <c r="J1595" s="43">
        <v>37469.99</v>
      </c>
      <c r="K1595" s="43">
        <v>0</v>
      </c>
      <c r="L1595" s="43">
        <v>37469.99</v>
      </c>
      <c r="M1595" s="44">
        <v>0</v>
      </c>
      <c r="N1595" s="44">
        <f t="shared" si="24"/>
        <v>37469.99</v>
      </c>
      <c r="O1595" s="44">
        <v>37469.99</v>
      </c>
      <c r="P1595" s="40" t="s">
        <v>7935</v>
      </c>
      <c r="Q1595" s="40" t="s">
        <v>7936</v>
      </c>
      <c r="R1595" s="40" t="s">
        <v>494</v>
      </c>
      <c r="S1595" s="40" t="s">
        <v>502</v>
      </c>
      <c r="T1595" s="40" t="s">
        <v>221</v>
      </c>
      <c r="U1595" s="40" t="s">
        <v>643</v>
      </c>
      <c r="V1595" s="40"/>
      <c r="W1595" s="40" t="s">
        <v>7937</v>
      </c>
    </row>
    <row r="1596" spans="1:23" ht="12" x14ac:dyDescent="0.2">
      <c r="A1596" s="39" t="s">
        <v>6925</v>
      </c>
      <c r="B1596" s="40" t="s">
        <v>6926</v>
      </c>
      <c r="C1596" s="40" t="s">
        <v>7938</v>
      </c>
      <c r="D1596" s="41">
        <v>46086</v>
      </c>
      <c r="E1596" s="41">
        <v>46116</v>
      </c>
      <c r="F1596" s="41">
        <v>46091</v>
      </c>
      <c r="G1596" s="42">
        <v>-25</v>
      </c>
      <c r="H1596" s="40" t="s">
        <v>556</v>
      </c>
      <c r="I1596" s="39" t="s">
        <v>6928</v>
      </c>
      <c r="J1596" s="43">
        <v>5999999.9699999997</v>
      </c>
      <c r="K1596" s="43">
        <v>0</v>
      </c>
      <c r="L1596" s="43">
        <v>5999999.9699999997</v>
      </c>
      <c r="M1596" s="44">
        <v>0</v>
      </c>
      <c r="N1596" s="44">
        <f t="shared" si="24"/>
        <v>559701.49</v>
      </c>
      <c r="O1596" s="44">
        <v>559701.49</v>
      </c>
      <c r="P1596" s="40" t="s">
        <v>7939</v>
      </c>
      <c r="Q1596" s="40" t="s">
        <v>7940</v>
      </c>
      <c r="R1596" s="40" t="s">
        <v>494</v>
      </c>
      <c r="S1596" s="40" t="s">
        <v>502</v>
      </c>
      <c r="T1596" s="40" t="s">
        <v>218</v>
      </c>
      <c r="U1596" s="40" t="s">
        <v>3141</v>
      </c>
      <c r="V1596" s="40"/>
      <c r="W1596" s="40" t="s">
        <v>321</v>
      </c>
    </row>
    <row r="1597" spans="1:23" ht="12" x14ac:dyDescent="0.2">
      <c r="A1597" s="39" t="s">
        <v>7941</v>
      </c>
      <c r="B1597" s="40" t="s">
        <v>7942</v>
      </c>
      <c r="C1597" s="40" t="s">
        <v>7943</v>
      </c>
      <c r="D1597" s="41">
        <v>46086</v>
      </c>
      <c r="E1597" s="41">
        <v>46116</v>
      </c>
      <c r="F1597" s="41">
        <v>46091</v>
      </c>
      <c r="G1597" s="42">
        <v>-25</v>
      </c>
      <c r="H1597" s="40" t="s">
        <v>556</v>
      </c>
      <c r="I1597" s="39" t="s">
        <v>341</v>
      </c>
      <c r="J1597" s="43">
        <v>37556.050000000003</v>
      </c>
      <c r="K1597" s="43">
        <v>0</v>
      </c>
      <c r="L1597" s="43">
        <v>37556.050000000003</v>
      </c>
      <c r="M1597" s="44">
        <v>0</v>
      </c>
      <c r="N1597" s="44">
        <f t="shared" si="24"/>
        <v>30044.84</v>
      </c>
      <c r="O1597" s="44">
        <v>30044.84</v>
      </c>
      <c r="P1597" s="40" t="s">
        <v>7944</v>
      </c>
      <c r="Q1597" s="40" t="s">
        <v>7945</v>
      </c>
      <c r="R1597" s="40" t="s">
        <v>494</v>
      </c>
      <c r="S1597" s="40" t="s">
        <v>502</v>
      </c>
      <c r="T1597" s="40" t="s">
        <v>506</v>
      </c>
      <c r="U1597" s="40" t="s">
        <v>7946</v>
      </c>
      <c r="V1597" s="40" t="s">
        <v>4853</v>
      </c>
      <c r="W1597" s="40"/>
    </row>
    <row r="1598" spans="1:23" ht="12" x14ac:dyDescent="0.2">
      <c r="A1598" s="39" t="s">
        <v>10</v>
      </c>
      <c r="B1598" s="40" t="s">
        <v>393</v>
      </c>
      <c r="C1598" s="40" t="s">
        <v>7947</v>
      </c>
      <c r="D1598" s="41">
        <v>46086</v>
      </c>
      <c r="E1598" s="41">
        <v>46116</v>
      </c>
      <c r="F1598" s="41">
        <v>46091</v>
      </c>
      <c r="G1598" s="42">
        <v>-25</v>
      </c>
      <c r="H1598" s="40" t="s">
        <v>556</v>
      </c>
      <c r="I1598" s="39" t="s">
        <v>320</v>
      </c>
      <c r="J1598" s="43">
        <v>170000</v>
      </c>
      <c r="K1598" s="43">
        <v>0</v>
      </c>
      <c r="L1598" s="43">
        <v>170000</v>
      </c>
      <c r="M1598" s="44">
        <v>0</v>
      </c>
      <c r="N1598" s="44">
        <f t="shared" si="24"/>
        <v>170000</v>
      </c>
      <c r="O1598" s="44">
        <v>170000</v>
      </c>
      <c r="P1598" s="40" t="s">
        <v>7948</v>
      </c>
      <c r="Q1598" s="40" t="s">
        <v>7949</v>
      </c>
      <c r="R1598" s="40" t="s">
        <v>494</v>
      </c>
      <c r="S1598" s="40" t="s">
        <v>502</v>
      </c>
      <c r="T1598" s="40" t="s">
        <v>282</v>
      </c>
      <c r="U1598" s="40" t="s">
        <v>664</v>
      </c>
      <c r="V1598" s="40"/>
      <c r="W1598" s="40" t="s">
        <v>7950</v>
      </c>
    </row>
    <row r="1599" spans="1:23" ht="12" x14ac:dyDescent="0.2">
      <c r="A1599" s="39" t="s">
        <v>7951</v>
      </c>
      <c r="B1599" s="40" t="s">
        <v>7952</v>
      </c>
      <c r="C1599" s="40" t="s">
        <v>7953</v>
      </c>
      <c r="D1599" s="41">
        <v>46086</v>
      </c>
      <c r="E1599" s="41">
        <v>46116</v>
      </c>
      <c r="F1599" s="41">
        <v>46091</v>
      </c>
      <c r="G1599" s="42">
        <v>-25</v>
      </c>
      <c r="H1599" s="40" t="s">
        <v>556</v>
      </c>
      <c r="I1599" s="39" t="s">
        <v>341</v>
      </c>
      <c r="J1599" s="43">
        <v>70000</v>
      </c>
      <c r="K1599" s="43">
        <v>0</v>
      </c>
      <c r="L1599" s="43">
        <v>70000</v>
      </c>
      <c r="M1599" s="44">
        <v>0</v>
      </c>
      <c r="N1599" s="44">
        <f t="shared" si="24"/>
        <v>53846.15</v>
      </c>
      <c r="O1599" s="44">
        <v>53846.15</v>
      </c>
      <c r="P1599" s="40" t="s">
        <v>7954</v>
      </c>
      <c r="Q1599" s="40" t="s">
        <v>7955</v>
      </c>
      <c r="R1599" s="40" t="s">
        <v>494</v>
      </c>
      <c r="S1599" s="40" t="s">
        <v>502</v>
      </c>
      <c r="T1599" s="40" t="s">
        <v>327</v>
      </c>
      <c r="U1599" s="40" t="s">
        <v>537</v>
      </c>
      <c r="V1599" s="40"/>
      <c r="W1599" s="40" t="s">
        <v>321</v>
      </c>
    </row>
    <row r="1600" spans="1:23" ht="12" x14ac:dyDescent="0.2">
      <c r="A1600" s="39" t="s">
        <v>471</v>
      </c>
      <c r="B1600" s="40" t="s">
        <v>3229</v>
      </c>
      <c r="C1600" s="40" t="s">
        <v>7956</v>
      </c>
      <c r="D1600" s="41">
        <v>46086</v>
      </c>
      <c r="E1600" s="41">
        <v>46116</v>
      </c>
      <c r="F1600" s="41">
        <v>46091</v>
      </c>
      <c r="G1600" s="42">
        <v>-25</v>
      </c>
      <c r="H1600" s="40" t="s">
        <v>556</v>
      </c>
      <c r="I1600" s="39" t="s">
        <v>320</v>
      </c>
      <c r="J1600" s="43">
        <v>28450.85</v>
      </c>
      <c r="K1600" s="43">
        <v>0</v>
      </c>
      <c r="L1600" s="43">
        <v>28450.85</v>
      </c>
      <c r="M1600" s="44">
        <v>0</v>
      </c>
      <c r="N1600" s="44">
        <f t="shared" si="24"/>
        <v>28450.85</v>
      </c>
      <c r="O1600" s="44">
        <v>28450.85</v>
      </c>
      <c r="P1600" s="40" t="s">
        <v>3230</v>
      </c>
      <c r="Q1600" s="40" t="s">
        <v>3231</v>
      </c>
      <c r="R1600" s="40" t="s">
        <v>494</v>
      </c>
      <c r="S1600" s="40" t="s">
        <v>502</v>
      </c>
      <c r="T1600" s="40" t="s">
        <v>218</v>
      </c>
      <c r="U1600" s="40" t="s">
        <v>3232</v>
      </c>
      <c r="V1600" s="40"/>
      <c r="W1600" s="40" t="s">
        <v>3233</v>
      </c>
    </row>
    <row r="1601" spans="1:23" ht="12" x14ac:dyDescent="0.2">
      <c r="A1601" s="39" t="s">
        <v>628</v>
      </c>
      <c r="B1601" s="40" t="s">
        <v>629</v>
      </c>
      <c r="C1601" s="40" t="s">
        <v>7957</v>
      </c>
      <c r="D1601" s="41">
        <v>46086</v>
      </c>
      <c r="E1601" s="41">
        <v>46116</v>
      </c>
      <c r="F1601" s="41">
        <v>46091</v>
      </c>
      <c r="G1601" s="42">
        <v>-25</v>
      </c>
      <c r="H1601" s="40" t="s">
        <v>556</v>
      </c>
      <c r="I1601" s="39" t="s">
        <v>323</v>
      </c>
      <c r="J1601" s="43">
        <v>163041.46</v>
      </c>
      <c r="K1601" s="43">
        <v>0</v>
      </c>
      <c r="L1601" s="43">
        <v>163041.46</v>
      </c>
      <c r="M1601" s="44">
        <v>0</v>
      </c>
      <c r="N1601" s="44">
        <f t="shared" si="24"/>
        <v>130433.17</v>
      </c>
      <c r="O1601" s="44">
        <v>130433.17</v>
      </c>
      <c r="P1601" s="40" t="s">
        <v>1155</v>
      </c>
      <c r="Q1601" s="40" t="s">
        <v>1156</v>
      </c>
      <c r="R1601" s="40" t="s">
        <v>494</v>
      </c>
      <c r="S1601" s="40" t="s">
        <v>502</v>
      </c>
      <c r="T1601" s="40" t="s">
        <v>218</v>
      </c>
      <c r="U1601" s="40" t="s">
        <v>1157</v>
      </c>
      <c r="V1601" s="40" t="s">
        <v>7958</v>
      </c>
      <c r="W1601" s="40" t="s">
        <v>1158</v>
      </c>
    </row>
    <row r="1602" spans="1:23" ht="12" x14ac:dyDescent="0.2">
      <c r="A1602" s="39" t="s">
        <v>7680</v>
      </c>
      <c r="B1602" s="40" t="s">
        <v>7681</v>
      </c>
      <c r="C1602" s="40" t="s">
        <v>7959</v>
      </c>
      <c r="D1602" s="41">
        <v>46086</v>
      </c>
      <c r="E1602" s="41">
        <v>46116</v>
      </c>
      <c r="F1602" s="41">
        <v>46091</v>
      </c>
      <c r="G1602" s="42">
        <v>-25</v>
      </c>
      <c r="H1602" s="40" t="s">
        <v>556</v>
      </c>
      <c r="I1602" s="39" t="s">
        <v>320</v>
      </c>
      <c r="J1602" s="43">
        <v>35000</v>
      </c>
      <c r="K1602" s="43">
        <v>0</v>
      </c>
      <c r="L1602" s="43">
        <v>35000</v>
      </c>
      <c r="M1602" s="44">
        <v>0</v>
      </c>
      <c r="N1602" s="44">
        <f t="shared" si="24"/>
        <v>35000</v>
      </c>
      <c r="O1602" s="44">
        <v>35000</v>
      </c>
      <c r="P1602" s="40" t="s">
        <v>7960</v>
      </c>
      <c r="Q1602" s="40" t="s">
        <v>7961</v>
      </c>
      <c r="R1602" s="40" t="s">
        <v>494</v>
      </c>
      <c r="S1602" s="40" t="s">
        <v>502</v>
      </c>
      <c r="T1602" s="40" t="s">
        <v>282</v>
      </c>
      <c r="U1602" s="40" t="s">
        <v>2939</v>
      </c>
      <c r="V1602" s="40"/>
      <c r="W1602" s="40" t="s">
        <v>7962</v>
      </c>
    </row>
    <row r="1603" spans="1:23" ht="12" x14ac:dyDescent="0.2">
      <c r="A1603" s="39" t="s">
        <v>891</v>
      </c>
      <c r="B1603" s="40" t="s">
        <v>892</v>
      </c>
      <c r="C1603" s="40" t="s">
        <v>7963</v>
      </c>
      <c r="D1603" s="41">
        <v>46086</v>
      </c>
      <c r="E1603" s="41">
        <v>46116</v>
      </c>
      <c r="F1603" s="41">
        <v>46091</v>
      </c>
      <c r="G1603" s="42">
        <v>-25</v>
      </c>
      <c r="H1603" s="40" t="s">
        <v>556</v>
      </c>
      <c r="I1603" s="39" t="s">
        <v>320</v>
      </c>
      <c r="J1603" s="43">
        <v>464616.83</v>
      </c>
      <c r="K1603" s="43">
        <v>0</v>
      </c>
      <c r="L1603" s="43">
        <v>464616.83</v>
      </c>
      <c r="M1603" s="44">
        <v>0</v>
      </c>
      <c r="N1603" s="44">
        <f t="shared" ref="N1603:N1661" si="25">IF(I1603="GBP",L1603-K1603,O1603-K1603)</f>
        <v>464616.83</v>
      </c>
      <c r="O1603" s="44">
        <v>464616.83</v>
      </c>
      <c r="P1603" s="40" t="s">
        <v>7964</v>
      </c>
      <c r="Q1603" s="40" t="s">
        <v>7965</v>
      </c>
      <c r="R1603" s="40" t="s">
        <v>494</v>
      </c>
      <c r="S1603" s="40" t="s">
        <v>502</v>
      </c>
      <c r="T1603" s="40" t="s">
        <v>219</v>
      </c>
      <c r="U1603" s="40" t="s">
        <v>1310</v>
      </c>
      <c r="V1603" s="40"/>
      <c r="W1603" s="40" t="s">
        <v>7966</v>
      </c>
    </row>
    <row r="1604" spans="1:23" ht="12" x14ac:dyDescent="0.2">
      <c r="A1604" s="39" t="s">
        <v>7967</v>
      </c>
      <c r="B1604" s="40" t="s">
        <v>7968</v>
      </c>
      <c r="C1604" s="40" t="s">
        <v>7969</v>
      </c>
      <c r="D1604" s="41">
        <v>46086</v>
      </c>
      <c r="E1604" s="41">
        <v>46116</v>
      </c>
      <c r="F1604" s="41">
        <v>46091</v>
      </c>
      <c r="G1604" s="42">
        <v>-25</v>
      </c>
      <c r="H1604" s="40" t="s">
        <v>556</v>
      </c>
      <c r="I1604" s="39" t="s">
        <v>323</v>
      </c>
      <c r="J1604" s="43">
        <v>280100</v>
      </c>
      <c r="K1604" s="43">
        <v>0</v>
      </c>
      <c r="L1604" s="43">
        <v>280100</v>
      </c>
      <c r="M1604" s="44">
        <v>0</v>
      </c>
      <c r="N1604" s="44">
        <f t="shared" si="25"/>
        <v>207481.48</v>
      </c>
      <c r="O1604" s="44">
        <v>207481.48</v>
      </c>
      <c r="P1604" s="40" t="s">
        <v>7970</v>
      </c>
      <c r="Q1604" s="40" t="s">
        <v>7971</v>
      </c>
      <c r="R1604" s="40" t="s">
        <v>494</v>
      </c>
      <c r="S1604" s="40" t="s">
        <v>502</v>
      </c>
      <c r="T1604" s="40" t="s">
        <v>163</v>
      </c>
      <c r="U1604" s="40" t="s">
        <v>7972</v>
      </c>
      <c r="V1604" s="40"/>
      <c r="W1604" s="40" t="s">
        <v>321</v>
      </c>
    </row>
    <row r="1605" spans="1:23" ht="12" x14ac:dyDescent="0.2">
      <c r="A1605" s="39" t="s">
        <v>7973</v>
      </c>
      <c r="B1605" s="40" t="s">
        <v>7974</v>
      </c>
      <c r="C1605" s="40" t="s">
        <v>7975</v>
      </c>
      <c r="D1605" s="41">
        <v>46086</v>
      </c>
      <c r="E1605" s="41">
        <v>46116</v>
      </c>
      <c r="F1605" s="41">
        <v>46091</v>
      </c>
      <c r="G1605" s="42">
        <v>-25</v>
      </c>
      <c r="H1605" s="40" t="s">
        <v>556</v>
      </c>
      <c r="I1605" s="39" t="s">
        <v>323</v>
      </c>
      <c r="J1605" s="43">
        <v>449475.61</v>
      </c>
      <c r="K1605" s="43">
        <v>0</v>
      </c>
      <c r="L1605" s="43">
        <v>449475.61</v>
      </c>
      <c r="M1605" s="44">
        <v>0</v>
      </c>
      <c r="N1605" s="44">
        <f t="shared" si="25"/>
        <v>321054.01</v>
      </c>
      <c r="O1605" s="44">
        <v>321054.01</v>
      </c>
      <c r="P1605" s="40" t="s">
        <v>7976</v>
      </c>
      <c r="Q1605" s="40" t="s">
        <v>7977</v>
      </c>
      <c r="R1605" s="40" t="s">
        <v>494</v>
      </c>
      <c r="S1605" s="40" t="s">
        <v>502</v>
      </c>
      <c r="T1605" s="40" t="s">
        <v>218</v>
      </c>
      <c r="U1605" s="40" t="s">
        <v>7978</v>
      </c>
      <c r="V1605" s="40"/>
      <c r="W1605" s="40" t="s">
        <v>7979</v>
      </c>
    </row>
    <row r="1606" spans="1:23" ht="12" x14ac:dyDescent="0.2">
      <c r="A1606" s="39" t="s">
        <v>949</v>
      </c>
      <c r="B1606" s="40" t="s">
        <v>1118</v>
      </c>
      <c r="C1606" s="40" t="s">
        <v>7980</v>
      </c>
      <c r="D1606" s="41">
        <v>46086</v>
      </c>
      <c r="E1606" s="41">
        <v>46116</v>
      </c>
      <c r="F1606" s="41">
        <v>46091</v>
      </c>
      <c r="G1606" s="42">
        <v>-25</v>
      </c>
      <c r="H1606" s="40" t="s">
        <v>556</v>
      </c>
      <c r="I1606" s="39" t="s">
        <v>320</v>
      </c>
      <c r="J1606" s="43">
        <v>26038.58</v>
      </c>
      <c r="K1606" s="43">
        <v>0</v>
      </c>
      <c r="L1606" s="43">
        <v>26038.58</v>
      </c>
      <c r="M1606" s="44">
        <v>0</v>
      </c>
      <c r="N1606" s="44">
        <f t="shared" si="25"/>
        <v>26038.58</v>
      </c>
      <c r="O1606" s="44">
        <v>26038.58</v>
      </c>
      <c r="P1606" s="40" t="s">
        <v>7981</v>
      </c>
      <c r="Q1606" s="40" t="s">
        <v>7982</v>
      </c>
      <c r="R1606" s="40" t="s">
        <v>494</v>
      </c>
      <c r="S1606" s="40" t="s">
        <v>502</v>
      </c>
      <c r="T1606" s="40" t="s">
        <v>362</v>
      </c>
      <c r="U1606" s="40" t="s">
        <v>7983</v>
      </c>
      <c r="V1606" s="40"/>
      <c r="W1606" s="40" t="s">
        <v>7984</v>
      </c>
    </row>
    <row r="1607" spans="1:23" ht="12" x14ac:dyDescent="0.2">
      <c r="A1607" s="39" t="s">
        <v>2178</v>
      </c>
      <c r="B1607" s="40" t="s">
        <v>2179</v>
      </c>
      <c r="C1607" s="40" t="s">
        <v>7985</v>
      </c>
      <c r="D1607" s="41">
        <v>46086</v>
      </c>
      <c r="E1607" s="41">
        <v>46116</v>
      </c>
      <c r="F1607" s="41">
        <v>46091</v>
      </c>
      <c r="G1607" s="42">
        <v>-25</v>
      </c>
      <c r="H1607" s="40" t="s">
        <v>556</v>
      </c>
      <c r="I1607" s="39" t="s">
        <v>320</v>
      </c>
      <c r="J1607" s="43">
        <v>115736.33</v>
      </c>
      <c r="K1607" s="43">
        <v>0</v>
      </c>
      <c r="L1607" s="43">
        <v>115736.33</v>
      </c>
      <c r="M1607" s="44">
        <v>0</v>
      </c>
      <c r="N1607" s="44">
        <f t="shared" si="25"/>
        <v>115736.33</v>
      </c>
      <c r="O1607" s="44">
        <v>115736.33</v>
      </c>
      <c r="P1607" s="40" t="s">
        <v>7986</v>
      </c>
      <c r="Q1607" s="40" t="s">
        <v>7987</v>
      </c>
      <c r="R1607" s="40" t="s">
        <v>494</v>
      </c>
      <c r="S1607" s="40" t="s">
        <v>502</v>
      </c>
      <c r="T1607" s="40" t="s">
        <v>282</v>
      </c>
      <c r="U1607" s="40" t="s">
        <v>2134</v>
      </c>
      <c r="V1607" s="40"/>
      <c r="W1607" s="40" t="s">
        <v>7988</v>
      </c>
    </row>
    <row r="1608" spans="1:23" ht="12" x14ac:dyDescent="0.2">
      <c r="A1608" s="39" t="s">
        <v>2178</v>
      </c>
      <c r="B1608" s="40" t="s">
        <v>2179</v>
      </c>
      <c r="C1608" s="40" t="s">
        <v>7989</v>
      </c>
      <c r="D1608" s="41">
        <v>46086</v>
      </c>
      <c r="E1608" s="41">
        <v>46116</v>
      </c>
      <c r="F1608" s="41">
        <v>46091</v>
      </c>
      <c r="G1608" s="42">
        <v>-25</v>
      </c>
      <c r="H1608" s="40" t="s">
        <v>556</v>
      </c>
      <c r="I1608" s="39" t="s">
        <v>320</v>
      </c>
      <c r="J1608" s="43">
        <v>35936.94</v>
      </c>
      <c r="K1608" s="43">
        <v>0</v>
      </c>
      <c r="L1608" s="43">
        <v>35936.94</v>
      </c>
      <c r="M1608" s="44">
        <v>0</v>
      </c>
      <c r="N1608" s="44">
        <f t="shared" si="25"/>
        <v>35936.94</v>
      </c>
      <c r="O1608" s="44">
        <v>35936.94</v>
      </c>
      <c r="P1608" s="40" t="s">
        <v>2842</v>
      </c>
      <c r="Q1608" s="40" t="s">
        <v>2843</v>
      </c>
      <c r="R1608" s="40" t="s">
        <v>494</v>
      </c>
      <c r="S1608" s="40" t="s">
        <v>502</v>
      </c>
      <c r="T1608" s="40" t="s">
        <v>218</v>
      </c>
      <c r="U1608" s="40" t="s">
        <v>7990</v>
      </c>
      <c r="V1608" s="40"/>
      <c r="W1608" s="40" t="s">
        <v>2844</v>
      </c>
    </row>
    <row r="1609" spans="1:23" ht="12" x14ac:dyDescent="0.2">
      <c r="A1609" s="39" t="s">
        <v>55</v>
      </c>
      <c r="B1609" s="40" t="s">
        <v>371</v>
      </c>
      <c r="C1609" s="40" t="s">
        <v>7991</v>
      </c>
      <c r="D1609" s="41">
        <v>46086</v>
      </c>
      <c r="E1609" s="41">
        <v>46116</v>
      </c>
      <c r="F1609" s="41">
        <v>46091</v>
      </c>
      <c r="G1609" s="42">
        <v>-25</v>
      </c>
      <c r="H1609" s="40" t="s">
        <v>556</v>
      </c>
      <c r="I1609" s="39" t="s">
        <v>320</v>
      </c>
      <c r="J1609" s="43">
        <v>31418.52</v>
      </c>
      <c r="K1609" s="43">
        <v>0</v>
      </c>
      <c r="L1609" s="43">
        <v>31418.52</v>
      </c>
      <c r="M1609" s="44">
        <v>0</v>
      </c>
      <c r="N1609" s="44">
        <f t="shared" si="25"/>
        <v>31418.52</v>
      </c>
      <c r="O1609" s="44">
        <v>31418.52</v>
      </c>
      <c r="P1609" s="40" t="s">
        <v>7992</v>
      </c>
      <c r="Q1609" s="40" t="s">
        <v>7993</v>
      </c>
      <c r="R1609" s="40" t="s">
        <v>494</v>
      </c>
      <c r="S1609" s="40" t="s">
        <v>502</v>
      </c>
      <c r="T1609" s="40" t="s">
        <v>542</v>
      </c>
      <c r="U1609" s="40" t="s">
        <v>7994</v>
      </c>
      <c r="V1609" s="40"/>
      <c r="W1609" s="40" t="s">
        <v>7995</v>
      </c>
    </row>
    <row r="1610" spans="1:23" ht="12" x14ac:dyDescent="0.2">
      <c r="A1610" s="39" t="s">
        <v>335</v>
      </c>
      <c r="B1610" s="40" t="s">
        <v>334</v>
      </c>
      <c r="C1610" s="40" t="s">
        <v>7996</v>
      </c>
      <c r="D1610" s="41">
        <v>46086</v>
      </c>
      <c r="E1610" s="41">
        <v>46116</v>
      </c>
      <c r="F1610" s="41">
        <v>46091</v>
      </c>
      <c r="G1610" s="42">
        <v>-25</v>
      </c>
      <c r="H1610" s="40" t="s">
        <v>556</v>
      </c>
      <c r="I1610" s="39" t="s">
        <v>320</v>
      </c>
      <c r="J1610" s="43">
        <v>-1018.49</v>
      </c>
      <c r="K1610" s="43">
        <v>0</v>
      </c>
      <c r="L1610" s="43">
        <v>-1018.49</v>
      </c>
      <c r="M1610" s="44">
        <v>0</v>
      </c>
      <c r="N1610" s="44">
        <f t="shared" si="25"/>
        <v>-1018.49</v>
      </c>
      <c r="O1610" s="44">
        <v>-1018.49</v>
      </c>
      <c r="P1610" s="40" t="s">
        <v>7997</v>
      </c>
      <c r="Q1610" s="40" t="s">
        <v>7998</v>
      </c>
      <c r="R1610" s="40" t="s">
        <v>494</v>
      </c>
      <c r="S1610" s="40" t="s">
        <v>495</v>
      </c>
      <c r="T1610" s="40" t="s">
        <v>7999</v>
      </c>
      <c r="U1610" s="40" t="s">
        <v>8000</v>
      </c>
      <c r="V1610" s="40" t="s">
        <v>4017</v>
      </c>
      <c r="W1610" s="40" t="s">
        <v>8001</v>
      </c>
    </row>
    <row r="1611" spans="1:23" ht="12" x14ac:dyDescent="0.2">
      <c r="A1611" s="39" t="s">
        <v>44</v>
      </c>
      <c r="B1611" s="40" t="s">
        <v>345</v>
      </c>
      <c r="C1611" s="40" t="s">
        <v>8002</v>
      </c>
      <c r="D1611" s="41">
        <v>46086</v>
      </c>
      <c r="E1611" s="41">
        <v>46116</v>
      </c>
      <c r="F1611" s="41">
        <v>46091</v>
      </c>
      <c r="G1611" s="42">
        <v>-25</v>
      </c>
      <c r="H1611" s="40" t="s">
        <v>556</v>
      </c>
      <c r="I1611" s="39" t="s">
        <v>320</v>
      </c>
      <c r="J1611" s="43">
        <v>89735.08</v>
      </c>
      <c r="K1611" s="43">
        <v>14955.85</v>
      </c>
      <c r="L1611" s="43">
        <v>89735.08</v>
      </c>
      <c r="M1611" s="44">
        <v>14955.85</v>
      </c>
      <c r="N1611" s="44">
        <f t="shared" si="25"/>
        <v>74779.23</v>
      </c>
      <c r="O1611" s="44">
        <v>89735.08</v>
      </c>
      <c r="P1611" s="40" t="s">
        <v>8003</v>
      </c>
      <c r="Q1611" s="40" t="s">
        <v>8004</v>
      </c>
      <c r="R1611" s="40" t="s">
        <v>494</v>
      </c>
      <c r="S1611" s="40" t="s">
        <v>502</v>
      </c>
      <c r="T1611" s="40" t="s">
        <v>535</v>
      </c>
      <c r="U1611" s="40" t="s">
        <v>573</v>
      </c>
      <c r="V1611" s="40"/>
      <c r="W1611" s="40" t="s">
        <v>8005</v>
      </c>
    </row>
    <row r="1612" spans="1:23" ht="12" x14ac:dyDescent="0.2">
      <c r="A1612" s="39" t="s">
        <v>36</v>
      </c>
      <c r="B1612" s="40" t="s">
        <v>352</v>
      </c>
      <c r="C1612" s="40" t="s">
        <v>8006</v>
      </c>
      <c r="D1612" s="41">
        <v>46086</v>
      </c>
      <c r="E1612" s="41">
        <v>46116</v>
      </c>
      <c r="F1612" s="41">
        <v>46091</v>
      </c>
      <c r="G1612" s="42">
        <v>-25</v>
      </c>
      <c r="H1612" s="40" t="s">
        <v>556</v>
      </c>
      <c r="I1612" s="39" t="s">
        <v>320</v>
      </c>
      <c r="J1612" s="43">
        <v>21981.78</v>
      </c>
      <c r="K1612" s="43">
        <v>0</v>
      </c>
      <c r="L1612" s="43">
        <v>21981.78</v>
      </c>
      <c r="M1612" s="44">
        <v>0</v>
      </c>
      <c r="N1612" s="44">
        <f t="shared" si="25"/>
        <v>21981.78</v>
      </c>
      <c r="O1612" s="44">
        <v>21981.78</v>
      </c>
      <c r="P1612" s="40" t="s">
        <v>8007</v>
      </c>
      <c r="Q1612" s="40" t="s">
        <v>8008</v>
      </c>
      <c r="R1612" s="40" t="s">
        <v>494</v>
      </c>
      <c r="S1612" s="40" t="s">
        <v>502</v>
      </c>
      <c r="T1612" s="40" t="s">
        <v>534</v>
      </c>
      <c r="U1612" s="40" t="s">
        <v>8009</v>
      </c>
      <c r="V1612" s="40"/>
      <c r="W1612" s="40" t="s">
        <v>8010</v>
      </c>
    </row>
    <row r="1613" spans="1:23" ht="12" x14ac:dyDescent="0.2">
      <c r="A1613" s="39" t="s">
        <v>337</v>
      </c>
      <c r="B1613" s="40" t="s">
        <v>336</v>
      </c>
      <c r="C1613" s="40" t="s">
        <v>8011</v>
      </c>
      <c r="D1613" s="41">
        <v>46086</v>
      </c>
      <c r="E1613" s="41">
        <v>46116</v>
      </c>
      <c r="F1613" s="41">
        <v>46091</v>
      </c>
      <c r="G1613" s="42">
        <v>-25</v>
      </c>
      <c r="H1613" s="40" t="s">
        <v>556</v>
      </c>
      <c r="I1613" s="39" t="s">
        <v>320</v>
      </c>
      <c r="J1613" s="43">
        <v>61025.35</v>
      </c>
      <c r="K1613" s="43">
        <v>0</v>
      </c>
      <c r="L1613" s="43">
        <v>61025.35</v>
      </c>
      <c r="M1613" s="44">
        <v>0</v>
      </c>
      <c r="N1613" s="44">
        <f t="shared" si="25"/>
        <v>61025.35</v>
      </c>
      <c r="O1613" s="44">
        <v>61025.35</v>
      </c>
      <c r="P1613" s="40" t="s">
        <v>8012</v>
      </c>
      <c r="Q1613" s="40" t="s">
        <v>8013</v>
      </c>
      <c r="R1613" s="40" t="s">
        <v>494</v>
      </c>
      <c r="S1613" s="40" t="s">
        <v>502</v>
      </c>
      <c r="T1613" s="40" t="s">
        <v>289</v>
      </c>
      <c r="U1613" s="40" t="s">
        <v>8014</v>
      </c>
      <c r="V1613" s="40"/>
      <c r="W1613" s="40" t="s">
        <v>8015</v>
      </c>
    </row>
    <row r="1614" spans="1:23" ht="12" x14ac:dyDescent="0.2">
      <c r="A1614" s="39" t="s">
        <v>337</v>
      </c>
      <c r="B1614" s="40" t="s">
        <v>336</v>
      </c>
      <c r="C1614" s="40" t="s">
        <v>8016</v>
      </c>
      <c r="D1614" s="41">
        <v>46086</v>
      </c>
      <c r="E1614" s="41">
        <v>46116</v>
      </c>
      <c r="F1614" s="41">
        <v>46091</v>
      </c>
      <c r="G1614" s="42">
        <v>-25</v>
      </c>
      <c r="H1614" s="40" t="s">
        <v>556</v>
      </c>
      <c r="I1614" s="39" t="s">
        <v>320</v>
      </c>
      <c r="J1614" s="43">
        <v>51129.84</v>
      </c>
      <c r="K1614" s="43">
        <v>0</v>
      </c>
      <c r="L1614" s="43">
        <v>51129.84</v>
      </c>
      <c r="M1614" s="44">
        <v>0</v>
      </c>
      <c r="N1614" s="44">
        <f t="shared" si="25"/>
        <v>51129.84</v>
      </c>
      <c r="O1614" s="44">
        <v>51129.84</v>
      </c>
      <c r="P1614" s="40" t="s">
        <v>8012</v>
      </c>
      <c r="Q1614" s="40" t="s">
        <v>8013</v>
      </c>
      <c r="R1614" s="40" t="s">
        <v>494</v>
      </c>
      <c r="S1614" s="40" t="s">
        <v>502</v>
      </c>
      <c r="T1614" s="40" t="s">
        <v>289</v>
      </c>
      <c r="U1614" s="40" t="s">
        <v>8014</v>
      </c>
      <c r="V1614" s="40"/>
      <c r="W1614" s="40" t="s">
        <v>8015</v>
      </c>
    </row>
    <row r="1615" spans="1:23" ht="12" x14ac:dyDescent="0.2">
      <c r="A1615" s="39" t="s">
        <v>1896</v>
      </c>
      <c r="B1615" s="40" t="s">
        <v>1897</v>
      </c>
      <c r="C1615" s="40" t="s">
        <v>8017</v>
      </c>
      <c r="D1615" s="41">
        <v>46086</v>
      </c>
      <c r="E1615" s="41">
        <v>46116</v>
      </c>
      <c r="F1615" s="41">
        <v>46091</v>
      </c>
      <c r="G1615" s="42">
        <v>-25</v>
      </c>
      <c r="H1615" s="40" t="s">
        <v>556</v>
      </c>
      <c r="I1615" s="39" t="s">
        <v>320</v>
      </c>
      <c r="J1615" s="43">
        <v>160448.01999999999</v>
      </c>
      <c r="K1615" s="43">
        <v>0</v>
      </c>
      <c r="L1615" s="43">
        <v>160448.01999999999</v>
      </c>
      <c r="M1615" s="44">
        <v>0</v>
      </c>
      <c r="N1615" s="44">
        <f t="shared" si="25"/>
        <v>160448.01999999999</v>
      </c>
      <c r="O1615" s="44">
        <v>160448.01999999999</v>
      </c>
      <c r="P1615" s="40" t="s">
        <v>3580</v>
      </c>
      <c r="Q1615" s="40" t="s">
        <v>3581</v>
      </c>
      <c r="R1615" s="40" t="s">
        <v>494</v>
      </c>
      <c r="S1615" s="40" t="s">
        <v>502</v>
      </c>
      <c r="T1615" s="40" t="s">
        <v>534</v>
      </c>
      <c r="U1615" s="40" t="s">
        <v>3582</v>
      </c>
      <c r="V1615" s="40"/>
      <c r="W1615" s="40" t="s">
        <v>3583</v>
      </c>
    </row>
    <row r="1616" spans="1:23" ht="12" x14ac:dyDescent="0.2">
      <c r="A1616" s="39" t="s">
        <v>54</v>
      </c>
      <c r="B1616" s="40" t="s">
        <v>455</v>
      </c>
      <c r="C1616" s="40" t="s">
        <v>8018</v>
      </c>
      <c r="D1616" s="41">
        <v>46087</v>
      </c>
      <c r="E1616" s="41">
        <v>46117</v>
      </c>
      <c r="F1616" s="41">
        <v>46091</v>
      </c>
      <c r="G1616" s="42">
        <v>-26</v>
      </c>
      <c r="H1616" s="40" t="s">
        <v>556</v>
      </c>
      <c r="I1616" s="39" t="s">
        <v>320</v>
      </c>
      <c r="J1616" s="43">
        <v>219.25</v>
      </c>
      <c r="K1616" s="43">
        <v>0</v>
      </c>
      <c r="L1616" s="43">
        <v>219.25</v>
      </c>
      <c r="M1616" s="44">
        <v>0</v>
      </c>
      <c r="N1616" s="44">
        <f t="shared" si="25"/>
        <v>219.25</v>
      </c>
      <c r="O1616" s="44">
        <v>219.25</v>
      </c>
      <c r="P1616" s="40" t="s">
        <v>8019</v>
      </c>
      <c r="Q1616" s="40" t="s">
        <v>8020</v>
      </c>
      <c r="R1616" s="40" t="s">
        <v>494</v>
      </c>
      <c r="S1616" s="40" t="s">
        <v>502</v>
      </c>
      <c r="T1616" s="40" t="s">
        <v>218</v>
      </c>
      <c r="U1616" s="40" t="s">
        <v>1166</v>
      </c>
      <c r="V1616" s="40"/>
      <c r="W1616" s="40" t="s">
        <v>8021</v>
      </c>
    </row>
    <row r="1617" spans="1:23" ht="12" x14ac:dyDescent="0.2">
      <c r="A1617" s="39" t="s">
        <v>1070</v>
      </c>
      <c r="B1617" s="40" t="s">
        <v>364</v>
      </c>
      <c r="C1617" s="40" t="s">
        <v>8022</v>
      </c>
      <c r="D1617" s="41">
        <v>46087</v>
      </c>
      <c r="E1617" s="41">
        <v>46117</v>
      </c>
      <c r="F1617" s="41">
        <v>46091</v>
      </c>
      <c r="G1617" s="42">
        <v>-26</v>
      </c>
      <c r="H1617" s="40" t="s">
        <v>556</v>
      </c>
      <c r="I1617" s="39" t="s">
        <v>320</v>
      </c>
      <c r="J1617" s="43">
        <v>156690.85</v>
      </c>
      <c r="K1617" s="43">
        <v>0</v>
      </c>
      <c r="L1617" s="43">
        <v>156690.85</v>
      </c>
      <c r="M1617" s="44">
        <v>0</v>
      </c>
      <c r="N1617" s="44">
        <f t="shared" si="25"/>
        <v>156690.85</v>
      </c>
      <c r="O1617" s="44">
        <v>156690.85</v>
      </c>
      <c r="P1617" s="40" t="s">
        <v>3413</v>
      </c>
      <c r="Q1617" s="40" t="s">
        <v>3414</v>
      </c>
      <c r="R1617" s="40" t="s">
        <v>494</v>
      </c>
      <c r="S1617" s="40" t="s">
        <v>502</v>
      </c>
      <c r="T1617" s="40" t="s">
        <v>535</v>
      </c>
      <c r="U1617" s="40" t="s">
        <v>939</v>
      </c>
      <c r="V1617" s="40"/>
      <c r="W1617" s="40" t="s">
        <v>3415</v>
      </c>
    </row>
    <row r="1618" spans="1:23" ht="12" x14ac:dyDescent="0.2">
      <c r="A1618" s="39" t="s">
        <v>2321</v>
      </c>
      <c r="B1618" s="40" t="s">
        <v>2322</v>
      </c>
      <c r="C1618" s="40" t="s">
        <v>8023</v>
      </c>
      <c r="D1618" s="41">
        <v>46087</v>
      </c>
      <c r="E1618" s="41">
        <v>46117</v>
      </c>
      <c r="F1618" s="41">
        <v>46091</v>
      </c>
      <c r="G1618" s="42">
        <v>-26</v>
      </c>
      <c r="H1618" s="40" t="s">
        <v>556</v>
      </c>
      <c r="I1618" s="39" t="s">
        <v>320</v>
      </c>
      <c r="J1618" s="43">
        <v>45187</v>
      </c>
      <c r="K1618" s="43">
        <v>0</v>
      </c>
      <c r="L1618" s="43">
        <v>45187</v>
      </c>
      <c r="M1618" s="44">
        <v>0</v>
      </c>
      <c r="N1618" s="44">
        <f t="shared" si="25"/>
        <v>45187</v>
      </c>
      <c r="O1618" s="44">
        <v>45187</v>
      </c>
      <c r="P1618" s="40" t="s">
        <v>3468</v>
      </c>
      <c r="Q1618" s="40" t="s">
        <v>3469</v>
      </c>
      <c r="R1618" s="40" t="s">
        <v>494</v>
      </c>
      <c r="S1618" s="40" t="s">
        <v>502</v>
      </c>
      <c r="T1618" s="40" t="s">
        <v>218</v>
      </c>
      <c r="U1618" s="40" t="s">
        <v>1722</v>
      </c>
      <c r="V1618" s="40"/>
      <c r="W1618" s="40" t="s">
        <v>3470</v>
      </c>
    </row>
    <row r="1619" spans="1:23" ht="12" x14ac:dyDescent="0.2">
      <c r="A1619" s="39" t="s">
        <v>1070</v>
      </c>
      <c r="B1619" s="40" t="s">
        <v>364</v>
      </c>
      <c r="C1619" s="40" t="s">
        <v>8024</v>
      </c>
      <c r="D1619" s="41">
        <v>46087</v>
      </c>
      <c r="E1619" s="41">
        <v>46117</v>
      </c>
      <c r="F1619" s="41">
        <v>46091</v>
      </c>
      <c r="G1619" s="42">
        <v>-26</v>
      </c>
      <c r="H1619" s="40" t="s">
        <v>556</v>
      </c>
      <c r="I1619" s="39" t="s">
        <v>320</v>
      </c>
      <c r="J1619" s="43">
        <v>11736.74</v>
      </c>
      <c r="K1619" s="43">
        <v>0</v>
      </c>
      <c r="L1619" s="43">
        <v>11736.74</v>
      </c>
      <c r="M1619" s="44">
        <v>0</v>
      </c>
      <c r="N1619" s="44">
        <f t="shared" si="25"/>
        <v>11736.74</v>
      </c>
      <c r="O1619" s="44">
        <v>11736.74</v>
      </c>
      <c r="P1619" s="40" t="s">
        <v>3713</v>
      </c>
      <c r="Q1619" s="40" t="s">
        <v>3714</v>
      </c>
      <c r="R1619" s="40" t="s">
        <v>494</v>
      </c>
      <c r="S1619" s="40" t="s">
        <v>502</v>
      </c>
      <c r="T1619" s="40" t="s">
        <v>218</v>
      </c>
      <c r="U1619" s="40" t="s">
        <v>1280</v>
      </c>
      <c r="V1619" s="40"/>
      <c r="W1619" s="40" t="s">
        <v>4063</v>
      </c>
    </row>
    <row r="1620" spans="1:23" ht="12" x14ac:dyDescent="0.2">
      <c r="A1620" s="39" t="s">
        <v>3163</v>
      </c>
      <c r="B1620" s="40" t="s">
        <v>3164</v>
      </c>
      <c r="C1620" s="40" t="s">
        <v>8025</v>
      </c>
      <c r="D1620" s="41">
        <v>46087</v>
      </c>
      <c r="E1620" s="41">
        <v>46117</v>
      </c>
      <c r="F1620" s="41">
        <v>46091</v>
      </c>
      <c r="G1620" s="42">
        <v>-26</v>
      </c>
      <c r="H1620" s="40" t="s">
        <v>556</v>
      </c>
      <c r="I1620" s="39" t="s">
        <v>320</v>
      </c>
      <c r="J1620" s="43">
        <v>1423.32</v>
      </c>
      <c r="K1620" s="43">
        <v>0</v>
      </c>
      <c r="L1620" s="43">
        <v>1423.32</v>
      </c>
      <c r="M1620" s="44">
        <v>0</v>
      </c>
      <c r="N1620" s="44">
        <f t="shared" si="25"/>
        <v>1423.32</v>
      </c>
      <c r="O1620" s="44">
        <v>1423.32</v>
      </c>
      <c r="P1620" s="40" t="s">
        <v>8026</v>
      </c>
      <c r="Q1620" s="40" t="s">
        <v>8027</v>
      </c>
      <c r="R1620" s="40" t="s">
        <v>494</v>
      </c>
      <c r="S1620" s="40" t="s">
        <v>502</v>
      </c>
      <c r="T1620" s="40" t="s">
        <v>218</v>
      </c>
      <c r="U1620" s="40" t="s">
        <v>8028</v>
      </c>
      <c r="V1620" s="40"/>
      <c r="W1620" s="40" t="s">
        <v>8029</v>
      </c>
    </row>
    <row r="1621" spans="1:23" ht="12" x14ac:dyDescent="0.2">
      <c r="A1621" s="39" t="s">
        <v>8030</v>
      </c>
      <c r="B1621" s="40" t="s">
        <v>8031</v>
      </c>
      <c r="C1621" s="40" t="s">
        <v>8032</v>
      </c>
      <c r="D1621" s="41">
        <v>46087</v>
      </c>
      <c r="E1621" s="41">
        <v>46117</v>
      </c>
      <c r="F1621" s="41">
        <v>46091</v>
      </c>
      <c r="G1621" s="42">
        <v>-26</v>
      </c>
      <c r="H1621" s="40" t="s">
        <v>556</v>
      </c>
      <c r="I1621" s="39" t="s">
        <v>323</v>
      </c>
      <c r="J1621" s="43">
        <v>205000</v>
      </c>
      <c r="K1621" s="43">
        <v>0</v>
      </c>
      <c r="L1621" s="43">
        <v>205000</v>
      </c>
      <c r="M1621" s="44">
        <v>0</v>
      </c>
      <c r="N1621" s="44">
        <f t="shared" si="25"/>
        <v>151851.85</v>
      </c>
      <c r="O1621" s="44">
        <v>151851.85</v>
      </c>
      <c r="P1621" s="40" t="s">
        <v>8033</v>
      </c>
      <c r="Q1621" s="40" t="s">
        <v>8034</v>
      </c>
      <c r="R1621" s="40" t="s">
        <v>494</v>
      </c>
      <c r="S1621" s="40" t="s">
        <v>502</v>
      </c>
      <c r="T1621" s="40" t="s">
        <v>203</v>
      </c>
      <c r="U1621" s="40" t="s">
        <v>1190</v>
      </c>
      <c r="V1621" s="40"/>
      <c r="W1621" s="40"/>
    </row>
    <row r="1622" spans="1:23" ht="12" x14ac:dyDescent="0.2">
      <c r="A1622" s="39" t="s">
        <v>5704</v>
      </c>
      <c r="B1622" s="40" t="s">
        <v>5705</v>
      </c>
      <c r="C1622" s="40" t="s">
        <v>8035</v>
      </c>
      <c r="D1622" s="41">
        <v>46087</v>
      </c>
      <c r="E1622" s="41">
        <v>46117</v>
      </c>
      <c r="F1622" s="41">
        <v>46091</v>
      </c>
      <c r="G1622" s="42">
        <v>-26</v>
      </c>
      <c r="H1622" s="40" t="s">
        <v>556</v>
      </c>
      <c r="I1622" s="39" t="s">
        <v>320</v>
      </c>
      <c r="J1622" s="43">
        <v>30002.76</v>
      </c>
      <c r="K1622" s="43">
        <v>0</v>
      </c>
      <c r="L1622" s="43">
        <v>30002.76</v>
      </c>
      <c r="M1622" s="44">
        <v>0</v>
      </c>
      <c r="N1622" s="44">
        <f t="shared" si="25"/>
        <v>30002.76</v>
      </c>
      <c r="O1622" s="44">
        <v>30002.76</v>
      </c>
      <c r="P1622" s="40" t="s">
        <v>5911</v>
      </c>
      <c r="Q1622" s="40" t="s">
        <v>5912</v>
      </c>
      <c r="R1622" s="40" t="s">
        <v>494</v>
      </c>
      <c r="S1622" s="40" t="s">
        <v>502</v>
      </c>
      <c r="T1622" s="40" t="s">
        <v>218</v>
      </c>
      <c r="U1622" s="40" t="s">
        <v>1157</v>
      </c>
      <c r="V1622" s="40"/>
      <c r="W1622" s="40" t="s">
        <v>5913</v>
      </c>
    </row>
    <row r="1623" spans="1:23" ht="12" x14ac:dyDescent="0.2">
      <c r="A1623" s="39" t="s">
        <v>2178</v>
      </c>
      <c r="B1623" s="40" t="s">
        <v>2179</v>
      </c>
      <c r="C1623" s="40" t="s">
        <v>8036</v>
      </c>
      <c r="D1623" s="41">
        <v>46087</v>
      </c>
      <c r="E1623" s="41">
        <v>46117</v>
      </c>
      <c r="F1623" s="41">
        <v>46091</v>
      </c>
      <c r="G1623" s="42">
        <v>-26</v>
      </c>
      <c r="H1623" s="40" t="s">
        <v>556</v>
      </c>
      <c r="I1623" s="39" t="s">
        <v>320</v>
      </c>
      <c r="J1623" s="43">
        <v>35825.370000000003</v>
      </c>
      <c r="K1623" s="43">
        <v>0</v>
      </c>
      <c r="L1623" s="43">
        <v>35825.370000000003</v>
      </c>
      <c r="M1623" s="44">
        <v>0</v>
      </c>
      <c r="N1623" s="44">
        <f t="shared" si="25"/>
        <v>35825.370000000003</v>
      </c>
      <c r="O1623" s="44">
        <v>35825.370000000003</v>
      </c>
      <c r="P1623" s="40" t="s">
        <v>8037</v>
      </c>
      <c r="Q1623" s="40" t="s">
        <v>8038</v>
      </c>
      <c r="R1623" s="40" t="s">
        <v>494</v>
      </c>
      <c r="S1623" s="40" t="s">
        <v>502</v>
      </c>
      <c r="T1623" s="40" t="s">
        <v>8039</v>
      </c>
      <c r="U1623" s="40" t="s">
        <v>8040</v>
      </c>
      <c r="V1623" s="40"/>
      <c r="W1623" s="40" t="s">
        <v>8041</v>
      </c>
    </row>
    <row r="1624" spans="1:23" ht="12" x14ac:dyDescent="0.2">
      <c r="A1624" s="39" t="s">
        <v>337</v>
      </c>
      <c r="B1624" s="40" t="s">
        <v>336</v>
      </c>
      <c r="C1624" s="40" t="s">
        <v>8042</v>
      </c>
      <c r="D1624" s="41">
        <v>46087</v>
      </c>
      <c r="E1624" s="41">
        <v>46117</v>
      </c>
      <c r="F1624" s="41">
        <v>46091</v>
      </c>
      <c r="G1624" s="42">
        <v>-26</v>
      </c>
      <c r="H1624" s="40" t="s">
        <v>556</v>
      </c>
      <c r="I1624" s="39" t="s">
        <v>320</v>
      </c>
      <c r="J1624" s="43">
        <v>24267.52</v>
      </c>
      <c r="K1624" s="43">
        <v>0</v>
      </c>
      <c r="L1624" s="43">
        <v>24267.52</v>
      </c>
      <c r="M1624" s="44">
        <v>0</v>
      </c>
      <c r="N1624" s="44">
        <f t="shared" si="25"/>
        <v>24267.52</v>
      </c>
      <c r="O1624" s="44">
        <v>24267.52</v>
      </c>
      <c r="P1624" s="40" t="s">
        <v>1746</v>
      </c>
      <c r="Q1624" s="40" t="s">
        <v>1747</v>
      </c>
      <c r="R1624" s="40" t="s">
        <v>494</v>
      </c>
      <c r="S1624" s="40" t="s">
        <v>502</v>
      </c>
      <c r="T1624" s="40" t="s">
        <v>289</v>
      </c>
      <c r="U1624" s="40" t="s">
        <v>5529</v>
      </c>
      <c r="V1624" s="40" t="s">
        <v>3880</v>
      </c>
      <c r="W1624" s="40" t="s">
        <v>1749</v>
      </c>
    </row>
    <row r="1625" spans="1:23" ht="12" x14ac:dyDescent="0.2">
      <c r="A1625" s="39" t="s">
        <v>778</v>
      </c>
      <c r="B1625" s="40" t="s">
        <v>779</v>
      </c>
      <c r="C1625" s="40" t="s">
        <v>8043</v>
      </c>
      <c r="D1625" s="41">
        <v>46087</v>
      </c>
      <c r="E1625" s="41">
        <v>46117</v>
      </c>
      <c r="F1625" s="41">
        <v>46091</v>
      </c>
      <c r="G1625" s="42">
        <v>-26</v>
      </c>
      <c r="H1625" s="40" t="s">
        <v>556</v>
      </c>
      <c r="I1625" s="39" t="s">
        <v>320</v>
      </c>
      <c r="J1625" s="43">
        <v>16632.93</v>
      </c>
      <c r="K1625" s="43">
        <v>0</v>
      </c>
      <c r="L1625" s="43">
        <v>16632.93</v>
      </c>
      <c r="M1625" s="44">
        <v>0</v>
      </c>
      <c r="N1625" s="44">
        <f t="shared" si="25"/>
        <v>16632.93</v>
      </c>
      <c r="O1625" s="44">
        <v>16632.93</v>
      </c>
      <c r="P1625" s="40" t="s">
        <v>3409</v>
      </c>
      <c r="Q1625" s="40" t="s">
        <v>3410</v>
      </c>
      <c r="R1625" s="40" t="s">
        <v>494</v>
      </c>
      <c r="S1625" s="40" t="s">
        <v>502</v>
      </c>
      <c r="T1625" s="40" t="s">
        <v>287</v>
      </c>
      <c r="U1625" s="40" t="s">
        <v>3411</v>
      </c>
      <c r="V1625" s="40"/>
      <c r="W1625" s="40" t="s">
        <v>3412</v>
      </c>
    </row>
    <row r="1626" spans="1:23" ht="12" x14ac:dyDescent="0.2">
      <c r="A1626" s="39" t="s">
        <v>31</v>
      </c>
      <c r="B1626" s="40" t="s">
        <v>353</v>
      </c>
      <c r="C1626" s="40" t="s">
        <v>8044</v>
      </c>
      <c r="D1626" s="41">
        <v>46087</v>
      </c>
      <c r="E1626" s="41">
        <v>46117</v>
      </c>
      <c r="F1626" s="41">
        <v>46091</v>
      </c>
      <c r="G1626" s="42">
        <v>-26</v>
      </c>
      <c r="H1626" s="40" t="s">
        <v>556</v>
      </c>
      <c r="I1626" s="39" t="s">
        <v>320</v>
      </c>
      <c r="J1626" s="43">
        <v>26120.12</v>
      </c>
      <c r="K1626" s="43">
        <v>0</v>
      </c>
      <c r="L1626" s="43">
        <v>26120.12</v>
      </c>
      <c r="M1626" s="44">
        <v>0</v>
      </c>
      <c r="N1626" s="44">
        <f t="shared" si="25"/>
        <v>26120.12</v>
      </c>
      <c r="O1626" s="44">
        <v>26120.12</v>
      </c>
      <c r="P1626" s="40" t="s">
        <v>8045</v>
      </c>
      <c r="Q1626" s="40" t="s">
        <v>8046</v>
      </c>
      <c r="R1626" s="40" t="s">
        <v>494</v>
      </c>
      <c r="S1626" s="40" t="s">
        <v>502</v>
      </c>
      <c r="T1626" s="40" t="s">
        <v>218</v>
      </c>
      <c r="U1626" s="40" t="s">
        <v>2395</v>
      </c>
      <c r="V1626" s="40"/>
      <c r="W1626" s="40" t="s">
        <v>8047</v>
      </c>
    </row>
    <row r="1627" spans="1:23" ht="12" x14ac:dyDescent="0.2">
      <c r="A1627" s="39" t="s">
        <v>2178</v>
      </c>
      <c r="B1627" s="40" t="s">
        <v>2179</v>
      </c>
      <c r="C1627" s="40" t="s">
        <v>8048</v>
      </c>
      <c r="D1627" s="41">
        <v>46087</v>
      </c>
      <c r="E1627" s="41">
        <v>46117</v>
      </c>
      <c r="F1627" s="41">
        <v>46091</v>
      </c>
      <c r="G1627" s="42">
        <v>-26</v>
      </c>
      <c r="H1627" s="40" t="s">
        <v>556</v>
      </c>
      <c r="I1627" s="39" t="s">
        <v>320</v>
      </c>
      <c r="J1627" s="43">
        <v>17770.77</v>
      </c>
      <c r="K1627" s="43">
        <v>0</v>
      </c>
      <c r="L1627" s="43">
        <v>17770.77</v>
      </c>
      <c r="M1627" s="44">
        <v>0</v>
      </c>
      <c r="N1627" s="44">
        <f t="shared" si="25"/>
        <v>17770.77</v>
      </c>
      <c r="O1627" s="44">
        <v>17770.77</v>
      </c>
      <c r="P1627" s="40" t="s">
        <v>8049</v>
      </c>
      <c r="Q1627" s="40" t="s">
        <v>8050</v>
      </c>
      <c r="R1627" s="40" t="s">
        <v>494</v>
      </c>
      <c r="S1627" s="40" t="s">
        <v>502</v>
      </c>
      <c r="T1627" s="40" t="s">
        <v>512</v>
      </c>
      <c r="U1627" s="40" t="s">
        <v>8051</v>
      </c>
      <c r="V1627" s="40"/>
      <c r="W1627" s="40" t="s">
        <v>8052</v>
      </c>
    </row>
    <row r="1628" spans="1:23" ht="12" x14ac:dyDescent="0.2">
      <c r="A1628" s="39" t="s">
        <v>2922</v>
      </c>
      <c r="B1628" s="40" t="s">
        <v>2923</v>
      </c>
      <c r="C1628" s="40" t="s">
        <v>8053</v>
      </c>
      <c r="D1628" s="41">
        <v>46087</v>
      </c>
      <c r="E1628" s="41">
        <v>46117</v>
      </c>
      <c r="F1628" s="41">
        <v>46091</v>
      </c>
      <c r="G1628" s="42">
        <v>-26</v>
      </c>
      <c r="H1628" s="40" t="s">
        <v>556</v>
      </c>
      <c r="I1628" s="39" t="s">
        <v>320</v>
      </c>
      <c r="J1628" s="43">
        <v>109041.95</v>
      </c>
      <c r="K1628" s="43">
        <v>0</v>
      </c>
      <c r="L1628" s="43">
        <v>109041.95</v>
      </c>
      <c r="M1628" s="44">
        <v>0</v>
      </c>
      <c r="N1628" s="44">
        <f t="shared" si="25"/>
        <v>109041.95</v>
      </c>
      <c r="O1628" s="44">
        <v>109041.95</v>
      </c>
      <c r="P1628" s="40" t="s">
        <v>3519</v>
      </c>
      <c r="Q1628" s="40" t="s">
        <v>3520</v>
      </c>
      <c r="R1628" s="40" t="s">
        <v>494</v>
      </c>
      <c r="S1628" s="40" t="s">
        <v>502</v>
      </c>
      <c r="T1628" s="40" t="s">
        <v>203</v>
      </c>
      <c r="U1628" s="40" t="s">
        <v>1190</v>
      </c>
      <c r="V1628" s="40"/>
      <c r="W1628" s="40" t="s">
        <v>321</v>
      </c>
    </row>
    <row r="1629" spans="1:23" ht="12" x14ac:dyDescent="0.2">
      <c r="A1629" s="39" t="s">
        <v>8054</v>
      </c>
      <c r="B1629" s="40" t="s">
        <v>8055</v>
      </c>
      <c r="C1629" s="40" t="s">
        <v>8056</v>
      </c>
      <c r="D1629" s="41">
        <v>46087</v>
      </c>
      <c r="E1629" s="41">
        <v>46117</v>
      </c>
      <c r="F1629" s="41">
        <v>46091</v>
      </c>
      <c r="G1629" s="42">
        <v>-26</v>
      </c>
      <c r="H1629" s="40" t="s">
        <v>556</v>
      </c>
      <c r="I1629" s="39" t="s">
        <v>8057</v>
      </c>
      <c r="J1629" s="43">
        <v>250000.02</v>
      </c>
      <c r="K1629" s="43">
        <v>0</v>
      </c>
      <c r="L1629" s="43">
        <v>250000.02</v>
      </c>
      <c r="M1629" s="44">
        <v>0</v>
      </c>
      <c r="N1629" s="44">
        <f t="shared" si="25"/>
        <v>24394.53</v>
      </c>
      <c r="O1629" s="44">
        <v>24394.53</v>
      </c>
      <c r="P1629" s="40" t="s">
        <v>8058</v>
      </c>
      <c r="Q1629" s="40" t="s">
        <v>8059</v>
      </c>
      <c r="R1629" s="40" t="s">
        <v>494</v>
      </c>
      <c r="S1629" s="40" t="s">
        <v>502</v>
      </c>
      <c r="T1629" s="40" t="s">
        <v>507</v>
      </c>
      <c r="U1629" s="40" t="s">
        <v>8060</v>
      </c>
      <c r="V1629" s="40"/>
      <c r="W1629" s="40" t="s">
        <v>8061</v>
      </c>
    </row>
    <row r="1630" spans="1:23" ht="12" x14ac:dyDescent="0.2">
      <c r="A1630" s="39" t="s">
        <v>8062</v>
      </c>
      <c r="B1630" s="40" t="s">
        <v>8063</v>
      </c>
      <c r="C1630" s="40" t="s">
        <v>8064</v>
      </c>
      <c r="D1630" s="41">
        <v>46087</v>
      </c>
      <c r="E1630" s="41">
        <v>46117</v>
      </c>
      <c r="F1630" s="41">
        <v>46091</v>
      </c>
      <c r="G1630" s="42">
        <v>-26</v>
      </c>
      <c r="H1630" s="40" t="s">
        <v>556</v>
      </c>
      <c r="I1630" s="39" t="s">
        <v>320</v>
      </c>
      <c r="J1630" s="43">
        <v>538603.78</v>
      </c>
      <c r="K1630" s="43">
        <v>89767.3</v>
      </c>
      <c r="L1630" s="43">
        <v>538603.78</v>
      </c>
      <c r="M1630" s="44">
        <v>89767.3</v>
      </c>
      <c r="N1630" s="44">
        <f t="shared" si="25"/>
        <v>448836.48000000004</v>
      </c>
      <c r="O1630" s="44">
        <v>538603.78</v>
      </c>
      <c r="P1630" s="40" t="s">
        <v>8065</v>
      </c>
      <c r="Q1630" s="40" t="s">
        <v>8066</v>
      </c>
      <c r="R1630" s="40" t="s">
        <v>494</v>
      </c>
      <c r="S1630" s="40" t="s">
        <v>502</v>
      </c>
      <c r="T1630" s="40" t="s">
        <v>165</v>
      </c>
      <c r="U1630" s="40" t="s">
        <v>1628</v>
      </c>
      <c r="V1630" s="40"/>
      <c r="W1630" s="40"/>
    </row>
    <row r="1631" spans="1:23" ht="12" x14ac:dyDescent="0.2">
      <c r="A1631" s="39" t="s">
        <v>1718</v>
      </c>
      <c r="B1631" s="40" t="s">
        <v>1394</v>
      </c>
      <c r="C1631" s="40" t="s">
        <v>8067</v>
      </c>
      <c r="D1631" s="41">
        <v>46087</v>
      </c>
      <c r="E1631" s="41">
        <v>46117</v>
      </c>
      <c r="F1631" s="41">
        <v>46091</v>
      </c>
      <c r="G1631" s="42">
        <v>-26</v>
      </c>
      <c r="H1631" s="40" t="s">
        <v>556</v>
      </c>
      <c r="I1631" s="39" t="s">
        <v>323</v>
      </c>
      <c r="J1631" s="43">
        <v>17923.18</v>
      </c>
      <c r="K1631" s="43">
        <v>0</v>
      </c>
      <c r="L1631" s="43">
        <v>17923.18</v>
      </c>
      <c r="M1631" s="44">
        <v>0</v>
      </c>
      <c r="N1631" s="44">
        <f t="shared" si="25"/>
        <v>14338.54</v>
      </c>
      <c r="O1631" s="44">
        <v>14338.54</v>
      </c>
      <c r="P1631" s="40" t="s">
        <v>1991</v>
      </c>
      <c r="Q1631" s="40" t="s">
        <v>1992</v>
      </c>
      <c r="R1631" s="40" t="s">
        <v>494</v>
      </c>
      <c r="S1631" s="40" t="s">
        <v>495</v>
      </c>
      <c r="T1631" s="40" t="s">
        <v>178</v>
      </c>
      <c r="U1631" s="40" t="s">
        <v>1993</v>
      </c>
      <c r="V1631" s="40"/>
      <c r="W1631" s="40" t="s">
        <v>1994</v>
      </c>
    </row>
    <row r="1632" spans="1:23" ht="12" x14ac:dyDescent="0.2">
      <c r="A1632" s="39" t="s">
        <v>44</v>
      </c>
      <c r="B1632" s="40" t="s">
        <v>345</v>
      </c>
      <c r="C1632" s="40" t="s">
        <v>8068</v>
      </c>
      <c r="D1632" s="41">
        <v>46087</v>
      </c>
      <c r="E1632" s="41">
        <v>46117</v>
      </c>
      <c r="F1632" s="41">
        <v>46091</v>
      </c>
      <c r="G1632" s="42">
        <v>-26</v>
      </c>
      <c r="H1632" s="40" t="s">
        <v>556</v>
      </c>
      <c r="I1632" s="39" t="s">
        <v>320</v>
      </c>
      <c r="J1632" s="43">
        <v>2141927.23</v>
      </c>
      <c r="K1632" s="43">
        <v>0</v>
      </c>
      <c r="L1632" s="43">
        <v>2141927.23</v>
      </c>
      <c r="M1632" s="44">
        <v>0</v>
      </c>
      <c r="N1632" s="44">
        <f t="shared" si="25"/>
        <v>2141927.23</v>
      </c>
      <c r="O1632" s="44">
        <v>2141927.23</v>
      </c>
      <c r="P1632" s="40" t="s">
        <v>8069</v>
      </c>
      <c r="Q1632" s="40" t="s">
        <v>8070</v>
      </c>
      <c r="R1632" s="40" t="s">
        <v>494</v>
      </c>
      <c r="S1632" s="40" t="s">
        <v>495</v>
      </c>
      <c r="T1632" s="40" t="s">
        <v>773</v>
      </c>
      <c r="U1632" s="40" t="s">
        <v>576</v>
      </c>
      <c r="V1632" s="40"/>
      <c r="W1632" s="40" t="s">
        <v>8071</v>
      </c>
    </row>
    <row r="1633" spans="1:23" ht="12" x14ac:dyDescent="0.2">
      <c r="A1633" s="39" t="s">
        <v>357</v>
      </c>
      <c r="B1633" s="40" t="s">
        <v>356</v>
      </c>
      <c r="C1633" s="40" t="s">
        <v>8072</v>
      </c>
      <c r="D1633" s="41">
        <v>46087</v>
      </c>
      <c r="E1633" s="41">
        <v>46117</v>
      </c>
      <c r="F1633" s="41">
        <v>46091</v>
      </c>
      <c r="G1633" s="42">
        <v>-26</v>
      </c>
      <c r="H1633" s="40" t="s">
        <v>556</v>
      </c>
      <c r="I1633" s="39" t="s">
        <v>341</v>
      </c>
      <c r="J1633" s="43">
        <v>786204.43</v>
      </c>
      <c r="K1633" s="43">
        <v>0</v>
      </c>
      <c r="L1633" s="43">
        <v>786204.43</v>
      </c>
      <c r="M1633" s="44">
        <v>0</v>
      </c>
      <c r="N1633" s="44">
        <f t="shared" si="25"/>
        <v>666662.05000000005</v>
      </c>
      <c r="O1633" s="44">
        <v>666662.05000000005</v>
      </c>
      <c r="P1633" s="40" t="s">
        <v>4473</v>
      </c>
      <c r="Q1633" s="40" t="s">
        <v>4474</v>
      </c>
      <c r="R1633" s="40" t="s">
        <v>494</v>
      </c>
      <c r="S1633" s="40" t="s">
        <v>502</v>
      </c>
      <c r="T1633" s="40" t="s">
        <v>3817</v>
      </c>
      <c r="U1633" s="40" t="s">
        <v>4475</v>
      </c>
      <c r="V1633" s="40"/>
      <c r="W1633" s="40" t="s">
        <v>4477</v>
      </c>
    </row>
    <row r="1634" spans="1:23" ht="12" x14ac:dyDescent="0.2">
      <c r="A1634" s="39" t="s">
        <v>8073</v>
      </c>
      <c r="B1634" s="40" t="s">
        <v>8074</v>
      </c>
      <c r="C1634" s="40" t="s">
        <v>8075</v>
      </c>
      <c r="D1634" s="41">
        <v>46087</v>
      </c>
      <c r="E1634" s="41">
        <v>46117</v>
      </c>
      <c r="F1634" s="41">
        <v>46091</v>
      </c>
      <c r="G1634" s="42">
        <v>-26</v>
      </c>
      <c r="H1634" s="40" t="s">
        <v>556</v>
      </c>
      <c r="I1634" s="39" t="s">
        <v>320</v>
      </c>
      <c r="J1634" s="43">
        <v>83052.33</v>
      </c>
      <c r="K1634" s="43">
        <v>0</v>
      </c>
      <c r="L1634" s="43">
        <v>83052.33</v>
      </c>
      <c r="M1634" s="44">
        <v>0</v>
      </c>
      <c r="N1634" s="44">
        <f t="shared" si="25"/>
        <v>83052.33</v>
      </c>
      <c r="O1634" s="44">
        <v>83052.33</v>
      </c>
      <c r="P1634" s="40" t="s">
        <v>8076</v>
      </c>
      <c r="Q1634" s="40" t="s">
        <v>8077</v>
      </c>
      <c r="R1634" s="40" t="s">
        <v>494</v>
      </c>
      <c r="S1634" s="40" t="s">
        <v>502</v>
      </c>
      <c r="T1634" s="40" t="s">
        <v>169</v>
      </c>
      <c r="U1634" s="40" t="s">
        <v>8078</v>
      </c>
      <c r="V1634" s="40"/>
      <c r="W1634" s="40" t="s">
        <v>8079</v>
      </c>
    </row>
    <row r="1635" spans="1:23" ht="12" x14ac:dyDescent="0.2">
      <c r="A1635" s="39" t="s">
        <v>31</v>
      </c>
      <c r="B1635" s="40" t="s">
        <v>353</v>
      </c>
      <c r="C1635" s="40" t="s">
        <v>8080</v>
      </c>
      <c r="D1635" s="41">
        <v>46087</v>
      </c>
      <c r="E1635" s="41">
        <v>46117</v>
      </c>
      <c r="F1635" s="41">
        <v>46091</v>
      </c>
      <c r="G1635" s="42">
        <v>-26</v>
      </c>
      <c r="H1635" s="40" t="s">
        <v>556</v>
      </c>
      <c r="I1635" s="39" t="s">
        <v>320</v>
      </c>
      <c r="J1635" s="43">
        <v>45866.68</v>
      </c>
      <c r="K1635" s="43">
        <v>0</v>
      </c>
      <c r="L1635" s="43">
        <v>45866.68</v>
      </c>
      <c r="M1635" s="44">
        <v>0</v>
      </c>
      <c r="N1635" s="44">
        <f t="shared" si="25"/>
        <v>45866.68</v>
      </c>
      <c r="O1635" s="44">
        <v>45866.68</v>
      </c>
      <c r="P1635" s="40" t="s">
        <v>8081</v>
      </c>
      <c r="Q1635" s="40" t="s">
        <v>8082</v>
      </c>
      <c r="R1635" s="40" t="s">
        <v>494</v>
      </c>
      <c r="S1635" s="40" t="s">
        <v>495</v>
      </c>
      <c r="T1635" s="40" t="s">
        <v>218</v>
      </c>
      <c r="U1635" s="40" t="s">
        <v>4642</v>
      </c>
      <c r="V1635" s="40"/>
      <c r="W1635" s="40" t="s">
        <v>8083</v>
      </c>
    </row>
    <row r="1636" spans="1:23" ht="12" x14ac:dyDescent="0.2">
      <c r="A1636" s="39" t="s">
        <v>2178</v>
      </c>
      <c r="B1636" s="40" t="s">
        <v>2179</v>
      </c>
      <c r="C1636" s="40" t="s">
        <v>8084</v>
      </c>
      <c r="D1636" s="41">
        <v>46087</v>
      </c>
      <c r="E1636" s="41">
        <v>46117</v>
      </c>
      <c r="F1636" s="41">
        <v>46091</v>
      </c>
      <c r="G1636" s="42">
        <v>-26</v>
      </c>
      <c r="H1636" s="40" t="s">
        <v>556</v>
      </c>
      <c r="I1636" s="39" t="s">
        <v>320</v>
      </c>
      <c r="J1636" s="43">
        <v>14732.61</v>
      </c>
      <c r="K1636" s="43">
        <v>0</v>
      </c>
      <c r="L1636" s="43">
        <v>14732.61</v>
      </c>
      <c r="M1636" s="44">
        <v>0</v>
      </c>
      <c r="N1636" s="44">
        <f t="shared" si="25"/>
        <v>14732.61</v>
      </c>
      <c r="O1636" s="44">
        <v>14732.61</v>
      </c>
      <c r="P1636" s="40" t="s">
        <v>8085</v>
      </c>
      <c r="Q1636" s="40" t="s">
        <v>8086</v>
      </c>
      <c r="R1636" s="40" t="s">
        <v>494</v>
      </c>
      <c r="S1636" s="40" t="s">
        <v>502</v>
      </c>
      <c r="T1636" s="40" t="s">
        <v>180</v>
      </c>
      <c r="U1636" s="40" t="s">
        <v>8087</v>
      </c>
      <c r="V1636" s="40"/>
      <c r="W1636" s="40" t="s">
        <v>8088</v>
      </c>
    </row>
    <row r="1637" spans="1:23" ht="12" x14ac:dyDescent="0.2">
      <c r="A1637" s="39" t="s">
        <v>2178</v>
      </c>
      <c r="B1637" s="40" t="s">
        <v>2179</v>
      </c>
      <c r="C1637" s="40" t="s">
        <v>8089</v>
      </c>
      <c r="D1637" s="41">
        <v>46087</v>
      </c>
      <c r="E1637" s="41">
        <v>46117</v>
      </c>
      <c r="F1637" s="41">
        <v>46091</v>
      </c>
      <c r="G1637" s="42">
        <v>-26</v>
      </c>
      <c r="H1637" s="40" t="s">
        <v>556</v>
      </c>
      <c r="I1637" s="39" t="s">
        <v>320</v>
      </c>
      <c r="J1637" s="43">
        <v>49399.17</v>
      </c>
      <c r="K1637" s="43">
        <v>0</v>
      </c>
      <c r="L1637" s="43">
        <v>41357.14</v>
      </c>
      <c r="M1637" s="44">
        <v>0</v>
      </c>
      <c r="N1637" s="44">
        <f t="shared" si="25"/>
        <v>41357.14</v>
      </c>
      <c r="O1637" s="44">
        <v>41357.14</v>
      </c>
      <c r="P1637" s="40" t="s">
        <v>8090</v>
      </c>
      <c r="Q1637" s="40" t="s">
        <v>8091</v>
      </c>
      <c r="R1637" s="40" t="s">
        <v>494</v>
      </c>
      <c r="S1637" s="40" t="s">
        <v>502</v>
      </c>
      <c r="T1637" s="40" t="s">
        <v>496</v>
      </c>
      <c r="U1637" s="40" t="s">
        <v>5018</v>
      </c>
      <c r="V1637" s="40"/>
      <c r="W1637" s="40" t="s">
        <v>8092</v>
      </c>
    </row>
    <row r="1638" spans="1:23" ht="12" x14ac:dyDescent="0.2">
      <c r="A1638" s="39" t="s">
        <v>55</v>
      </c>
      <c r="B1638" s="40" t="s">
        <v>371</v>
      </c>
      <c r="C1638" s="40" t="s">
        <v>8093</v>
      </c>
      <c r="D1638" s="41">
        <v>46087</v>
      </c>
      <c r="E1638" s="41">
        <v>46117</v>
      </c>
      <c r="F1638" s="41">
        <v>46091</v>
      </c>
      <c r="G1638" s="42">
        <v>-26</v>
      </c>
      <c r="H1638" s="40" t="s">
        <v>556</v>
      </c>
      <c r="I1638" s="39" t="s">
        <v>320</v>
      </c>
      <c r="J1638" s="43">
        <v>12506.82</v>
      </c>
      <c r="K1638" s="43">
        <v>0</v>
      </c>
      <c r="L1638" s="43">
        <v>12506.82</v>
      </c>
      <c r="M1638" s="44">
        <v>0</v>
      </c>
      <c r="N1638" s="44">
        <f t="shared" si="25"/>
        <v>12506.82</v>
      </c>
      <c r="O1638" s="44">
        <v>12506.82</v>
      </c>
      <c r="P1638" s="40" t="s">
        <v>8094</v>
      </c>
      <c r="Q1638" s="40" t="s">
        <v>8095</v>
      </c>
      <c r="R1638" s="40" t="s">
        <v>494</v>
      </c>
      <c r="S1638" s="40" t="s">
        <v>502</v>
      </c>
      <c r="T1638" s="40" t="s">
        <v>287</v>
      </c>
      <c r="U1638" s="40" t="s">
        <v>8096</v>
      </c>
      <c r="V1638" s="40"/>
      <c r="W1638" s="40" t="s">
        <v>8097</v>
      </c>
    </row>
    <row r="1639" spans="1:23" ht="12" x14ac:dyDescent="0.2">
      <c r="A1639" s="39" t="s">
        <v>2178</v>
      </c>
      <c r="B1639" s="40" t="s">
        <v>2179</v>
      </c>
      <c r="C1639" s="40" t="s">
        <v>8098</v>
      </c>
      <c r="D1639" s="41">
        <v>46087</v>
      </c>
      <c r="E1639" s="41">
        <v>46117</v>
      </c>
      <c r="F1639" s="41">
        <v>46091</v>
      </c>
      <c r="G1639" s="42">
        <v>-26</v>
      </c>
      <c r="H1639" s="40" t="s">
        <v>556</v>
      </c>
      <c r="I1639" s="39" t="s">
        <v>320</v>
      </c>
      <c r="J1639" s="43">
        <v>35209.800000000003</v>
      </c>
      <c r="K1639" s="43">
        <v>0</v>
      </c>
      <c r="L1639" s="43">
        <v>35209.800000000003</v>
      </c>
      <c r="M1639" s="44">
        <v>0</v>
      </c>
      <c r="N1639" s="44">
        <f t="shared" si="25"/>
        <v>35209.800000000003</v>
      </c>
      <c r="O1639" s="44">
        <v>35209.800000000003</v>
      </c>
      <c r="P1639" s="40" t="s">
        <v>8099</v>
      </c>
      <c r="Q1639" s="40" t="s">
        <v>8100</v>
      </c>
      <c r="R1639" s="40" t="s">
        <v>494</v>
      </c>
      <c r="S1639" s="40" t="s">
        <v>502</v>
      </c>
      <c r="T1639" s="40" t="s">
        <v>163</v>
      </c>
      <c r="U1639" s="40" t="s">
        <v>5339</v>
      </c>
      <c r="V1639" s="40"/>
      <c r="W1639" s="40" t="s">
        <v>8101</v>
      </c>
    </row>
    <row r="1640" spans="1:23" ht="12" x14ac:dyDescent="0.2">
      <c r="A1640" s="39" t="s">
        <v>67</v>
      </c>
      <c r="B1640" s="40" t="s">
        <v>372</v>
      </c>
      <c r="C1640" s="40" t="s">
        <v>8102</v>
      </c>
      <c r="D1640" s="41">
        <v>46087</v>
      </c>
      <c r="E1640" s="41">
        <v>46117</v>
      </c>
      <c r="F1640" s="41">
        <v>46091</v>
      </c>
      <c r="G1640" s="42">
        <v>-26</v>
      </c>
      <c r="H1640" s="40" t="s">
        <v>556</v>
      </c>
      <c r="I1640" s="39" t="s">
        <v>320</v>
      </c>
      <c r="J1640" s="43">
        <v>-7980.33</v>
      </c>
      <c r="K1640" s="43">
        <v>0</v>
      </c>
      <c r="L1640" s="43">
        <v>-7980.33</v>
      </c>
      <c r="M1640" s="44">
        <v>0</v>
      </c>
      <c r="N1640" s="44">
        <f t="shared" si="25"/>
        <v>-7980.33</v>
      </c>
      <c r="O1640" s="44">
        <v>-7980.33</v>
      </c>
      <c r="P1640" s="40" t="s">
        <v>8103</v>
      </c>
      <c r="Q1640" s="40" t="s">
        <v>8104</v>
      </c>
      <c r="R1640" s="40" t="s">
        <v>494</v>
      </c>
      <c r="S1640" s="40" t="s">
        <v>495</v>
      </c>
      <c r="T1640" s="40" t="s">
        <v>733</v>
      </c>
      <c r="U1640" s="40" t="s">
        <v>8105</v>
      </c>
      <c r="V1640" s="40"/>
      <c r="W1640" s="40" t="s">
        <v>8106</v>
      </c>
    </row>
    <row r="1641" spans="1:23" ht="12" x14ac:dyDescent="0.2">
      <c r="A1641" s="39" t="s">
        <v>2178</v>
      </c>
      <c r="B1641" s="40" t="s">
        <v>2179</v>
      </c>
      <c r="C1641" s="40" t="s">
        <v>8107</v>
      </c>
      <c r="D1641" s="41">
        <v>46087</v>
      </c>
      <c r="E1641" s="41">
        <v>46117</v>
      </c>
      <c r="F1641" s="41">
        <v>46091</v>
      </c>
      <c r="G1641" s="42">
        <v>-26</v>
      </c>
      <c r="H1641" s="40" t="s">
        <v>556</v>
      </c>
      <c r="I1641" s="39" t="s">
        <v>320</v>
      </c>
      <c r="J1641" s="43">
        <v>13614.7</v>
      </c>
      <c r="K1641" s="43">
        <v>0</v>
      </c>
      <c r="L1641" s="43">
        <v>13614.7</v>
      </c>
      <c r="M1641" s="44">
        <v>0</v>
      </c>
      <c r="N1641" s="44">
        <f t="shared" si="25"/>
        <v>13614.7</v>
      </c>
      <c r="O1641" s="44">
        <v>13614.7</v>
      </c>
      <c r="P1641" s="40" t="s">
        <v>5113</v>
      </c>
      <c r="Q1641" s="40" t="s">
        <v>5114</v>
      </c>
      <c r="R1641" s="40" t="s">
        <v>494</v>
      </c>
      <c r="S1641" s="40" t="s">
        <v>502</v>
      </c>
      <c r="T1641" s="40" t="s">
        <v>185</v>
      </c>
      <c r="U1641" s="40" t="s">
        <v>1103</v>
      </c>
      <c r="V1641" s="40"/>
      <c r="W1641" s="40" t="s">
        <v>5115</v>
      </c>
    </row>
    <row r="1642" spans="1:23" ht="12" x14ac:dyDescent="0.2">
      <c r="A1642" s="39" t="s">
        <v>1591</v>
      </c>
      <c r="B1642" s="40" t="s">
        <v>1887</v>
      </c>
      <c r="C1642" s="40" t="s">
        <v>8108</v>
      </c>
      <c r="D1642" s="41">
        <v>46087</v>
      </c>
      <c r="E1642" s="41">
        <v>46117</v>
      </c>
      <c r="F1642" s="41">
        <v>46091</v>
      </c>
      <c r="G1642" s="42">
        <v>-26</v>
      </c>
      <c r="H1642" s="40" t="s">
        <v>556</v>
      </c>
      <c r="I1642" s="39" t="s">
        <v>320</v>
      </c>
      <c r="J1642" s="43">
        <v>8016.42</v>
      </c>
      <c r="K1642" s="43">
        <v>0</v>
      </c>
      <c r="L1642" s="43">
        <v>8016.42</v>
      </c>
      <c r="M1642" s="44">
        <v>0</v>
      </c>
      <c r="N1642" s="44">
        <f t="shared" si="25"/>
        <v>8016.42</v>
      </c>
      <c r="O1642" s="44">
        <v>8016.42</v>
      </c>
      <c r="P1642" s="40" t="s">
        <v>1888</v>
      </c>
      <c r="Q1642" s="40" t="s">
        <v>1889</v>
      </c>
      <c r="R1642" s="40" t="s">
        <v>494</v>
      </c>
      <c r="S1642" s="40" t="s">
        <v>502</v>
      </c>
      <c r="T1642" s="40" t="s">
        <v>301</v>
      </c>
      <c r="U1642" s="40" t="s">
        <v>1890</v>
      </c>
      <c r="V1642" s="40"/>
      <c r="W1642" s="40" t="s">
        <v>1891</v>
      </c>
    </row>
    <row r="1643" spans="1:23" ht="12" x14ac:dyDescent="0.2">
      <c r="A1643" s="39" t="s">
        <v>889</v>
      </c>
      <c r="B1643" s="40" t="s">
        <v>890</v>
      </c>
      <c r="C1643" s="40" t="s">
        <v>8109</v>
      </c>
      <c r="D1643" s="41">
        <v>46087</v>
      </c>
      <c r="E1643" s="41">
        <v>46117</v>
      </c>
      <c r="F1643" s="41">
        <v>46091</v>
      </c>
      <c r="G1643" s="42">
        <v>-26</v>
      </c>
      <c r="H1643" s="40" t="s">
        <v>556</v>
      </c>
      <c r="I1643" s="39" t="s">
        <v>323</v>
      </c>
      <c r="J1643" s="43">
        <v>207516.73</v>
      </c>
      <c r="K1643" s="43">
        <v>0</v>
      </c>
      <c r="L1643" s="43">
        <v>207516.73</v>
      </c>
      <c r="M1643" s="44">
        <v>0</v>
      </c>
      <c r="N1643" s="44">
        <f t="shared" si="25"/>
        <v>166013.38</v>
      </c>
      <c r="O1643" s="44">
        <v>166013.38</v>
      </c>
      <c r="P1643" s="40" t="s">
        <v>8110</v>
      </c>
      <c r="Q1643" s="40" t="s">
        <v>8111</v>
      </c>
      <c r="R1643" s="40" t="s">
        <v>494</v>
      </c>
      <c r="S1643" s="40" t="s">
        <v>502</v>
      </c>
      <c r="T1643" s="40" t="s">
        <v>287</v>
      </c>
      <c r="U1643" s="40" t="s">
        <v>2937</v>
      </c>
      <c r="V1643" s="40"/>
      <c r="W1643" s="40" t="s">
        <v>8112</v>
      </c>
    </row>
    <row r="1644" spans="1:23" ht="12" x14ac:dyDescent="0.2">
      <c r="A1644" s="39" t="s">
        <v>54</v>
      </c>
      <c r="B1644" s="40" t="s">
        <v>455</v>
      </c>
      <c r="C1644" s="40" t="s">
        <v>8113</v>
      </c>
      <c r="D1644" s="41">
        <v>46087</v>
      </c>
      <c r="E1644" s="41">
        <v>46117</v>
      </c>
      <c r="F1644" s="41">
        <v>46091</v>
      </c>
      <c r="G1644" s="42">
        <v>-26</v>
      </c>
      <c r="H1644" s="40" t="s">
        <v>556</v>
      </c>
      <c r="I1644" s="39" t="s">
        <v>320</v>
      </c>
      <c r="J1644" s="43">
        <v>425.22</v>
      </c>
      <c r="K1644" s="43">
        <v>0</v>
      </c>
      <c r="L1644" s="43">
        <v>425.22</v>
      </c>
      <c r="M1644" s="44">
        <v>0</v>
      </c>
      <c r="N1644" s="44">
        <f t="shared" si="25"/>
        <v>425.22</v>
      </c>
      <c r="O1644" s="44">
        <v>425.22</v>
      </c>
      <c r="P1644" s="40" t="s">
        <v>8114</v>
      </c>
      <c r="Q1644" s="40" t="s">
        <v>8115</v>
      </c>
      <c r="R1644" s="40" t="s">
        <v>494</v>
      </c>
      <c r="S1644" s="40" t="s">
        <v>502</v>
      </c>
      <c r="T1644" s="40" t="s">
        <v>218</v>
      </c>
      <c r="U1644" s="40" t="s">
        <v>7896</v>
      </c>
      <c r="V1644" s="40"/>
      <c r="W1644" s="40" t="s">
        <v>321</v>
      </c>
    </row>
    <row r="1645" spans="1:23" ht="12" x14ac:dyDescent="0.2">
      <c r="A1645" s="39" t="s">
        <v>1070</v>
      </c>
      <c r="B1645" s="40" t="s">
        <v>364</v>
      </c>
      <c r="C1645" s="40" t="s">
        <v>8116</v>
      </c>
      <c r="D1645" s="41">
        <v>46090</v>
      </c>
      <c r="E1645" s="41">
        <v>46120</v>
      </c>
      <c r="F1645" s="41">
        <v>46091</v>
      </c>
      <c r="G1645" s="42">
        <v>-29</v>
      </c>
      <c r="H1645" s="40" t="s">
        <v>556</v>
      </c>
      <c r="I1645" s="39" t="s">
        <v>320</v>
      </c>
      <c r="J1645" s="43">
        <v>22207.57</v>
      </c>
      <c r="K1645" s="43">
        <v>0</v>
      </c>
      <c r="L1645" s="43">
        <v>22207.57</v>
      </c>
      <c r="M1645" s="44">
        <v>0</v>
      </c>
      <c r="N1645" s="44">
        <f t="shared" si="25"/>
        <v>22207.57</v>
      </c>
      <c r="O1645" s="44">
        <v>22207.57</v>
      </c>
      <c r="P1645" s="40" t="s">
        <v>3533</v>
      </c>
      <c r="Q1645" s="40" t="s">
        <v>3534</v>
      </c>
      <c r="R1645" s="40" t="s">
        <v>494</v>
      </c>
      <c r="S1645" s="40" t="s">
        <v>502</v>
      </c>
      <c r="T1645" s="40" t="s">
        <v>225</v>
      </c>
      <c r="U1645" s="40" t="s">
        <v>914</v>
      </c>
      <c r="V1645" s="40"/>
      <c r="W1645" s="40" t="s">
        <v>8117</v>
      </c>
    </row>
    <row r="1646" spans="1:23" ht="12" x14ac:dyDescent="0.2">
      <c r="A1646" s="39" t="s">
        <v>37</v>
      </c>
      <c r="B1646" s="40" t="s">
        <v>452</v>
      </c>
      <c r="C1646" s="40" t="s">
        <v>8118</v>
      </c>
      <c r="D1646" s="41">
        <v>46090</v>
      </c>
      <c r="E1646" s="41">
        <v>46120</v>
      </c>
      <c r="F1646" s="41">
        <v>46091</v>
      </c>
      <c r="G1646" s="42">
        <v>-29</v>
      </c>
      <c r="H1646" s="40" t="s">
        <v>556</v>
      </c>
      <c r="I1646" s="39" t="s">
        <v>320</v>
      </c>
      <c r="J1646" s="43">
        <v>2425.33</v>
      </c>
      <c r="K1646" s="43">
        <v>0</v>
      </c>
      <c r="L1646" s="43">
        <v>2425.33</v>
      </c>
      <c r="M1646" s="44">
        <v>0</v>
      </c>
      <c r="N1646" s="44">
        <f t="shared" si="25"/>
        <v>2425.33</v>
      </c>
      <c r="O1646" s="44">
        <v>2425.33</v>
      </c>
      <c r="P1646" s="40" t="s">
        <v>3629</v>
      </c>
      <c r="Q1646" s="40" t="s">
        <v>3630</v>
      </c>
      <c r="R1646" s="40" t="s">
        <v>494</v>
      </c>
      <c r="S1646" s="40" t="s">
        <v>495</v>
      </c>
      <c r="T1646" s="40" t="s">
        <v>3631</v>
      </c>
      <c r="U1646" s="40" t="s">
        <v>3632</v>
      </c>
      <c r="V1646" s="40"/>
      <c r="W1646" s="40" t="s">
        <v>3633</v>
      </c>
    </row>
    <row r="1647" spans="1:23" ht="12" x14ac:dyDescent="0.2">
      <c r="A1647" s="39" t="s">
        <v>1511</v>
      </c>
      <c r="B1647" s="40" t="s">
        <v>5027</v>
      </c>
      <c r="C1647" s="40" t="s">
        <v>8119</v>
      </c>
      <c r="D1647" s="41">
        <v>46090</v>
      </c>
      <c r="E1647" s="41">
        <v>46120</v>
      </c>
      <c r="F1647" s="41">
        <v>46091</v>
      </c>
      <c r="G1647" s="42">
        <v>-29</v>
      </c>
      <c r="H1647" s="40" t="s">
        <v>556</v>
      </c>
      <c r="I1647" s="39" t="s">
        <v>320</v>
      </c>
      <c r="J1647" s="43">
        <v>1326213.74</v>
      </c>
      <c r="K1647" s="43">
        <v>0</v>
      </c>
      <c r="L1647" s="43">
        <v>1326213.74</v>
      </c>
      <c r="M1647" s="44">
        <v>0</v>
      </c>
      <c r="N1647" s="44">
        <f t="shared" si="25"/>
        <v>1326213.74</v>
      </c>
      <c r="O1647" s="44">
        <v>1326213.74</v>
      </c>
      <c r="P1647" s="40" t="s">
        <v>8120</v>
      </c>
      <c r="Q1647" s="40" t="s">
        <v>8121</v>
      </c>
      <c r="R1647" s="40" t="s">
        <v>494</v>
      </c>
      <c r="S1647" s="40" t="s">
        <v>502</v>
      </c>
      <c r="T1647" s="40" t="s">
        <v>284</v>
      </c>
      <c r="U1647" s="40" t="s">
        <v>1505</v>
      </c>
      <c r="V1647" s="40"/>
      <c r="W1647" s="40"/>
    </row>
    <row r="1648" spans="1:23" ht="12" x14ac:dyDescent="0.2">
      <c r="A1648" s="39" t="s">
        <v>1070</v>
      </c>
      <c r="B1648" s="40" t="s">
        <v>364</v>
      </c>
      <c r="C1648" s="40" t="s">
        <v>8122</v>
      </c>
      <c r="D1648" s="41">
        <v>46090</v>
      </c>
      <c r="E1648" s="41">
        <v>46120</v>
      </c>
      <c r="F1648" s="41">
        <v>46091</v>
      </c>
      <c r="G1648" s="42">
        <v>-29</v>
      </c>
      <c r="H1648" s="40" t="s">
        <v>556</v>
      </c>
      <c r="I1648" s="39" t="s">
        <v>320</v>
      </c>
      <c r="J1648" s="43">
        <v>5297.8</v>
      </c>
      <c r="K1648" s="43">
        <v>0</v>
      </c>
      <c r="L1648" s="43">
        <v>5297.8</v>
      </c>
      <c r="M1648" s="44">
        <v>0</v>
      </c>
      <c r="N1648" s="44">
        <f t="shared" si="25"/>
        <v>5297.8</v>
      </c>
      <c r="O1648" s="44">
        <v>5297.8</v>
      </c>
      <c r="P1648" s="40" t="s">
        <v>6040</v>
      </c>
      <c r="Q1648" s="40" t="s">
        <v>6041</v>
      </c>
      <c r="R1648" s="40" t="s">
        <v>494</v>
      </c>
      <c r="S1648" s="40" t="s">
        <v>502</v>
      </c>
      <c r="T1648" s="40" t="s">
        <v>287</v>
      </c>
      <c r="U1648" s="40" t="s">
        <v>6042</v>
      </c>
      <c r="V1648" s="40"/>
      <c r="W1648" s="40" t="s">
        <v>6043</v>
      </c>
    </row>
    <row r="1649" spans="1:23" ht="12" x14ac:dyDescent="0.2">
      <c r="A1649" s="39" t="s">
        <v>8123</v>
      </c>
      <c r="B1649" s="40" t="s">
        <v>8124</v>
      </c>
      <c r="C1649" s="40" t="s">
        <v>8125</v>
      </c>
      <c r="D1649" s="41">
        <v>46090</v>
      </c>
      <c r="E1649" s="41">
        <v>46120</v>
      </c>
      <c r="F1649" s="41">
        <v>46091</v>
      </c>
      <c r="G1649" s="42">
        <v>-29</v>
      </c>
      <c r="H1649" s="40" t="s">
        <v>556</v>
      </c>
      <c r="I1649" s="39" t="s">
        <v>320</v>
      </c>
      <c r="J1649" s="43">
        <v>9720</v>
      </c>
      <c r="K1649" s="43">
        <v>1620</v>
      </c>
      <c r="L1649" s="43">
        <v>9720</v>
      </c>
      <c r="M1649" s="44">
        <v>1620</v>
      </c>
      <c r="N1649" s="44">
        <f t="shared" si="25"/>
        <v>8100</v>
      </c>
      <c r="O1649" s="44">
        <v>9720</v>
      </c>
      <c r="P1649" s="40" t="s">
        <v>8126</v>
      </c>
      <c r="Q1649" s="40" t="s">
        <v>8127</v>
      </c>
      <c r="R1649" s="40" t="s">
        <v>494</v>
      </c>
      <c r="S1649" s="40" t="s">
        <v>502</v>
      </c>
      <c r="T1649" s="40" t="s">
        <v>506</v>
      </c>
      <c r="U1649" s="40" t="s">
        <v>2188</v>
      </c>
      <c r="V1649" s="40"/>
      <c r="W1649" s="40" t="s">
        <v>321</v>
      </c>
    </row>
    <row r="1650" spans="1:23" ht="12" x14ac:dyDescent="0.2">
      <c r="A1650" s="39" t="s">
        <v>39</v>
      </c>
      <c r="B1650" s="40" t="s">
        <v>752</v>
      </c>
      <c r="C1650" s="40" t="s">
        <v>8128</v>
      </c>
      <c r="D1650" s="41">
        <v>46090</v>
      </c>
      <c r="E1650" s="41">
        <v>46120</v>
      </c>
      <c r="F1650" s="41">
        <v>46091</v>
      </c>
      <c r="G1650" s="42">
        <v>-29</v>
      </c>
      <c r="H1650" s="40" t="s">
        <v>556</v>
      </c>
      <c r="I1650" s="39" t="s">
        <v>320</v>
      </c>
      <c r="J1650" s="43">
        <v>693753.38</v>
      </c>
      <c r="K1650" s="43">
        <v>0</v>
      </c>
      <c r="L1650" s="43">
        <v>693753.38</v>
      </c>
      <c r="M1650" s="44">
        <v>0</v>
      </c>
      <c r="N1650" s="44">
        <f t="shared" si="25"/>
        <v>693753.38</v>
      </c>
      <c r="O1650" s="44">
        <v>693753.38</v>
      </c>
      <c r="P1650" s="40" t="s">
        <v>8129</v>
      </c>
      <c r="Q1650" s="40" t="s">
        <v>8130</v>
      </c>
      <c r="R1650" s="40" t="s">
        <v>494</v>
      </c>
      <c r="S1650" s="40" t="s">
        <v>502</v>
      </c>
      <c r="T1650" s="40" t="s">
        <v>218</v>
      </c>
      <c r="U1650" s="40" t="s">
        <v>1166</v>
      </c>
      <c r="V1650" s="40"/>
      <c r="W1650" s="40" t="s">
        <v>8131</v>
      </c>
    </row>
    <row r="1651" spans="1:23" ht="12" x14ac:dyDescent="0.2">
      <c r="A1651" s="39" t="s">
        <v>8132</v>
      </c>
      <c r="B1651" s="40" t="s">
        <v>8133</v>
      </c>
      <c r="C1651" s="40" t="s">
        <v>8134</v>
      </c>
      <c r="D1651" s="41">
        <v>46090</v>
      </c>
      <c r="E1651" s="41">
        <v>46120</v>
      </c>
      <c r="F1651" s="41">
        <v>46091</v>
      </c>
      <c r="G1651" s="42">
        <v>-29</v>
      </c>
      <c r="H1651" s="40" t="s">
        <v>556</v>
      </c>
      <c r="I1651" s="39" t="s">
        <v>320</v>
      </c>
      <c r="J1651" s="43">
        <v>6223.34</v>
      </c>
      <c r="K1651" s="43">
        <v>0</v>
      </c>
      <c r="L1651" s="43">
        <v>6223.34</v>
      </c>
      <c r="M1651" s="44">
        <v>0</v>
      </c>
      <c r="N1651" s="44">
        <f t="shared" si="25"/>
        <v>6223.34</v>
      </c>
      <c r="O1651" s="44">
        <v>6223.34</v>
      </c>
      <c r="P1651" s="40" t="s">
        <v>8135</v>
      </c>
      <c r="Q1651" s="40" t="s">
        <v>8136</v>
      </c>
      <c r="R1651" s="40" t="s">
        <v>494</v>
      </c>
      <c r="S1651" s="40" t="s">
        <v>502</v>
      </c>
      <c r="T1651" s="40" t="s">
        <v>362</v>
      </c>
      <c r="U1651" s="40" t="s">
        <v>7983</v>
      </c>
      <c r="V1651" s="40"/>
      <c r="W1651" s="40" t="s">
        <v>8137</v>
      </c>
    </row>
    <row r="1652" spans="1:23" ht="12" x14ac:dyDescent="0.2">
      <c r="A1652" s="39" t="s">
        <v>48</v>
      </c>
      <c r="B1652" s="40" t="s">
        <v>389</v>
      </c>
      <c r="C1652" s="40" t="s">
        <v>8138</v>
      </c>
      <c r="D1652" s="41">
        <v>46090</v>
      </c>
      <c r="E1652" s="41">
        <v>46120</v>
      </c>
      <c r="F1652" s="41">
        <v>46091</v>
      </c>
      <c r="G1652" s="42">
        <v>-29</v>
      </c>
      <c r="H1652" s="40" t="s">
        <v>556</v>
      </c>
      <c r="I1652" s="39" t="s">
        <v>320</v>
      </c>
      <c r="J1652" s="43">
        <v>37621.29</v>
      </c>
      <c r="K1652" s="43">
        <v>0</v>
      </c>
      <c r="L1652" s="43">
        <v>37621.29</v>
      </c>
      <c r="M1652" s="44">
        <v>0</v>
      </c>
      <c r="N1652" s="44">
        <f t="shared" si="25"/>
        <v>37621.29</v>
      </c>
      <c r="O1652" s="44">
        <v>37621.29</v>
      </c>
      <c r="P1652" s="40" t="s">
        <v>8139</v>
      </c>
      <c r="Q1652" s="40" t="s">
        <v>8140</v>
      </c>
      <c r="R1652" s="40" t="s">
        <v>494</v>
      </c>
      <c r="S1652" s="40" t="s">
        <v>502</v>
      </c>
      <c r="T1652" s="40" t="s">
        <v>496</v>
      </c>
      <c r="U1652" s="40" t="s">
        <v>2494</v>
      </c>
      <c r="V1652" s="40"/>
      <c r="W1652" s="40" t="s">
        <v>8141</v>
      </c>
    </row>
    <row r="1653" spans="1:23" ht="12" x14ac:dyDescent="0.2">
      <c r="A1653" s="39" t="s">
        <v>439</v>
      </c>
      <c r="B1653" s="40" t="s">
        <v>438</v>
      </c>
      <c r="C1653" s="40" t="s">
        <v>8142</v>
      </c>
      <c r="D1653" s="41">
        <v>46090</v>
      </c>
      <c r="E1653" s="41">
        <v>46120</v>
      </c>
      <c r="F1653" s="41">
        <v>46091</v>
      </c>
      <c r="G1653" s="42">
        <v>-29</v>
      </c>
      <c r="H1653" s="40" t="s">
        <v>556</v>
      </c>
      <c r="I1653" s="39" t="s">
        <v>320</v>
      </c>
      <c r="J1653" s="43">
        <v>18951.599999999999</v>
      </c>
      <c r="K1653" s="43">
        <v>3158.6</v>
      </c>
      <c r="L1653" s="43">
        <v>18951.599999999999</v>
      </c>
      <c r="M1653" s="44">
        <v>3158.6</v>
      </c>
      <c r="N1653" s="44">
        <f t="shared" si="25"/>
        <v>15792.999999999998</v>
      </c>
      <c r="O1653" s="44">
        <v>18951.599999999999</v>
      </c>
      <c r="P1653" s="40" t="s">
        <v>2959</v>
      </c>
      <c r="Q1653" s="40" t="s">
        <v>2960</v>
      </c>
      <c r="R1653" s="40" t="s">
        <v>494</v>
      </c>
      <c r="S1653" s="40" t="s">
        <v>502</v>
      </c>
      <c r="T1653" s="40" t="s">
        <v>218</v>
      </c>
      <c r="U1653" s="40" t="s">
        <v>2961</v>
      </c>
      <c r="V1653" s="40"/>
      <c r="W1653" s="40" t="s">
        <v>2962</v>
      </c>
    </row>
    <row r="1654" spans="1:23" ht="12" x14ac:dyDescent="0.2">
      <c r="A1654" s="39" t="s">
        <v>1070</v>
      </c>
      <c r="B1654" s="40" t="s">
        <v>364</v>
      </c>
      <c r="C1654" s="40" t="s">
        <v>8143</v>
      </c>
      <c r="D1654" s="41">
        <v>46090</v>
      </c>
      <c r="E1654" s="41">
        <v>46120</v>
      </c>
      <c r="F1654" s="41">
        <v>46091</v>
      </c>
      <c r="G1654" s="42">
        <v>-29</v>
      </c>
      <c r="H1654" s="40" t="s">
        <v>556</v>
      </c>
      <c r="I1654" s="39" t="s">
        <v>320</v>
      </c>
      <c r="J1654" s="43">
        <v>5660.81</v>
      </c>
      <c r="K1654" s="43">
        <v>0</v>
      </c>
      <c r="L1654" s="43">
        <v>5660.81</v>
      </c>
      <c r="M1654" s="44">
        <v>0</v>
      </c>
      <c r="N1654" s="44">
        <f t="shared" si="25"/>
        <v>5660.81</v>
      </c>
      <c r="O1654" s="44">
        <v>5660.81</v>
      </c>
      <c r="P1654" s="40" t="s">
        <v>8144</v>
      </c>
      <c r="Q1654" s="40" t="s">
        <v>8145</v>
      </c>
      <c r="R1654" s="40" t="s">
        <v>494</v>
      </c>
      <c r="S1654" s="40" t="s">
        <v>502</v>
      </c>
      <c r="T1654" s="40" t="s">
        <v>178</v>
      </c>
      <c r="U1654" s="40" t="s">
        <v>1374</v>
      </c>
      <c r="V1654" s="40"/>
      <c r="W1654" s="40" t="s">
        <v>8146</v>
      </c>
    </row>
    <row r="1655" spans="1:23" ht="12" x14ac:dyDescent="0.2">
      <c r="A1655" s="39" t="s">
        <v>8147</v>
      </c>
      <c r="B1655" s="40" t="s">
        <v>8148</v>
      </c>
      <c r="C1655" s="40" t="s">
        <v>8149</v>
      </c>
      <c r="D1655" s="41">
        <v>46090</v>
      </c>
      <c r="E1655" s="41">
        <v>46120</v>
      </c>
      <c r="F1655" s="41">
        <v>46091</v>
      </c>
      <c r="G1655" s="42">
        <v>-29</v>
      </c>
      <c r="H1655" s="40" t="s">
        <v>556</v>
      </c>
      <c r="I1655" s="39" t="s">
        <v>320</v>
      </c>
      <c r="J1655" s="43">
        <v>25521.05</v>
      </c>
      <c r="K1655" s="43">
        <v>4253.51</v>
      </c>
      <c r="L1655" s="43">
        <v>25521.05</v>
      </c>
      <c r="M1655" s="44">
        <v>4253.51</v>
      </c>
      <c r="N1655" s="44">
        <f t="shared" si="25"/>
        <v>21267.54</v>
      </c>
      <c r="O1655" s="44">
        <v>25521.05</v>
      </c>
      <c r="P1655" s="40" t="s">
        <v>8150</v>
      </c>
      <c r="Q1655" s="40" t="s">
        <v>8151</v>
      </c>
      <c r="R1655" s="40" t="s">
        <v>494</v>
      </c>
      <c r="S1655" s="40" t="s">
        <v>502</v>
      </c>
      <c r="T1655" s="40" t="s">
        <v>289</v>
      </c>
      <c r="U1655" s="40" t="s">
        <v>3463</v>
      </c>
      <c r="V1655" s="40"/>
      <c r="W1655" s="40" t="s">
        <v>8152</v>
      </c>
    </row>
    <row r="1656" spans="1:23" ht="12" x14ac:dyDescent="0.2">
      <c r="A1656" s="39" t="s">
        <v>47</v>
      </c>
      <c r="B1656" s="40" t="s">
        <v>1222</v>
      </c>
      <c r="C1656" s="40" t="s">
        <v>8153</v>
      </c>
      <c r="D1656" s="41">
        <v>46090</v>
      </c>
      <c r="E1656" s="41">
        <v>46120</v>
      </c>
      <c r="F1656" s="41">
        <v>46091</v>
      </c>
      <c r="G1656" s="42">
        <v>-29</v>
      </c>
      <c r="H1656" s="40" t="s">
        <v>556</v>
      </c>
      <c r="I1656" s="39" t="s">
        <v>320</v>
      </c>
      <c r="J1656" s="43">
        <v>48765.61</v>
      </c>
      <c r="K1656" s="43">
        <v>0</v>
      </c>
      <c r="L1656" s="43">
        <v>48765.61</v>
      </c>
      <c r="M1656" s="44">
        <v>0</v>
      </c>
      <c r="N1656" s="44">
        <f t="shared" si="25"/>
        <v>48765.61</v>
      </c>
      <c r="O1656" s="44">
        <v>48765.61</v>
      </c>
      <c r="P1656" s="40" t="s">
        <v>1228</v>
      </c>
      <c r="Q1656" s="40" t="s">
        <v>1229</v>
      </c>
      <c r="R1656" s="40" t="s">
        <v>494</v>
      </c>
      <c r="S1656" s="40" t="s">
        <v>502</v>
      </c>
      <c r="T1656" s="40" t="s">
        <v>733</v>
      </c>
      <c r="U1656" s="40" t="s">
        <v>1097</v>
      </c>
      <c r="V1656" s="40"/>
      <c r="W1656" s="40" t="s">
        <v>1230</v>
      </c>
    </row>
    <row r="1657" spans="1:23" ht="12" x14ac:dyDescent="0.2">
      <c r="A1657" s="39" t="s">
        <v>8154</v>
      </c>
      <c r="B1657" s="40" t="s">
        <v>8155</v>
      </c>
      <c r="C1657" s="40" t="s">
        <v>8156</v>
      </c>
      <c r="D1657" s="41">
        <v>46090</v>
      </c>
      <c r="E1657" s="41">
        <v>46120</v>
      </c>
      <c r="F1657" s="41">
        <v>46091</v>
      </c>
      <c r="G1657" s="42">
        <v>-29</v>
      </c>
      <c r="H1657" s="40" t="s">
        <v>556</v>
      </c>
      <c r="I1657" s="39" t="s">
        <v>323</v>
      </c>
      <c r="J1657" s="43">
        <v>-13024.7</v>
      </c>
      <c r="K1657" s="43">
        <v>0</v>
      </c>
      <c r="L1657" s="43">
        <v>-13024.7</v>
      </c>
      <c r="M1657" s="44">
        <v>0</v>
      </c>
      <c r="N1657" s="44">
        <f t="shared" si="25"/>
        <v>-10419.76</v>
      </c>
      <c r="O1657" s="44">
        <v>-10419.76</v>
      </c>
      <c r="P1657" s="40" t="s">
        <v>8157</v>
      </c>
      <c r="Q1657" s="40" t="s">
        <v>8158</v>
      </c>
      <c r="R1657" s="40" t="s">
        <v>494</v>
      </c>
      <c r="S1657" s="40" t="s">
        <v>495</v>
      </c>
      <c r="T1657" s="40" t="s">
        <v>178</v>
      </c>
      <c r="U1657" s="40" t="s">
        <v>4806</v>
      </c>
      <c r="V1657" s="40"/>
      <c r="W1657" s="40" t="s">
        <v>8159</v>
      </c>
    </row>
    <row r="1658" spans="1:23" ht="12" x14ac:dyDescent="0.2">
      <c r="A1658" s="39" t="s">
        <v>1609</v>
      </c>
      <c r="B1658" s="40" t="s">
        <v>3544</v>
      </c>
      <c r="C1658" s="40" t="s">
        <v>8160</v>
      </c>
      <c r="D1658" s="41">
        <v>46090</v>
      </c>
      <c r="E1658" s="41">
        <v>46120</v>
      </c>
      <c r="F1658" s="41">
        <v>46091</v>
      </c>
      <c r="G1658" s="42">
        <v>-29</v>
      </c>
      <c r="H1658" s="40" t="s">
        <v>556</v>
      </c>
      <c r="I1658" s="39" t="s">
        <v>323</v>
      </c>
      <c r="J1658" s="43">
        <v>16325.64</v>
      </c>
      <c r="K1658" s="43">
        <v>0</v>
      </c>
      <c r="L1658" s="43">
        <v>16325.64</v>
      </c>
      <c r="M1658" s="44">
        <v>0</v>
      </c>
      <c r="N1658" s="44">
        <f t="shared" si="25"/>
        <v>12093.07</v>
      </c>
      <c r="O1658" s="44">
        <v>12093.07</v>
      </c>
      <c r="P1658" s="40" t="s">
        <v>7178</v>
      </c>
      <c r="Q1658" s="40" t="s">
        <v>7179</v>
      </c>
      <c r="R1658" s="40" t="s">
        <v>494</v>
      </c>
      <c r="S1658" s="40" t="s">
        <v>502</v>
      </c>
      <c r="T1658" s="40" t="s">
        <v>813</v>
      </c>
      <c r="U1658" s="40" t="s">
        <v>623</v>
      </c>
      <c r="V1658" s="40"/>
      <c r="W1658" s="40" t="s">
        <v>7180</v>
      </c>
    </row>
    <row r="1659" spans="1:23" ht="12" x14ac:dyDescent="0.2">
      <c r="A1659" s="39" t="s">
        <v>2659</v>
      </c>
      <c r="B1659" s="40" t="s">
        <v>2660</v>
      </c>
      <c r="C1659" s="40" t="s">
        <v>8161</v>
      </c>
      <c r="D1659" s="41">
        <v>46090</v>
      </c>
      <c r="E1659" s="41">
        <v>46120</v>
      </c>
      <c r="F1659" s="41">
        <v>46091</v>
      </c>
      <c r="G1659" s="42">
        <v>-29</v>
      </c>
      <c r="H1659" s="40" t="s">
        <v>556</v>
      </c>
      <c r="I1659" s="39" t="s">
        <v>320</v>
      </c>
      <c r="J1659" s="43">
        <v>1351.79</v>
      </c>
      <c r="K1659" s="43">
        <v>0</v>
      </c>
      <c r="L1659" s="43">
        <v>1351.79</v>
      </c>
      <c r="M1659" s="44">
        <v>0</v>
      </c>
      <c r="N1659" s="44">
        <f t="shared" si="25"/>
        <v>1351.79</v>
      </c>
      <c r="O1659" s="44">
        <v>1351.79</v>
      </c>
      <c r="P1659" s="40" t="s">
        <v>3416</v>
      </c>
      <c r="Q1659" s="40" t="s">
        <v>3417</v>
      </c>
      <c r="R1659" s="40" t="s">
        <v>494</v>
      </c>
      <c r="S1659" s="40" t="s">
        <v>502</v>
      </c>
      <c r="T1659" s="40" t="s">
        <v>535</v>
      </c>
      <c r="U1659" s="40" t="s">
        <v>8162</v>
      </c>
      <c r="V1659" s="40"/>
      <c r="W1659" s="40" t="s">
        <v>3418</v>
      </c>
    </row>
    <row r="1660" spans="1:23" ht="12" x14ac:dyDescent="0.2">
      <c r="A1660" s="39" t="s">
        <v>54</v>
      </c>
      <c r="B1660" s="40" t="s">
        <v>455</v>
      </c>
      <c r="C1660" s="40" t="s">
        <v>8163</v>
      </c>
      <c r="D1660" s="41">
        <v>46090</v>
      </c>
      <c r="E1660" s="41">
        <v>46120</v>
      </c>
      <c r="F1660" s="41">
        <v>46091</v>
      </c>
      <c r="G1660" s="42">
        <v>-29</v>
      </c>
      <c r="H1660" s="40" t="s">
        <v>556</v>
      </c>
      <c r="I1660" s="39" t="s">
        <v>320</v>
      </c>
      <c r="J1660" s="43">
        <v>17970</v>
      </c>
      <c r="K1660" s="43">
        <v>0</v>
      </c>
      <c r="L1660" s="43">
        <v>17970</v>
      </c>
      <c r="M1660" s="44">
        <v>0</v>
      </c>
      <c r="N1660" s="44">
        <f t="shared" si="25"/>
        <v>17970</v>
      </c>
      <c r="O1660" s="44">
        <v>17970</v>
      </c>
      <c r="P1660" s="40" t="s">
        <v>8164</v>
      </c>
      <c r="Q1660" s="40" t="s">
        <v>8165</v>
      </c>
      <c r="R1660" s="40" t="s">
        <v>494</v>
      </c>
      <c r="S1660" s="40" t="s">
        <v>502</v>
      </c>
      <c r="T1660" s="40" t="s">
        <v>278</v>
      </c>
      <c r="U1660" s="40" t="s">
        <v>8166</v>
      </c>
      <c r="V1660" s="40"/>
      <c r="W1660" s="40"/>
    </row>
    <row r="1661" spans="1:23" ht="12" x14ac:dyDescent="0.2">
      <c r="A1661" s="39" t="s">
        <v>2974</v>
      </c>
      <c r="B1661" s="40" t="s">
        <v>1872</v>
      </c>
      <c r="C1661" s="40" t="s">
        <v>8167</v>
      </c>
      <c r="D1661" s="41">
        <v>46091</v>
      </c>
      <c r="E1661" s="41">
        <v>46121</v>
      </c>
      <c r="F1661" s="41">
        <v>46091</v>
      </c>
      <c r="G1661" s="42">
        <v>-30</v>
      </c>
      <c r="H1661" s="40" t="s">
        <v>556</v>
      </c>
      <c r="I1661" s="39" t="s">
        <v>320</v>
      </c>
      <c r="J1661" s="43">
        <v>61780.800000000003</v>
      </c>
      <c r="K1661" s="43">
        <v>10296.799999999999</v>
      </c>
      <c r="L1661" s="43">
        <v>61780.800000000003</v>
      </c>
      <c r="M1661" s="44">
        <v>10296.799999999999</v>
      </c>
      <c r="N1661" s="44">
        <f t="shared" si="25"/>
        <v>51484</v>
      </c>
      <c r="O1661" s="44">
        <v>61780.800000000003</v>
      </c>
      <c r="P1661" s="40" t="s">
        <v>2648</v>
      </c>
      <c r="Q1661" s="40" t="s">
        <v>2649</v>
      </c>
      <c r="R1661" s="40" t="s">
        <v>494</v>
      </c>
      <c r="S1661" s="40" t="s">
        <v>502</v>
      </c>
      <c r="T1661" s="40" t="s">
        <v>280</v>
      </c>
      <c r="U1661" s="40" t="s">
        <v>1928</v>
      </c>
      <c r="V1661" s="40"/>
      <c r="W1661" s="40" t="s">
        <v>2650</v>
      </c>
    </row>
    <row r="1662" spans="1:23" ht="12" x14ac:dyDescent="0.2">
      <c r="A1662" s="39"/>
      <c r="B1662" s="40"/>
      <c r="C1662" s="40"/>
      <c r="D1662" s="41"/>
      <c r="E1662" s="41"/>
      <c r="F1662" s="41"/>
      <c r="G1662" s="42"/>
      <c r="H1662" s="40"/>
      <c r="I1662" s="39"/>
      <c r="J1662" s="43"/>
      <c r="K1662" s="43"/>
      <c r="L1662" s="43"/>
      <c r="M1662" s="44"/>
      <c r="N1662" s="44"/>
      <c r="O1662" s="44"/>
      <c r="P1662" s="40"/>
      <c r="Q1662" s="40"/>
      <c r="R1662" s="40"/>
      <c r="S1662" s="40"/>
      <c r="T1662" s="40"/>
      <c r="U1662" s="40"/>
      <c r="V1662" s="40"/>
      <c r="W1662" s="40"/>
    </row>
    <row r="1663" spans="1:23" ht="12" x14ac:dyDescent="0.2">
      <c r="A1663" s="39"/>
      <c r="B1663" s="40"/>
      <c r="C1663" s="40"/>
      <c r="D1663" s="41"/>
      <c r="E1663" s="41"/>
      <c r="F1663" s="41"/>
      <c r="G1663" s="42"/>
      <c r="H1663" s="40"/>
      <c r="I1663" s="39"/>
      <c r="J1663" s="43"/>
      <c r="K1663" s="43"/>
      <c r="L1663" s="43"/>
      <c r="M1663" s="44"/>
      <c r="N1663" s="44"/>
      <c r="O1663" s="44"/>
      <c r="P1663" s="40"/>
      <c r="Q1663" s="40"/>
      <c r="R1663" s="40"/>
      <c r="S1663" s="40"/>
      <c r="T1663" s="40"/>
      <c r="U1663" s="40"/>
      <c r="V1663" s="40"/>
      <c r="W1663" s="40"/>
    </row>
    <row r="1664" spans="1:23" ht="12" x14ac:dyDescent="0.2">
      <c r="A1664" s="39"/>
      <c r="B1664" s="40"/>
      <c r="C1664" s="40"/>
      <c r="D1664" s="41"/>
      <c r="E1664" s="41"/>
      <c r="F1664" s="41"/>
      <c r="G1664" s="42"/>
      <c r="H1664" s="40"/>
      <c r="I1664" s="39"/>
      <c r="J1664" s="43"/>
      <c r="K1664" s="43"/>
      <c r="L1664" s="43"/>
      <c r="M1664" s="44"/>
      <c r="N1664" s="44"/>
      <c r="O1664" s="44"/>
      <c r="P1664" s="40"/>
      <c r="Q1664" s="40"/>
      <c r="R1664" s="40"/>
      <c r="S1664" s="40"/>
      <c r="T1664" s="40"/>
      <c r="U1664" s="40"/>
      <c r="V1664" s="40"/>
      <c r="W1664" s="40"/>
    </row>
    <row r="1665" spans="1:23" ht="12" x14ac:dyDescent="0.2">
      <c r="A1665" s="39"/>
      <c r="B1665" s="40"/>
      <c r="C1665" s="40"/>
      <c r="D1665" s="41"/>
      <c r="E1665" s="41"/>
      <c r="F1665" s="41"/>
      <c r="G1665" s="42"/>
      <c r="H1665" s="40"/>
      <c r="I1665" s="39"/>
      <c r="J1665" s="43"/>
      <c r="K1665" s="43"/>
      <c r="L1665" s="43"/>
      <c r="M1665" s="44"/>
      <c r="N1665" s="44"/>
      <c r="O1665" s="44"/>
      <c r="P1665" s="40"/>
      <c r="Q1665" s="40"/>
      <c r="R1665" s="40"/>
      <c r="S1665" s="40"/>
      <c r="T1665" s="40"/>
      <c r="U1665" s="40"/>
      <c r="V1665" s="40"/>
      <c r="W1665" s="40"/>
    </row>
    <row r="1666" spans="1:23" ht="12" x14ac:dyDescent="0.2">
      <c r="A1666" s="39"/>
      <c r="B1666" s="40"/>
      <c r="C1666" s="40"/>
      <c r="D1666" s="41"/>
      <c r="E1666" s="41"/>
      <c r="F1666" s="41"/>
      <c r="G1666" s="42"/>
      <c r="H1666" s="40"/>
      <c r="I1666" s="39"/>
      <c r="J1666" s="43"/>
      <c r="K1666" s="43"/>
      <c r="L1666" s="43"/>
      <c r="M1666" s="44"/>
      <c r="N1666" s="44"/>
      <c r="O1666" s="44"/>
      <c r="P1666" s="40"/>
      <c r="Q1666" s="40"/>
      <c r="R1666" s="40"/>
      <c r="S1666" s="40"/>
      <c r="T1666" s="40"/>
      <c r="U1666" s="40"/>
      <c r="V1666" s="40"/>
      <c r="W1666" s="40"/>
    </row>
    <row r="1667" spans="1:23" ht="12" x14ac:dyDescent="0.2">
      <c r="A1667" s="39"/>
      <c r="B1667" s="40"/>
      <c r="C1667" s="40"/>
      <c r="D1667" s="41"/>
      <c r="E1667" s="41"/>
      <c r="F1667" s="41"/>
      <c r="G1667" s="42"/>
      <c r="H1667" s="40"/>
      <c r="I1667" s="39"/>
      <c r="J1667" s="43"/>
      <c r="K1667" s="43"/>
      <c r="L1667" s="43"/>
      <c r="M1667" s="44"/>
      <c r="N1667" s="44"/>
      <c r="O1667" s="44"/>
      <c r="P1667" s="40"/>
      <c r="Q1667" s="40"/>
      <c r="R1667" s="40"/>
      <c r="S1667" s="40"/>
      <c r="T1667" s="40"/>
      <c r="U1667" s="40"/>
      <c r="V1667" s="40"/>
      <c r="W1667" s="40"/>
    </row>
    <row r="1668" spans="1:23" ht="12" x14ac:dyDescent="0.2">
      <c r="A1668" s="39"/>
      <c r="B1668" s="40"/>
      <c r="C1668" s="40"/>
      <c r="D1668" s="41"/>
      <c r="E1668" s="41"/>
      <c r="F1668" s="41"/>
      <c r="G1668" s="42"/>
      <c r="H1668" s="40"/>
      <c r="I1668" s="39"/>
      <c r="J1668" s="43"/>
      <c r="K1668" s="43"/>
      <c r="L1668" s="43"/>
      <c r="M1668" s="44"/>
      <c r="N1668" s="44"/>
      <c r="O1668" s="44"/>
      <c r="P1668" s="40"/>
      <c r="Q1668" s="40"/>
      <c r="R1668" s="40"/>
      <c r="S1668" s="40"/>
      <c r="T1668" s="40"/>
      <c r="U1668" s="40"/>
      <c r="V1668" s="40"/>
      <c r="W1668" s="40"/>
    </row>
    <row r="1669" spans="1:23" ht="12" x14ac:dyDescent="0.2">
      <c r="A1669" s="39"/>
      <c r="B1669" s="40"/>
      <c r="C1669" s="40"/>
      <c r="D1669" s="41"/>
      <c r="E1669" s="41"/>
      <c r="F1669" s="41"/>
      <c r="G1669" s="42"/>
      <c r="H1669" s="40"/>
      <c r="I1669" s="39"/>
      <c r="J1669" s="43"/>
      <c r="K1669" s="43"/>
      <c r="L1669" s="43"/>
      <c r="M1669" s="44"/>
      <c r="N1669" s="44"/>
      <c r="O1669" s="44"/>
      <c r="P1669" s="40"/>
      <c r="Q1669" s="40"/>
      <c r="R1669" s="40"/>
      <c r="S1669" s="40"/>
      <c r="T1669" s="40"/>
      <c r="U1669" s="40"/>
      <c r="V1669" s="40"/>
      <c r="W1669" s="40"/>
    </row>
    <row r="1670" spans="1:23" ht="12" x14ac:dyDescent="0.2">
      <c r="A1670" s="39"/>
      <c r="B1670" s="40"/>
      <c r="C1670" s="40"/>
      <c r="D1670" s="41"/>
      <c r="E1670" s="41"/>
      <c r="F1670" s="41"/>
      <c r="G1670" s="42"/>
      <c r="H1670" s="40"/>
      <c r="I1670" s="39"/>
      <c r="J1670" s="43"/>
      <c r="K1670" s="43"/>
      <c r="L1670" s="43"/>
      <c r="M1670" s="44"/>
      <c r="N1670" s="44"/>
      <c r="O1670" s="44"/>
      <c r="P1670" s="40"/>
      <c r="Q1670" s="40"/>
      <c r="R1670" s="40"/>
      <c r="S1670" s="40"/>
      <c r="T1670" s="40"/>
      <c r="U1670" s="40"/>
      <c r="V1670" s="40"/>
      <c r="W1670" s="40"/>
    </row>
    <row r="1671" spans="1:23" ht="12" x14ac:dyDescent="0.2">
      <c r="A1671" s="39"/>
      <c r="B1671" s="40"/>
      <c r="C1671" s="40"/>
      <c r="D1671" s="41"/>
      <c r="E1671" s="41"/>
      <c r="F1671" s="41"/>
      <c r="G1671" s="42"/>
      <c r="H1671" s="40"/>
      <c r="I1671" s="39"/>
      <c r="J1671" s="43"/>
      <c r="K1671" s="43"/>
      <c r="L1671" s="43"/>
      <c r="M1671" s="44"/>
      <c r="N1671" s="44"/>
      <c r="O1671" s="44"/>
      <c r="P1671" s="40"/>
      <c r="Q1671" s="40"/>
      <c r="R1671" s="40"/>
      <c r="S1671" s="40"/>
      <c r="T1671" s="40"/>
      <c r="U1671" s="40"/>
      <c r="V1671" s="40"/>
      <c r="W1671" s="40"/>
    </row>
    <row r="1672" spans="1:23" ht="12" x14ac:dyDescent="0.2">
      <c r="A1672" s="39"/>
      <c r="B1672" s="40"/>
      <c r="C1672" s="40"/>
      <c r="D1672" s="41"/>
      <c r="E1672" s="41"/>
      <c r="F1672" s="41"/>
      <c r="G1672" s="42"/>
      <c r="H1672" s="40"/>
      <c r="I1672" s="39"/>
      <c r="J1672" s="43"/>
      <c r="K1672" s="43"/>
      <c r="L1672" s="43"/>
      <c r="M1672" s="44"/>
      <c r="N1672" s="44"/>
      <c r="O1672" s="44"/>
      <c r="P1672" s="40"/>
      <c r="Q1672" s="40"/>
      <c r="R1672" s="40"/>
      <c r="S1672" s="40"/>
      <c r="T1672" s="40"/>
      <c r="U1672" s="40"/>
      <c r="V1672" s="40"/>
      <c r="W1672" s="40"/>
    </row>
    <row r="1673" spans="1:23" ht="12" x14ac:dyDescent="0.2">
      <c r="A1673" s="39"/>
      <c r="B1673" s="40"/>
      <c r="C1673" s="40"/>
      <c r="D1673" s="41"/>
      <c r="E1673" s="41"/>
      <c r="F1673" s="41"/>
      <c r="G1673" s="42"/>
      <c r="H1673" s="40"/>
      <c r="I1673" s="39"/>
      <c r="J1673" s="43"/>
      <c r="K1673" s="43"/>
      <c r="L1673" s="43"/>
      <c r="M1673" s="44"/>
      <c r="N1673" s="44"/>
      <c r="O1673" s="44"/>
      <c r="P1673" s="40"/>
      <c r="Q1673" s="40"/>
      <c r="R1673" s="40"/>
      <c r="S1673" s="40"/>
      <c r="T1673" s="40"/>
      <c r="U1673" s="40"/>
      <c r="V1673" s="40"/>
      <c r="W1673" s="40"/>
    </row>
    <row r="1674" spans="1:23" ht="12" x14ac:dyDescent="0.2">
      <c r="A1674" s="39"/>
      <c r="B1674" s="40"/>
      <c r="C1674" s="40"/>
      <c r="D1674" s="41"/>
      <c r="E1674" s="41"/>
      <c r="F1674" s="41"/>
      <c r="G1674" s="42"/>
      <c r="H1674" s="40"/>
      <c r="I1674" s="39"/>
      <c r="J1674" s="43"/>
      <c r="K1674" s="43"/>
      <c r="L1674" s="43"/>
      <c r="M1674" s="44"/>
      <c r="N1674" s="44"/>
      <c r="O1674" s="44"/>
      <c r="P1674" s="40"/>
      <c r="Q1674" s="40"/>
      <c r="R1674" s="40"/>
      <c r="S1674" s="40"/>
      <c r="T1674" s="40"/>
      <c r="U1674" s="40"/>
      <c r="V1674" s="40"/>
      <c r="W1674" s="40"/>
    </row>
    <row r="1675" spans="1:23" ht="12" x14ac:dyDescent="0.2">
      <c r="A1675" s="39"/>
      <c r="B1675" s="40"/>
      <c r="C1675" s="40"/>
      <c r="D1675" s="41"/>
      <c r="E1675" s="41"/>
      <c r="F1675" s="41"/>
      <c r="G1675" s="42"/>
      <c r="H1675" s="40"/>
      <c r="I1675" s="39"/>
      <c r="J1675" s="43"/>
      <c r="K1675" s="43"/>
      <c r="L1675" s="43"/>
      <c r="M1675" s="44"/>
      <c r="N1675" s="44"/>
      <c r="O1675" s="44"/>
      <c r="P1675" s="40"/>
      <c r="Q1675" s="40"/>
      <c r="R1675" s="40"/>
      <c r="S1675" s="40"/>
      <c r="T1675" s="40"/>
      <c r="U1675" s="40"/>
      <c r="V1675" s="40"/>
      <c r="W1675" s="40"/>
    </row>
    <row r="1676" spans="1:23" ht="12" x14ac:dyDescent="0.2">
      <c r="A1676" s="39"/>
      <c r="B1676" s="40"/>
      <c r="C1676" s="40"/>
      <c r="D1676" s="41"/>
      <c r="E1676" s="41"/>
      <c r="F1676" s="41"/>
      <c r="G1676" s="42"/>
      <c r="H1676" s="40"/>
      <c r="I1676" s="39"/>
      <c r="J1676" s="43"/>
      <c r="K1676" s="43"/>
      <c r="L1676" s="43"/>
      <c r="M1676" s="44"/>
      <c r="N1676" s="44"/>
      <c r="O1676" s="44"/>
      <c r="P1676" s="40"/>
      <c r="Q1676" s="40"/>
      <c r="R1676" s="40"/>
      <c r="S1676" s="40"/>
      <c r="T1676" s="40"/>
      <c r="U1676" s="40"/>
      <c r="V1676" s="40"/>
      <c r="W1676" s="40"/>
    </row>
    <row r="1677" spans="1:23" ht="12" x14ac:dyDescent="0.2">
      <c r="A1677" s="39"/>
      <c r="B1677" s="40"/>
      <c r="C1677" s="40"/>
      <c r="D1677" s="41"/>
      <c r="E1677" s="41"/>
      <c r="F1677" s="41"/>
      <c r="G1677" s="42"/>
      <c r="H1677" s="40"/>
      <c r="I1677" s="39"/>
      <c r="J1677" s="43"/>
      <c r="K1677" s="43"/>
      <c r="L1677" s="43"/>
      <c r="M1677" s="44"/>
      <c r="N1677" s="44"/>
      <c r="O1677" s="44"/>
      <c r="P1677" s="40"/>
      <c r="Q1677" s="40"/>
      <c r="R1677" s="40"/>
      <c r="S1677" s="40"/>
      <c r="T1677" s="40"/>
      <c r="U1677" s="40"/>
      <c r="V1677" s="40"/>
      <c r="W1677" s="40"/>
    </row>
    <row r="1678" spans="1:23" ht="12" x14ac:dyDescent="0.2">
      <c r="A1678" s="39"/>
      <c r="B1678" s="40"/>
      <c r="C1678" s="40"/>
      <c r="D1678" s="41"/>
      <c r="E1678" s="41"/>
      <c r="F1678" s="41"/>
      <c r="G1678" s="42"/>
      <c r="H1678" s="40"/>
      <c r="I1678" s="39"/>
      <c r="J1678" s="43"/>
      <c r="K1678" s="43"/>
      <c r="L1678" s="43"/>
      <c r="M1678" s="44"/>
      <c r="N1678" s="44"/>
      <c r="O1678" s="44"/>
      <c r="P1678" s="40"/>
      <c r="Q1678" s="40"/>
      <c r="R1678" s="40"/>
      <c r="S1678" s="40"/>
      <c r="T1678" s="40"/>
      <c r="U1678" s="40"/>
      <c r="V1678" s="40"/>
      <c r="W1678" s="40"/>
    </row>
    <row r="1679" spans="1:23" ht="12" x14ac:dyDescent="0.2">
      <c r="A1679" s="39"/>
      <c r="B1679" s="40"/>
      <c r="C1679" s="40"/>
      <c r="D1679" s="41"/>
      <c r="E1679" s="41"/>
      <c r="F1679" s="41"/>
      <c r="G1679" s="42"/>
      <c r="H1679" s="40"/>
      <c r="I1679" s="39"/>
      <c r="J1679" s="43"/>
      <c r="K1679" s="43"/>
      <c r="L1679" s="43"/>
      <c r="M1679" s="44"/>
      <c r="N1679" s="44"/>
      <c r="O1679" s="44"/>
      <c r="P1679" s="40"/>
      <c r="Q1679" s="40"/>
      <c r="R1679" s="40"/>
      <c r="S1679" s="40"/>
      <c r="T1679" s="40"/>
      <c r="U1679" s="40"/>
      <c r="V1679" s="40"/>
      <c r="W1679" s="40"/>
    </row>
    <row r="1680" spans="1:23" ht="12" x14ac:dyDescent="0.2">
      <c r="A1680" s="39"/>
      <c r="B1680" s="40"/>
      <c r="C1680" s="40"/>
      <c r="D1680" s="41"/>
      <c r="E1680" s="41"/>
      <c r="F1680" s="41"/>
      <c r="G1680" s="42"/>
      <c r="H1680" s="40"/>
      <c r="I1680" s="39"/>
      <c r="J1680" s="43"/>
      <c r="K1680" s="43"/>
      <c r="L1680" s="43"/>
      <c r="M1680" s="44"/>
      <c r="N1680" s="44"/>
      <c r="O1680" s="44"/>
      <c r="P1680" s="40"/>
      <c r="Q1680" s="40"/>
      <c r="R1680" s="40"/>
      <c r="S1680" s="40"/>
      <c r="T1680" s="40"/>
      <c r="U1680" s="40"/>
      <c r="V1680" s="40"/>
      <c r="W1680" s="40"/>
    </row>
    <row r="1681" spans="1:23" ht="12" x14ac:dyDescent="0.2">
      <c r="A1681" s="39"/>
      <c r="B1681" s="40"/>
      <c r="C1681" s="40"/>
      <c r="D1681" s="41"/>
      <c r="E1681" s="41"/>
      <c r="F1681" s="41"/>
      <c r="G1681" s="42"/>
      <c r="H1681" s="40"/>
      <c r="I1681" s="39"/>
      <c r="J1681" s="43"/>
      <c r="K1681" s="43"/>
      <c r="L1681" s="43"/>
      <c r="M1681" s="44"/>
      <c r="N1681" s="44"/>
      <c r="O1681" s="44"/>
      <c r="P1681" s="40"/>
      <c r="Q1681" s="40"/>
      <c r="R1681" s="40"/>
      <c r="S1681" s="40"/>
      <c r="T1681" s="40"/>
      <c r="U1681" s="40"/>
      <c r="V1681" s="40"/>
      <c r="W1681" s="40"/>
    </row>
    <row r="1682" spans="1:23" ht="12" x14ac:dyDescent="0.2">
      <c r="A1682" s="39"/>
      <c r="B1682" s="40"/>
      <c r="C1682" s="40"/>
      <c r="D1682" s="41"/>
      <c r="E1682" s="41"/>
      <c r="F1682" s="41"/>
      <c r="G1682" s="42"/>
      <c r="H1682" s="40"/>
      <c r="I1682" s="39"/>
      <c r="J1682" s="43"/>
      <c r="K1682" s="43"/>
      <c r="L1682" s="43"/>
      <c r="M1682" s="44"/>
      <c r="N1682" s="44"/>
      <c r="O1682" s="44"/>
      <c r="P1682" s="40"/>
      <c r="Q1682" s="40"/>
      <c r="R1682" s="40"/>
      <c r="S1682" s="40"/>
      <c r="T1682" s="40"/>
      <c r="U1682" s="40"/>
      <c r="V1682" s="40"/>
      <c r="W1682" s="40"/>
    </row>
    <row r="1683" spans="1:23" ht="12" x14ac:dyDescent="0.2">
      <c r="A1683" s="39"/>
      <c r="B1683" s="40"/>
      <c r="C1683" s="40"/>
      <c r="D1683" s="41"/>
      <c r="E1683" s="41"/>
      <c r="F1683" s="41"/>
      <c r="G1683" s="42"/>
      <c r="H1683" s="40"/>
      <c r="I1683" s="39"/>
      <c r="J1683" s="43"/>
      <c r="K1683" s="43"/>
      <c r="L1683" s="43"/>
      <c r="M1683" s="44"/>
      <c r="N1683" s="44"/>
      <c r="O1683" s="44"/>
      <c r="P1683" s="40"/>
      <c r="Q1683" s="40"/>
      <c r="R1683" s="40"/>
      <c r="S1683" s="40"/>
      <c r="T1683" s="40"/>
      <c r="U1683" s="40"/>
      <c r="V1683" s="40"/>
      <c r="W1683" s="40"/>
    </row>
    <row r="1684" spans="1:23" ht="12" x14ac:dyDescent="0.2">
      <c r="A1684" s="39"/>
      <c r="B1684" s="40"/>
      <c r="C1684" s="40"/>
      <c r="D1684" s="41"/>
      <c r="E1684" s="41"/>
      <c r="F1684" s="41"/>
      <c r="G1684" s="42"/>
      <c r="H1684" s="40"/>
      <c r="I1684" s="39"/>
      <c r="J1684" s="43"/>
      <c r="K1684" s="43"/>
      <c r="L1684" s="43"/>
      <c r="M1684" s="44"/>
      <c r="N1684" s="44"/>
      <c r="O1684" s="44"/>
      <c r="P1684" s="40"/>
      <c r="Q1684" s="40"/>
      <c r="R1684" s="40"/>
      <c r="S1684" s="40"/>
      <c r="T1684" s="40"/>
      <c r="U1684" s="40"/>
      <c r="V1684" s="40"/>
      <c r="W1684" s="40"/>
    </row>
    <row r="1685" spans="1:23" ht="12" x14ac:dyDescent="0.2">
      <c r="A1685" s="39"/>
      <c r="B1685" s="40"/>
      <c r="C1685" s="40"/>
      <c r="D1685" s="41"/>
      <c r="E1685" s="41"/>
      <c r="F1685" s="41"/>
      <c r="G1685" s="42"/>
      <c r="H1685" s="40"/>
      <c r="I1685" s="39"/>
      <c r="J1685" s="43"/>
      <c r="K1685" s="43"/>
      <c r="L1685" s="43"/>
      <c r="M1685" s="44"/>
      <c r="N1685" s="44"/>
      <c r="O1685" s="44"/>
      <c r="P1685" s="40"/>
      <c r="Q1685" s="40"/>
      <c r="R1685" s="40"/>
      <c r="S1685" s="40"/>
      <c r="T1685" s="40"/>
      <c r="U1685" s="40"/>
      <c r="V1685" s="40"/>
      <c r="W1685" s="40"/>
    </row>
    <row r="1686" spans="1:23" ht="12" x14ac:dyDescent="0.2">
      <c r="A1686" s="39"/>
      <c r="B1686" s="40"/>
      <c r="C1686" s="40"/>
      <c r="D1686" s="41"/>
      <c r="E1686" s="41"/>
      <c r="F1686" s="41"/>
      <c r="G1686" s="42"/>
      <c r="H1686" s="40"/>
      <c r="I1686" s="39"/>
      <c r="J1686" s="43"/>
      <c r="K1686" s="43"/>
      <c r="L1686" s="43"/>
      <c r="M1686" s="44"/>
      <c r="N1686" s="44"/>
      <c r="O1686" s="44"/>
      <c r="P1686" s="40"/>
      <c r="Q1686" s="40"/>
      <c r="R1686" s="40"/>
      <c r="S1686" s="40"/>
      <c r="T1686" s="40"/>
      <c r="U1686" s="40"/>
      <c r="V1686" s="40"/>
      <c r="W1686" s="40"/>
    </row>
    <row r="1687" spans="1:23" ht="12" x14ac:dyDescent="0.2">
      <c r="A1687" s="39"/>
      <c r="B1687" s="40"/>
      <c r="C1687" s="40"/>
      <c r="D1687" s="41"/>
      <c r="E1687" s="41"/>
      <c r="F1687" s="41"/>
      <c r="G1687" s="42"/>
      <c r="H1687" s="40"/>
      <c r="I1687" s="39"/>
      <c r="J1687" s="43"/>
      <c r="K1687" s="43"/>
      <c r="L1687" s="43"/>
      <c r="M1687" s="44"/>
      <c r="N1687" s="44"/>
      <c r="O1687" s="44"/>
      <c r="P1687" s="40"/>
      <c r="Q1687" s="40"/>
      <c r="R1687" s="40"/>
      <c r="S1687" s="40"/>
      <c r="T1687" s="40"/>
      <c r="U1687" s="40"/>
      <c r="V1687" s="40"/>
      <c r="W1687" s="40"/>
    </row>
    <row r="1688" spans="1:23" ht="12" x14ac:dyDescent="0.2">
      <c r="A1688" s="39"/>
      <c r="B1688" s="40"/>
      <c r="C1688" s="40"/>
      <c r="D1688" s="41"/>
      <c r="E1688" s="41"/>
      <c r="F1688" s="41"/>
      <c r="G1688" s="42"/>
      <c r="H1688" s="40"/>
      <c r="I1688" s="39"/>
      <c r="J1688" s="43"/>
      <c r="K1688" s="43"/>
      <c r="L1688" s="43"/>
      <c r="M1688" s="44"/>
      <c r="N1688" s="44"/>
      <c r="O1688" s="44"/>
      <c r="P1688" s="40"/>
      <c r="Q1688" s="40"/>
      <c r="R1688" s="40"/>
      <c r="S1688" s="40"/>
      <c r="T1688" s="40"/>
      <c r="U1688" s="40"/>
      <c r="V1688" s="40"/>
      <c r="W1688" s="40"/>
    </row>
    <row r="1689" spans="1:23" ht="12" x14ac:dyDescent="0.2">
      <c r="A1689" s="39"/>
      <c r="B1689" s="40"/>
      <c r="C1689" s="40"/>
      <c r="D1689" s="41"/>
      <c r="E1689" s="41"/>
      <c r="F1689" s="41"/>
      <c r="G1689" s="42"/>
      <c r="H1689" s="40"/>
      <c r="I1689" s="39"/>
      <c r="J1689" s="43"/>
      <c r="K1689" s="43"/>
      <c r="L1689" s="43"/>
      <c r="M1689" s="44"/>
      <c r="N1689" s="44"/>
      <c r="O1689" s="44"/>
      <c r="P1689" s="40"/>
      <c r="Q1689" s="40"/>
      <c r="R1689" s="40"/>
      <c r="S1689" s="40"/>
      <c r="T1689" s="40"/>
      <c r="U1689" s="40"/>
      <c r="V1689" s="40"/>
      <c r="W1689" s="40"/>
    </row>
    <row r="1690" spans="1:23" ht="12" x14ac:dyDescent="0.2">
      <c r="A1690" s="39"/>
      <c r="B1690" s="40"/>
      <c r="C1690" s="40"/>
      <c r="D1690" s="41"/>
      <c r="E1690" s="41"/>
      <c r="F1690" s="41"/>
      <c r="G1690" s="42"/>
      <c r="H1690" s="40"/>
      <c r="I1690" s="39"/>
      <c r="J1690" s="43"/>
      <c r="K1690" s="43"/>
      <c r="L1690" s="43"/>
      <c r="M1690" s="44"/>
      <c r="N1690" s="44"/>
      <c r="O1690" s="44"/>
      <c r="P1690" s="40"/>
      <c r="Q1690" s="40"/>
      <c r="R1690" s="40"/>
      <c r="S1690" s="40"/>
      <c r="T1690" s="40"/>
      <c r="U1690" s="40"/>
      <c r="V1690" s="40"/>
      <c r="W1690" s="40"/>
    </row>
    <row r="1691" spans="1:23" ht="12" x14ac:dyDescent="0.2">
      <c r="A1691" s="39"/>
      <c r="B1691" s="40"/>
      <c r="C1691" s="40"/>
      <c r="D1691" s="41"/>
      <c r="E1691" s="41"/>
      <c r="F1691" s="41"/>
      <c r="G1691" s="42"/>
      <c r="H1691" s="40"/>
      <c r="I1691" s="39"/>
      <c r="J1691" s="43"/>
      <c r="K1691" s="43"/>
      <c r="L1691" s="43"/>
      <c r="M1691" s="44"/>
      <c r="N1691" s="44"/>
      <c r="O1691" s="44"/>
      <c r="P1691" s="40"/>
      <c r="Q1691" s="40"/>
      <c r="R1691" s="40"/>
      <c r="S1691" s="40"/>
      <c r="T1691" s="40"/>
      <c r="U1691" s="40"/>
      <c r="V1691" s="40"/>
      <c r="W1691" s="40"/>
    </row>
    <row r="1692" spans="1:23" ht="12" x14ac:dyDescent="0.2">
      <c r="A1692" s="39"/>
      <c r="B1692" s="40"/>
      <c r="C1692" s="40"/>
      <c r="D1692" s="41"/>
      <c r="E1692" s="41"/>
      <c r="F1692" s="41"/>
      <c r="G1692" s="42"/>
      <c r="H1692" s="40"/>
      <c r="I1692" s="39"/>
      <c r="J1692" s="43"/>
      <c r="K1692" s="43"/>
      <c r="L1692" s="43"/>
      <c r="M1692" s="44"/>
      <c r="N1692" s="44"/>
      <c r="O1692" s="44"/>
      <c r="P1692" s="40"/>
      <c r="Q1692" s="40"/>
      <c r="R1692" s="40"/>
      <c r="S1692" s="40"/>
      <c r="T1692" s="40"/>
      <c r="U1692" s="40"/>
      <c r="V1692" s="40"/>
      <c r="W1692" s="40"/>
    </row>
    <row r="1693" spans="1:23" ht="12" x14ac:dyDescent="0.2">
      <c r="A1693" s="39"/>
      <c r="B1693" s="40"/>
      <c r="C1693" s="40"/>
      <c r="D1693" s="41"/>
      <c r="E1693" s="41"/>
      <c r="F1693" s="41"/>
      <c r="G1693" s="42"/>
      <c r="H1693" s="40"/>
      <c r="I1693" s="39"/>
      <c r="J1693" s="43"/>
      <c r="K1693" s="43"/>
      <c r="L1693" s="43"/>
      <c r="M1693" s="44"/>
      <c r="N1693" s="44"/>
      <c r="O1693" s="44"/>
      <c r="P1693" s="40"/>
      <c r="Q1693" s="40"/>
      <c r="R1693" s="40"/>
      <c r="S1693" s="40"/>
      <c r="T1693" s="40"/>
      <c r="U1693" s="40"/>
      <c r="V1693" s="40"/>
      <c r="W1693" s="40"/>
    </row>
    <row r="1694" spans="1:23" ht="12" x14ac:dyDescent="0.2">
      <c r="A1694" s="39"/>
      <c r="B1694" s="40"/>
      <c r="C1694" s="40"/>
      <c r="D1694" s="41"/>
      <c r="E1694" s="41"/>
      <c r="F1694" s="41"/>
      <c r="G1694" s="42"/>
      <c r="H1694" s="40"/>
      <c r="I1694" s="39"/>
      <c r="J1694" s="43"/>
      <c r="K1694" s="43"/>
      <c r="L1694" s="43"/>
      <c r="M1694" s="44"/>
      <c r="N1694" s="44"/>
      <c r="O1694" s="44"/>
      <c r="P1694" s="40"/>
      <c r="Q1694" s="40"/>
      <c r="R1694" s="40"/>
      <c r="S1694" s="40"/>
      <c r="T1694" s="40"/>
      <c r="U1694" s="40"/>
      <c r="V1694" s="40"/>
      <c r="W1694" s="40"/>
    </row>
    <row r="1695" spans="1:23" ht="12" x14ac:dyDescent="0.2">
      <c r="A1695" s="39"/>
      <c r="B1695" s="40"/>
      <c r="C1695" s="40"/>
      <c r="D1695" s="41"/>
      <c r="E1695" s="41"/>
      <c r="F1695" s="41"/>
      <c r="G1695" s="42"/>
      <c r="H1695" s="40"/>
      <c r="I1695" s="39"/>
      <c r="J1695" s="43"/>
      <c r="K1695" s="43"/>
      <c r="L1695" s="43"/>
      <c r="M1695" s="44"/>
      <c r="N1695" s="44"/>
      <c r="O1695" s="44"/>
      <c r="P1695" s="40"/>
      <c r="Q1695" s="40"/>
      <c r="R1695" s="40"/>
      <c r="S1695" s="40"/>
      <c r="T1695" s="40"/>
      <c r="U1695" s="40"/>
      <c r="V1695" s="40"/>
      <c r="W1695" s="40"/>
    </row>
    <row r="1696" spans="1:23" ht="12" x14ac:dyDescent="0.2">
      <c r="A1696" s="39"/>
      <c r="B1696" s="40"/>
      <c r="C1696" s="40"/>
      <c r="D1696" s="41"/>
      <c r="E1696" s="41"/>
      <c r="F1696" s="41"/>
      <c r="G1696" s="42"/>
      <c r="H1696" s="40"/>
      <c r="I1696" s="39"/>
      <c r="J1696" s="43"/>
      <c r="K1696" s="43"/>
      <c r="L1696" s="43"/>
      <c r="M1696" s="44"/>
      <c r="N1696" s="44"/>
      <c r="O1696" s="44"/>
      <c r="P1696" s="40"/>
      <c r="Q1696" s="40"/>
      <c r="R1696" s="40"/>
      <c r="S1696" s="40"/>
      <c r="T1696" s="40"/>
      <c r="U1696" s="40"/>
      <c r="V1696" s="40"/>
      <c r="W1696" s="40"/>
    </row>
    <row r="1697" spans="1:23" ht="12" x14ac:dyDescent="0.2">
      <c r="A1697" s="39"/>
      <c r="B1697" s="40"/>
      <c r="C1697" s="40"/>
      <c r="D1697" s="41"/>
      <c r="E1697" s="41"/>
      <c r="F1697" s="41"/>
      <c r="G1697" s="42"/>
      <c r="H1697" s="40"/>
      <c r="I1697" s="39"/>
      <c r="J1697" s="43"/>
      <c r="K1697" s="43"/>
      <c r="L1697" s="43"/>
      <c r="M1697" s="44"/>
      <c r="N1697" s="44"/>
      <c r="O1697" s="44"/>
      <c r="P1697" s="40"/>
      <c r="Q1697" s="40"/>
      <c r="R1697" s="40"/>
      <c r="S1697" s="40"/>
      <c r="T1697" s="40"/>
      <c r="U1697" s="40"/>
      <c r="V1697" s="40"/>
      <c r="W1697" s="40"/>
    </row>
    <row r="1698" spans="1:23" ht="12" x14ac:dyDescent="0.2">
      <c r="A1698" s="39"/>
      <c r="B1698" s="40"/>
      <c r="C1698" s="40"/>
      <c r="D1698" s="41"/>
      <c r="E1698" s="41"/>
      <c r="F1698" s="41"/>
      <c r="G1698" s="42"/>
      <c r="H1698" s="40"/>
      <c r="I1698" s="39"/>
      <c r="J1698" s="43"/>
      <c r="K1698" s="43"/>
      <c r="L1698" s="43"/>
      <c r="M1698" s="44"/>
      <c r="N1698" s="44"/>
      <c r="O1698" s="44"/>
      <c r="P1698" s="40"/>
      <c r="Q1698" s="40"/>
      <c r="R1698" s="40"/>
      <c r="S1698" s="40"/>
      <c r="T1698" s="40"/>
      <c r="U1698" s="40"/>
      <c r="V1698" s="40"/>
      <c r="W1698" s="40"/>
    </row>
    <row r="1699" spans="1:23" ht="12" x14ac:dyDescent="0.2">
      <c r="A1699" s="39"/>
      <c r="B1699" s="40"/>
      <c r="C1699" s="40"/>
      <c r="D1699" s="41"/>
      <c r="E1699" s="41"/>
      <c r="F1699" s="41"/>
      <c r="G1699" s="42"/>
      <c r="H1699" s="40"/>
      <c r="I1699" s="39"/>
      <c r="J1699" s="43"/>
      <c r="K1699" s="43"/>
      <c r="L1699" s="43"/>
      <c r="M1699" s="44"/>
      <c r="N1699" s="44"/>
      <c r="O1699" s="44"/>
      <c r="P1699" s="40"/>
      <c r="Q1699" s="40"/>
      <c r="R1699" s="40"/>
      <c r="S1699" s="40"/>
      <c r="T1699" s="40"/>
      <c r="U1699" s="40"/>
      <c r="V1699" s="40"/>
      <c r="W1699" s="40"/>
    </row>
    <row r="1700" spans="1:23" ht="12" x14ac:dyDescent="0.2">
      <c r="A1700" s="39"/>
      <c r="B1700" s="40"/>
      <c r="C1700" s="40"/>
      <c r="D1700" s="41"/>
      <c r="E1700" s="41"/>
      <c r="F1700" s="41"/>
      <c r="G1700" s="42"/>
      <c r="H1700" s="40"/>
      <c r="I1700" s="39"/>
      <c r="J1700" s="43"/>
      <c r="K1700" s="43"/>
      <c r="L1700" s="43"/>
      <c r="M1700" s="44"/>
      <c r="N1700" s="44"/>
      <c r="O1700" s="44"/>
      <c r="P1700" s="40"/>
      <c r="Q1700" s="40"/>
      <c r="R1700" s="40"/>
      <c r="S1700" s="40"/>
      <c r="T1700" s="40"/>
      <c r="U1700" s="40"/>
      <c r="V1700" s="40"/>
      <c r="W1700" s="40"/>
    </row>
    <row r="1701" spans="1:23" ht="12" x14ac:dyDescent="0.2">
      <c r="A1701" s="39"/>
      <c r="B1701" s="40"/>
      <c r="C1701" s="40"/>
      <c r="D1701" s="41"/>
      <c r="E1701" s="41"/>
      <c r="F1701" s="41"/>
      <c r="G1701" s="42"/>
      <c r="H1701" s="40"/>
      <c r="I1701" s="39"/>
      <c r="J1701" s="43"/>
      <c r="K1701" s="43"/>
      <c r="L1701" s="43"/>
      <c r="M1701" s="44"/>
      <c r="N1701" s="44"/>
      <c r="O1701" s="44"/>
      <c r="P1701" s="40"/>
      <c r="Q1701" s="40"/>
      <c r="R1701" s="40"/>
      <c r="S1701" s="40"/>
      <c r="T1701" s="40"/>
      <c r="U1701" s="40"/>
      <c r="V1701" s="40"/>
      <c r="W1701" s="40"/>
    </row>
    <row r="1702" spans="1:23" ht="12" x14ac:dyDescent="0.2">
      <c r="A1702" s="39"/>
      <c r="B1702" s="40"/>
      <c r="C1702" s="40"/>
      <c r="D1702" s="41"/>
      <c r="E1702" s="41"/>
      <c r="F1702" s="41"/>
      <c r="G1702" s="42"/>
      <c r="H1702" s="40"/>
      <c r="I1702" s="39"/>
      <c r="J1702" s="43"/>
      <c r="K1702" s="43"/>
      <c r="L1702" s="43"/>
      <c r="M1702" s="44"/>
      <c r="N1702" s="44"/>
      <c r="O1702" s="44"/>
      <c r="P1702" s="40"/>
      <c r="Q1702" s="40"/>
      <c r="R1702" s="40"/>
      <c r="S1702" s="40"/>
      <c r="T1702" s="40"/>
      <c r="U1702" s="40"/>
      <c r="V1702" s="40"/>
      <c r="W1702" s="40"/>
    </row>
    <row r="1703" spans="1:23" ht="12" x14ac:dyDescent="0.2">
      <c r="A1703" s="39"/>
      <c r="B1703" s="40"/>
      <c r="C1703" s="40"/>
      <c r="D1703" s="41"/>
      <c r="E1703" s="41"/>
      <c r="F1703" s="41"/>
      <c r="G1703" s="42"/>
      <c r="H1703" s="40"/>
      <c r="I1703" s="39"/>
      <c r="J1703" s="43"/>
      <c r="K1703" s="43"/>
      <c r="L1703" s="43"/>
      <c r="M1703" s="44"/>
      <c r="N1703" s="44"/>
      <c r="O1703" s="44"/>
      <c r="P1703" s="40"/>
      <c r="Q1703" s="40"/>
      <c r="R1703" s="40"/>
      <c r="S1703" s="40"/>
      <c r="T1703" s="40"/>
      <c r="U1703" s="40"/>
      <c r="V1703" s="40"/>
      <c r="W1703" s="40"/>
    </row>
    <row r="1704" spans="1:23" ht="12" x14ac:dyDescent="0.2">
      <c r="A1704" s="39"/>
      <c r="B1704" s="40"/>
      <c r="C1704" s="40"/>
      <c r="D1704" s="41"/>
      <c r="E1704" s="41"/>
      <c r="F1704" s="41"/>
      <c r="G1704" s="42"/>
      <c r="H1704" s="40"/>
      <c r="I1704" s="39"/>
      <c r="J1704" s="43"/>
      <c r="K1704" s="43"/>
      <c r="L1704" s="43"/>
      <c r="M1704" s="44"/>
      <c r="N1704" s="44"/>
      <c r="O1704" s="44"/>
      <c r="P1704" s="40"/>
      <c r="Q1704" s="40"/>
      <c r="R1704" s="40"/>
      <c r="S1704" s="40"/>
      <c r="T1704" s="40"/>
      <c r="U1704" s="40"/>
      <c r="V1704" s="40"/>
      <c r="W1704" s="40"/>
    </row>
    <row r="1705" spans="1:23" ht="12" x14ac:dyDescent="0.2">
      <c r="A1705" s="39"/>
      <c r="B1705" s="40"/>
      <c r="C1705" s="40"/>
      <c r="D1705" s="41"/>
      <c r="E1705" s="41"/>
      <c r="F1705" s="41"/>
      <c r="G1705" s="42"/>
      <c r="H1705" s="40"/>
      <c r="I1705" s="39"/>
      <c r="J1705" s="43"/>
      <c r="K1705" s="43"/>
      <c r="L1705" s="43"/>
      <c r="M1705" s="44"/>
      <c r="N1705" s="44"/>
      <c r="O1705" s="44"/>
      <c r="P1705" s="40"/>
      <c r="Q1705" s="40"/>
      <c r="R1705" s="40"/>
      <c r="S1705" s="40"/>
      <c r="T1705" s="40"/>
      <c r="U1705" s="40"/>
      <c r="V1705" s="40"/>
      <c r="W1705" s="40"/>
    </row>
    <row r="1706" spans="1:23" ht="12" x14ac:dyDescent="0.2">
      <c r="A1706" s="39"/>
      <c r="B1706" s="40"/>
      <c r="C1706" s="40"/>
      <c r="D1706" s="41"/>
      <c r="E1706" s="41"/>
      <c r="F1706" s="41"/>
      <c r="G1706" s="42"/>
      <c r="H1706" s="40"/>
      <c r="I1706" s="39"/>
      <c r="J1706" s="43"/>
      <c r="K1706" s="43"/>
      <c r="L1706" s="43"/>
      <c r="M1706" s="44"/>
      <c r="N1706" s="44"/>
      <c r="O1706" s="44"/>
      <c r="P1706" s="40"/>
      <c r="Q1706" s="40"/>
      <c r="R1706" s="40"/>
      <c r="S1706" s="40"/>
      <c r="T1706" s="40"/>
      <c r="U1706" s="40"/>
      <c r="V1706" s="40"/>
      <c r="W1706" s="40"/>
    </row>
    <row r="1707" spans="1:23" ht="12" x14ac:dyDescent="0.2">
      <c r="A1707" s="39"/>
      <c r="B1707" s="40"/>
      <c r="C1707" s="40"/>
      <c r="D1707" s="41"/>
      <c r="E1707" s="41"/>
      <c r="F1707" s="41"/>
      <c r="G1707" s="42"/>
      <c r="H1707" s="40"/>
      <c r="I1707" s="39"/>
      <c r="J1707" s="43"/>
      <c r="K1707" s="43"/>
      <c r="L1707" s="43"/>
      <c r="M1707" s="44"/>
      <c r="N1707" s="44"/>
      <c r="O1707" s="44"/>
      <c r="P1707" s="40"/>
      <c r="Q1707" s="40"/>
      <c r="R1707" s="40"/>
      <c r="S1707" s="40"/>
      <c r="T1707" s="40"/>
      <c r="U1707" s="40"/>
      <c r="V1707" s="40"/>
      <c r="W1707" s="40"/>
    </row>
    <row r="1708" spans="1:23" ht="12" x14ac:dyDescent="0.2">
      <c r="A1708" s="39"/>
      <c r="B1708" s="40"/>
      <c r="C1708" s="40"/>
      <c r="D1708" s="41"/>
      <c r="E1708" s="41"/>
      <c r="F1708" s="41"/>
      <c r="G1708" s="42"/>
      <c r="H1708" s="40"/>
      <c r="I1708" s="39"/>
      <c r="J1708" s="43"/>
      <c r="K1708" s="43"/>
      <c r="L1708" s="43"/>
      <c r="M1708" s="44"/>
      <c r="N1708" s="44"/>
      <c r="O1708" s="44"/>
      <c r="P1708" s="40"/>
      <c r="Q1708" s="40"/>
      <c r="R1708" s="40"/>
      <c r="S1708" s="40"/>
      <c r="T1708" s="40"/>
      <c r="U1708" s="40"/>
      <c r="V1708" s="40"/>
      <c r="W1708" s="40"/>
    </row>
    <row r="1709" spans="1:23" ht="12" x14ac:dyDescent="0.2">
      <c r="A1709" s="39"/>
      <c r="B1709" s="40"/>
      <c r="C1709" s="40"/>
      <c r="D1709" s="41"/>
      <c r="E1709" s="41"/>
      <c r="F1709" s="41"/>
      <c r="G1709" s="42"/>
      <c r="H1709" s="40"/>
      <c r="I1709" s="39"/>
      <c r="J1709" s="43"/>
      <c r="K1709" s="43"/>
      <c r="L1709" s="43"/>
      <c r="M1709" s="44"/>
      <c r="N1709" s="44"/>
      <c r="O1709" s="44"/>
      <c r="P1709" s="40"/>
      <c r="Q1709" s="40"/>
      <c r="R1709" s="40"/>
      <c r="S1709" s="40"/>
      <c r="T1709" s="40"/>
      <c r="U1709" s="40"/>
      <c r="V1709" s="40"/>
      <c r="W1709" s="40"/>
    </row>
    <row r="1710" spans="1:23" ht="12" x14ac:dyDescent="0.2">
      <c r="A1710" s="39"/>
      <c r="B1710" s="40"/>
      <c r="C1710" s="40"/>
      <c r="D1710" s="41"/>
      <c r="E1710" s="41"/>
      <c r="F1710" s="41"/>
      <c r="G1710" s="42"/>
      <c r="H1710" s="40"/>
      <c r="I1710" s="39"/>
      <c r="J1710" s="43"/>
      <c r="K1710" s="43"/>
      <c r="L1710" s="43"/>
      <c r="M1710" s="44"/>
      <c r="N1710" s="44"/>
      <c r="O1710" s="44"/>
      <c r="P1710" s="40"/>
      <c r="Q1710" s="40"/>
      <c r="R1710" s="40"/>
      <c r="S1710" s="40"/>
      <c r="T1710" s="40"/>
      <c r="U1710" s="40"/>
      <c r="V1710" s="40"/>
      <c r="W1710" s="40"/>
    </row>
    <row r="1711" spans="1:23" ht="12" x14ac:dyDescent="0.2">
      <c r="A1711" s="39"/>
      <c r="B1711" s="40"/>
      <c r="C1711" s="40"/>
      <c r="D1711" s="41"/>
      <c r="E1711" s="41"/>
      <c r="F1711" s="41"/>
      <c r="G1711" s="42"/>
      <c r="H1711" s="40"/>
      <c r="I1711" s="39"/>
      <c r="J1711" s="43"/>
      <c r="K1711" s="43"/>
      <c r="L1711" s="43"/>
      <c r="M1711" s="44"/>
      <c r="N1711" s="44"/>
      <c r="O1711" s="44"/>
      <c r="P1711" s="40"/>
      <c r="Q1711" s="40"/>
      <c r="R1711" s="40"/>
      <c r="S1711" s="40"/>
      <c r="T1711" s="40"/>
      <c r="U1711" s="40"/>
      <c r="V1711" s="40"/>
      <c r="W1711" s="40"/>
    </row>
    <row r="1712" spans="1:23" ht="12" x14ac:dyDescent="0.2">
      <c r="A1712" s="39"/>
      <c r="B1712" s="40"/>
      <c r="C1712" s="40"/>
      <c r="D1712" s="41"/>
      <c r="E1712" s="41"/>
      <c r="F1712" s="41"/>
      <c r="G1712" s="42"/>
      <c r="H1712" s="40"/>
      <c r="I1712" s="39"/>
      <c r="J1712" s="43"/>
      <c r="K1712" s="43"/>
      <c r="L1712" s="43"/>
      <c r="M1712" s="44"/>
      <c r="N1712" s="44"/>
      <c r="O1712" s="44"/>
      <c r="P1712" s="40"/>
      <c r="Q1712" s="40"/>
      <c r="R1712" s="40"/>
      <c r="S1712" s="40"/>
      <c r="T1712" s="40"/>
      <c r="U1712" s="40"/>
      <c r="V1712" s="40"/>
      <c r="W1712" s="40"/>
    </row>
    <row r="1713" spans="1:23" ht="12" x14ac:dyDescent="0.2">
      <c r="A1713" s="39"/>
      <c r="B1713" s="40"/>
      <c r="C1713" s="40"/>
      <c r="D1713" s="41"/>
      <c r="E1713" s="41"/>
      <c r="F1713" s="41"/>
      <c r="G1713" s="42"/>
      <c r="H1713" s="40"/>
      <c r="I1713" s="39"/>
      <c r="J1713" s="43"/>
      <c r="K1713" s="43"/>
      <c r="L1713" s="43"/>
      <c r="M1713" s="44"/>
      <c r="N1713" s="44"/>
      <c r="O1713" s="44"/>
      <c r="P1713" s="40"/>
      <c r="Q1713" s="40"/>
      <c r="R1713" s="40"/>
      <c r="S1713" s="40"/>
      <c r="T1713" s="40"/>
      <c r="U1713" s="40"/>
      <c r="V1713" s="40"/>
      <c r="W1713" s="40"/>
    </row>
    <row r="1714" spans="1:23" ht="12" x14ac:dyDescent="0.2">
      <c r="A1714" s="39"/>
      <c r="B1714" s="40"/>
      <c r="C1714" s="40"/>
      <c r="D1714" s="41"/>
      <c r="E1714" s="41"/>
      <c r="F1714" s="41"/>
      <c r="G1714" s="42"/>
      <c r="H1714" s="40"/>
      <c r="I1714" s="39"/>
      <c r="J1714" s="43"/>
      <c r="K1714" s="43"/>
      <c r="L1714" s="43"/>
      <c r="M1714" s="44"/>
      <c r="N1714" s="44"/>
      <c r="O1714" s="44"/>
      <c r="P1714" s="40"/>
      <c r="Q1714" s="40"/>
      <c r="R1714" s="40"/>
      <c r="S1714" s="40"/>
      <c r="T1714" s="40"/>
      <c r="U1714" s="40"/>
      <c r="V1714" s="40"/>
      <c r="W1714" s="40"/>
    </row>
    <row r="1715" spans="1:23" ht="12" x14ac:dyDescent="0.2">
      <c r="A1715" s="39"/>
      <c r="B1715" s="40"/>
      <c r="C1715" s="40"/>
      <c r="D1715" s="41"/>
      <c r="E1715" s="41"/>
      <c r="F1715" s="41"/>
      <c r="G1715" s="42"/>
      <c r="H1715" s="40"/>
      <c r="I1715" s="39"/>
      <c r="J1715" s="43"/>
      <c r="K1715" s="43"/>
      <c r="L1715" s="43"/>
      <c r="M1715" s="44"/>
      <c r="N1715" s="44"/>
      <c r="O1715" s="44"/>
      <c r="P1715" s="40"/>
      <c r="Q1715" s="40"/>
      <c r="R1715" s="40"/>
      <c r="S1715" s="40"/>
      <c r="T1715" s="40"/>
      <c r="U1715" s="40"/>
      <c r="V1715" s="40"/>
      <c r="W1715" s="40"/>
    </row>
    <row r="1716" spans="1:23" ht="12" x14ac:dyDescent="0.2">
      <c r="A1716" s="39"/>
      <c r="B1716" s="40"/>
      <c r="C1716" s="40"/>
      <c r="D1716" s="41"/>
      <c r="E1716" s="41"/>
      <c r="F1716" s="41"/>
      <c r="G1716" s="42"/>
      <c r="H1716" s="40"/>
      <c r="I1716" s="39"/>
      <c r="J1716" s="43"/>
      <c r="K1716" s="43"/>
      <c r="L1716" s="43"/>
      <c r="M1716" s="44"/>
      <c r="N1716" s="44"/>
      <c r="O1716" s="44"/>
      <c r="P1716" s="40"/>
      <c r="Q1716" s="40"/>
      <c r="R1716" s="40"/>
      <c r="S1716" s="40"/>
      <c r="T1716" s="40"/>
      <c r="U1716" s="40"/>
      <c r="V1716" s="40"/>
      <c r="W1716" s="40"/>
    </row>
    <row r="1717" spans="1:23" ht="12" x14ac:dyDescent="0.2">
      <c r="A1717" s="39"/>
      <c r="B1717" s="40"/>
      <c r="C1717" s="40"/>
      <c r="D1717" s="41"/>
      <c r="E1717" s="41"/>
      <c r="F1717" s="41"/>
      <c r="G1717" s="42"/>
      <c r="H1717" s="40"/>
      <c r="I1717" s="39"/>
      <c r="J1717" s="43"/>
      <c r="K1717" s="43"/>
      <c r="L1717" s="43"/>
      <c r="M1717" s="44"/>
      <c r="N1717" s="44"/>
      <c r="O1717" s="44"/>
      <c r="P1717" s="40"/>
      <c r="Q1717" s="40"/>
      <c r="R1717" s="40"/>
      <c r="S1717" s="40"/>
      <c r="T1717" s="40"/>
      <c r="U1717" s="40"/>
      <c r="V1717" s="40"/>
      <c r="W1717" s="40"/>
    </row>
    <row r="1718" spans="1:23" ht="12" x14ac:dyDescent="0.2">
      <c r="A1718" s="39"/>
      <c r="B1718" s="40"/>
      <c r="C1718" s="40"/>
      <c r="D1718" s="41"/>
      <c r="E1718" s="41"/>
      <c r="F1718" s="41"/>
      <c r="G1718" s="42"/>
      <c r="H1718" s="40"/>
      <c r="I1718" s="39"/>
      <c r="J1718" s="43"/>
      <c r="K1718" s="43"/>
      <c r="L1718" s="43"/>
      <c r="M1718" s="44"/>
      <c r="N1718" s="44"/>
      <c r="O1718" s="44"/>
      <c r="P1718" s="40"/>
      <c r="Q1718" s="40"/>
      <c r="R1718" s="40"/>
      <c r="S1718" s="40"/>
      <c r="T1718" s="40"/>
      <c r="U1718" s="40"/>
      <c r="V1718" s="40"/>
      <c r="W1718" s="40"/>
    </row>
    <row r="1719" spans="1:23" ht="12" x14ac:dyDescent="0.2">
      <c r="A1719" s="39"/>
      <c r="B1719" s="40"/>
      <c r="C1719" s="40"/>
      <c r="D1719" s="41"/>
      <c r="E1719" s="41"/>
      <c r="F1719" s="41"/>
      <c r="G1719" s="42"/>
      <c r="H1719" s="40"/>
      <c r="I1719" s="39"/>
      <c r="J1719" s="43"/>
      <c r="K1719" s="43"/>
      <c r="L1719" s="43"/>
      <c r="M1719" s="44"/>
      <c r="N1719" s="44"/>
      <c r="O1719" s="44"/>
      <c r="P1719" s="40"/>
      <c r="Q1719" s="40"/>
      <c r="R1719" s="40"/>
      <c r="S1719" s="40"/>
      <c r="T1719" s="40"/>
      <c r="U1719" s="40"/>
      <c r="V1719" s="40"/>
      <c r="W1719" s="40"/>
    </row>
    <row r="1720" spans="1:23" ht="12" x14ac:dyDescent="0.2">
      <c r="A1720" s="39"/>
      <c r="B1720" s="40"/>
      <c r="C1720" s="40"/>
      <c r="D1720" s="41"/>
      <c r="E1720" s="41"/>
      <c r="F1720" s="41"/>
      <c r="G1720" s="42"/>
      <c r="H1720" s="40"/>
      <c r="I1720" s="39"/>
      <c r="J1720" s="43"/>
      <c r="K1720" s="43"/>
      <c r="L1720" s="43"/>
      <c r="M1720" s="44"/>
      <c r="N1720" s="44"/>
      <c r="O1720" s="44"/>
      <c r="P1720" s="40"/>
      <c r="Q1720" s="40"/>
      <c r="R1720" s="40"/>
      <c r="S1720" s="40"/>
      <c r="T1720" s="40"/>
      <c r="U1720" s="40"/>
      <c r="V1720" s="40"/>
      <c r="W1720" s="40"/>
    </row>
    <row r="1721" spans="1:23" ht="12" x14ac:dyDescent="0.2">
      <c r="A1721" s="39"/>
      <c r="B1721" s="40"/>
      <c r="C1721" s="40"/>
      <c r="D1721" s="41"/>
      <c r="E1721" s="41"/>
      <c r="F1721" s="41"/>
      <c r="G1721" s="42"/>
      <c r="H1721" s="40"/>
      <c r="I1721" s="39"/>
      <c r="J1721" s="43"/>
      <c r="K1721" s="43"/>
      <c r="L1721" s="43"/>
      <c r="M1721" s="44"/>
      <c r="N1721" s="44"/>
      <c r="O1721" s="44"/>
      <c r="P1721" s="40"/>
      <c r="Q1721" s="40"/>
      <c r="R1721" s="40"/>
      <c r="S1721" s="40"/>
      <c r="T1721" s="40"/>
      <c r="U1721" s="40"/>
      <c r="V1721" s="40"/>
      <c r="W1721" s="40"/>
    </row>
    <row r="1722" spans="1:23" ht="12" x14ac:dyDescent="0.2">
      <c r="A1722" s="39"/>
      <c r="B1722" s="40"/>
      <c r="C1722" s="40"/>
      <c r="D1722" s="41"/>
      <c r="E1722" s="41"/>
      <c r="F1722" s="41"/>
      <c r="G1722" s="42"/>
      <c r="H1722" s="40"/>
      <c r="I1722" s="39"/>
      <c r="J1722" s="43"/>
      <c r="K1722" s="43"/>
      <c r="L1722" s="43"/>
      <c r="M1722" s="44"/>
      <c r="N1722" s="44"/>
      <c r="O1722" s="44"/>
      <c r="P1722" s="40"/>
      <c r="Q1722" s="40"/>
      <c r="R1722" s="40"/>
      <c r="S1722" s="40"/>
      <c r="T1722" s="40"/>
      <c r="U1722" s="40"/>
      <c r="V1722" s="40"/>
      <c r="W1722" s="40"/>
    </row>
    <row r="1723" spans="1:23" ht="12" x14ac:dyDescent="0.2">
      <c r="A1723" s="39"/>
      <c r="B1723" s="40"/>
      <c r="C1723" s="40"/>
      <c r="D1723" s="41"/>
      <c r="E1723" s="41"/>
      <c r="F1723" s="41"/>
      <c r="G1723" s="42"/>
      <c r="H1723" s="40"/>
      <c r="I1723" s="39"/>
      <c r="J1723" s="43"/>
      <c r="K1723" s="43"/>
      <c r="L1723" s="43"/>
      <c r="M1723" s="44"/>
      <c r="N1723" s="44"/>
      <c r="O1723" s="44"/>
      <c r="P1723" s="40"/>
      <c r="Q1723" s="40"/>
      <c r="R1723" s="40"/>
      <c r="S1723" s="40"/>
      <c r="T1723" s="40"/>
      <c r="U1723" s="40"/>
      <c r="V1723" s="40"/>
      <c r="W1723" s="40"/>
    </row>
    <row r="1724" spans="1:23" ht="12" x14ac:dyDescent="0.2">
      <c r="A1724" s="39"/>
      <c r="B1724" s="40"/>
      <c r="C1724" s="40"/>
      <c r="D1724" s="41"/>
      <c r="E1724" s="41"/>
      <c r="F1724" s="41"/>
      <c r="G1724" s="42"/>
      <c r="H1724" s="40"/>
      <c r="I1724" s="39"/>
      <c r="J1724" s="43"/>
      <c r="K1724" s="43"/>
      <c r="L1724" s="43"/>
      <c r="M1724" s="44"/>
      <c r="N1724" s="44"/>
      <c r="O1724" s="44"/>
      <c r="P1724" s="40"/>
      <c r="Q1724" s="40"/>
      <c r="R1724" s="40"/>
      <c r="S1724" s="40"/>
      <c r="T1724" s="40"/>
      <c r="U1724" s="40"/>
      <c r="V1724" s="40"/>
      <c r="W1724" s="40"/>
    </row>
    <row r="1725" spans="1:23" ht="12" x14ac:dyDescent="0.2">
      <c r="A1725" s="39"/>
      <c r="B1725" s="40"/>
      <c r="C1725" s="40"/>
      <c r="D1725" s="41"/>
      <c r="E1725" s="41"/>
      <c r="F1725" s="41"/>
      <c r="G1725" s="42"/>
      <c r="H1725" s="40"/>
      <c r="I1725" s="39"/>
      <c r="J1725" s="43"/>
      <c r="K1725" s="43"/>
      <c r="L1725" s="43"/>
      <c r="M1725" s="44"/>
      <c r="N1725" s="44"/>
      <c r="O1725" s="44"/>
      <c r="P1725" s="40"/>
      <c r="Q1725" s="40"/>
      <c r="R1725" s="40"/>
      <c r="S1725" s="40"/>
      <c r="T1725" s="40"/>
      <c r="U1725" s="40"/>
      <c r="V1725" s="40"/>
      <c r="W1725" s="40"/>
    </row>
    <row r="1726" spans="1:23" ht="12" x14ac:dyDescent="0.2">
      <c r="A1726" s="39"/>
      <c r="B1726" s="40"/>
      <c r="C1726" s="40"/>
      <c r="D1726" s="41"/>
      <c r="E1726" s="41"/>
      <c r="F1726" s="41"/>
      <c r="G1726" s="42"/>
      <c r="H1726" s="40"/>
      <c r="I1726" s="39"/>
      <c r="J1726" s="43"/>
      <c r="K1726" s="43"/>
      <c r="L1726" s="43"/>
      <c r="M1726" s="44"/>
      <c r="N1726" s="44"/>
      <c r="O1726" s="44"/>
      <c r="P1726" s="40"/>
      <c r="Q1726" s="40"/>
      <c r="R1726" s="40"/>
      <c r="S1726" s="40"/>
      <c r="T1726" s="40"/>
      <c r="U1726" s="40"/>
      <c r="V1726" s="40"/>
      <c r="W1726" s="40"/>
    </row>
    <row r="1727" spans="1:23" ht="12" x14ac:dyDescent="0.2">
      <c r="A1727" s="39"/>
      <c r="B1727" s="40"/>
      <c r="C1727" s="40"/>
      <c r="D1727" s="41"/>
      <c r="E1727" s="41"/>
      <c r="F1727" s="41"/>
      <c r="G1727" s="42"/>
      <c r="H1727" s="40"/>
      <c r="I1727" s="39"/>
      <c r="J1727" s="43"/>
      <c r="K1727" s="43"/>
      <c r="L1727" s="43"/>
      <c r="M1727" s="44"/>
      <c r="N1727" s="44"/>
      <c r="O1727" s="44"/>
      <c r="P1727" s="40"/>
      <c r="Q1727" s="40"/>
      <c r="R1727" s="40"/>
      <c r="S1727" s="40"/>
      <c r="T1727" s="40"/>
      <c r="U1727" s="40"/>
      <c r="V1727" s="40"/>
      <c r="W1727" s="40"/>
    </row>
    <row r="1728" spans="1:23" ht="12" x14ac:dyDescent="0.2">
      <c r="A1728" s="39"/>
      <c r="B1728" s="40"/>
      <c r="C1728" s="40"/>
      <c r="D1728" s="41"/>
      <c r="E1728" s="41"/>
      <c r="F1728" s="41"/>
      <c r="G1728" s="42"/>
      <c r="H1728" s="40"/>
      <c r="I1728" s="39"/>
      <c r="J1728" s="43"/>
      <c r="K1728" s="43"/>
      <c r="L1728" s="43"/>
      <c r="M1728" s="44"/>
      <c r="N1728" s="44"/>
      <c r="O1728" s="44"/>
      <c r="P1728" s="40"/>
      <c r="Q1728" s="40"/>
      <c r="R1728" s="40"/>
      <c r="S1728" s="40"/>
      <c r="T1728" s="40"/>
      <c r="U1728" s="40"/>
      <c r="V1728" s="40"/>
      <c r="W1728" s="40"/>
    </row>
    <row r="1729" spans="1:23" ht="12" x14ac:dyDescent="0.2">
      <c r="A1729" s="39"/>
      <c r="B1729" s="40"/>
      <c r="C1729" s="40"/>
      <c r="D1729" s="41"/>
      <c r="E1729" s="41"/>
      <c r="F1729" s="41"/>
      <c r="G1729" s="42"/>
      <c r="H1729" s="40"/>
      <c r="I1729" s="39"/>
      <c r="J1729" s="43"/>
      <c r="K1729" s="43"/>
      <c r="L1729" s="43"/>
      <c r="M1729" s="44"/>
      <c r="N1729" s="44"/>
      <c r="O1729" s="44"/>
      <c r="P1729" s="40"/>
      <c r="Q1729" s="40"/>
      <c r="R1729" s="40"/>
      <c r="S1729" s="40"/>
      <c r="T1729" s="40"/>
      <c r="U1729" s="40"/>
      <c r="V1729" s="40"/>
      <c r="W1729" s="40"/>
    </row>
    <row r="1730" spans="1:23" ht="12" x14ac:dyDescent="0.2">
      <c r="A1730" s="39"/>
      <c r="B1730" s="40"/>
      <c r="C1730" s="40"/>
      <c r="D1730" s="41"/>
      <c r="E1730" s="41"/>
      <c r="F1730" s="41"/>
      <c r="G1730" s="42"/>
      <c r="H1730" s="40"/>
      <c r="I1730" s="39"/>
      <c r="J1730" s="43"/>
      <c r="K1730" s="43"/>
      <c r="L1730" s="43"/>
      <c r="M1730" s="44"/>
      <c r="N1730" s="44"/>
      <c r="O1730" s="44"/>
      <c r="P1730" s="40"/>
      <c r="Q1730" s="40"/>
      <c r="R1730" s="40"/>
      <c r="S1730" s="40"/>
      <c r="T1730" s="40"/>
      <c r="U1730" s="40"/>
      <c r="V1730" s="40"/>
      <c r="W1730" s="40"/>
    </row>
    <row r="1731" spans="1:23" ht="12" x14ac:dyDescent="0.2">
      <c r="A1731" s="39"/>
      <c r="B1731" s="40"/>
      <c r="C1731" s="40"/>
      <c r="D1731" s="41"/>
      <c r="E1731" s="41"/>
      <c r="F1731" s="41"/>
      <c r="G1731" s="42"/>
      <c r="H1731" s="40"/>
      <c r="I1731" s="39"/>
      <c r="J1731" s="43"/>
      <c r="K1731" s="43"/>
      <c r="L1731" s="43"/>
      <c r="M1731" s="44"/>
      <c r="N1731" s="44"/>
      <c r="O1731" s="44"/>
      <c r="P1731" s="40"/>
      <c r="Q1731" s="40"/>
      <c r="R1731" s="40"/>
      <c r="S1731" s="40"/>
      <c r="T1731" s="40"/>
      <c r="U1731" s="40"/>
      <c r="V1731" s="40"/>
      <c r="W1731" s="40"/>
    </row>
    <row r="1732" spans="1:23" ht="12" x14ac:dyDescent="0.2">
      <c r="A1732" s="39"/>
      <c r="B1732" s="40"/>
      <c r="C1732" s="40"/>
      <c r="D1732" s="41"/>
      <c r="E1732" s="41"/>
      <c r="F1732" s="41"/>
      <c r="G1732" s="42"/>
      <c r="H1732" s="40"/>
      <c r="I1732" s="39"/>
      <c r="J1732" s="43"/>
      <c r="K1732" s="43"/>
      <c r="L1732" s="43"/>
      <c r="M1732" s="44"/>
      <c r="N1732" s="44"/>
      <c r="O1732" s="44"/>
      <c r="P1732" s="40"/>
      <c r="Q1732" s="40"/>
      <c r="R1732" s="40"/>
      <c r="S1732" s="40"/>
      <c r="T1732" s="40"/>
      <c r="U1732" s="40"/>
      <c r="V1732" s="40"/>
      <c r="W1732" s="40"/>
    </row>
    <row r="1733" spans="1:23" ht="12" x14ac:dyDescent="0.2">
      <c r="A1733" s="39"/>
      <c r="B1733" s="40"/>
      <c r="C1733" s="40"/>
      <c r="D1733" s="41"/>
      <c r="E1733" s="41"/>
      <c r="F1733" s="41"/>
      <c r="G1733" s="42"/>
      <c r="H1733" s="40"/>
      <c r="I1733" s="39"/>
      <c r="J1733" s="43"/>
      <c r="K1733" s="43"/>
      <c r="L1733" s="43"/>
      <c r="M1733" s="44"/>
      <c r="N1733" s="44"/>
      <c r="O1733" s="44"/>
      <c r="P1733" s="40"/>
      <c r="Q1733" s="40"/>
      <c r="R1733" s="40"/>
      <c r="S1733" s="40"/>
      <c r="T1733" s="40"/>
      <c r="U1733" s="40"/>
      <c r="V1733" s="40"/>
      <c r="W1733" s="40"/>
    </row>
    <row r="1734" spans="1:23" ht="12" x14ac:dyDescent="0.2">
      <c r="A1734" s="39"/>
      <c r="B1734" s="40"/>
      <c r="C1734" s="40"/>
      <c r="D1734" s="41"/>
      <c r="E1734" s="41"/>
      <c r="F1734" s="41"/>
      <c r="G1734" s="42"/>
      <c r="H1734" s="40"/>
      <c r="I1734" s="39"/>
      <c r="J1734" s="43"/>
      <c r="K1734" s="43"/>
      <c r="L1734" s="43"/>
      <c r="M1734" s="44"/>
      <c r="N1734" s="44"/>
      <c r="O1734" s="44"/>
      <c r="P1734" s="40"/>
      <c r="Q1734" s="40"/>
      <c r="R1734" s="40"/>
      <c r="S1734" s="40"/>
      <c r="T1734" s="40"/>
      <c r="U1734" s="40"/>
      <c r="V1734" s="40"/>
      <c r="W1734" s="40"/>
    </row>
    <row r="1735" spans="1:23" ht="12" x14ac:dyDescent="0.2">
      <c r="A1735" s="39"/>
      <c r="B1735" s="40"/>
      <c r="C1735" s="40"/>
      <c r="D1735" s="41"/>
      <c r="E1735" s="41"/>
      <c r="F1735" s="41"/>
      <c r="G1735" s="42"/>
      <c r="H1735" s="40"/>
      <c r="I1735" s="39"/>
      <c r="J1735" s="43"/>
      <c r="K1735" s="43"/>
      <c r="L1735" s="43"/>
      <c r="M1735" s="44"/>
      <c r="N1735" s="44"/>
      <c r="O1735" s="44"/>
      <c r="P1735" s="40"/>
      <c r="Q1735" s="40"/>
      <c r="R1735" s="40"/>
      <c r="S1735" s="40"/>
      <c r="T1735" s="40"/>
      <c r="U1735" s="40"/>
      <c r="V1735" s="40"/>
      <c r="W1735" s="40"/>
    </row>
    <row r="1736" spans="1:23" ht="12" x14ac:dyDescent="0.2">
      <c r="A1736" s="39"/>
      <c r="B1736" s="40"/>
      <c r="C1736" s="40"/>
      <c r="D1736" s="41"/>
      <c r="E1736" s="41"/>
      <c r="F1736" s="41"/>
      <c r="G1736" s="42"/>
      <c r="H1736" s="40"/>
      <c r="I1736" s="39"/>
      <c r="J1736" s="43"/>
      <c r="K1736" s="43"/>
      <c r="L1736" s="43"/>
      <c r="M1736" s="44"/>
      <c r="N1736" s="44"/>
      <c r="O1736" s="44"/>
      <c r="P1736" s="40"/>
      <c r="Q1736" s="40"/>
      <c r="R1736" s="40"/>
      <c r="S1736" s="40"/>
      <c r="T1736" s="40"/>
      <c r="U1736" s="40"/>
      <c r="V1736" s="40"/>
      <c r="W1736" s="40"/>
    </row>
    <row r="1737" spans="1:23" ht="12" x14ac:dyDescent="0.2">
      <c r="A1737" s="39"/>
      <c r="B1737" s="40"/>
      <c r="C1737" s="40"/>
      <c r="D1737" s="41"/>
      <c r="E1737" s="41"/>
      <c r="F1737" s="41"/>
      <c r="G1737" s="42"/>
      <c r="H1737" s="40"/>
      <c r="I1737" s="39"/>
      <c r="J1737" s="43"/>
      <c r="K1737" s="43"/>
      <c r="L1737" s="43"/>
      <c r="M1737" s="44"/>
      <c r="N1737" s="44"/>
      <c r="O1737" s="44"/>
      <c r="P1737" s="40"/>
      <c r="Q1737" s="40"/>
      <c r="R1737" s="40"/>
      <c r="S1737" s="40"/>
      <c r="T1737" s="40"/>
      <c r="U1737" s="40"/>
      <c r="V1737" s="40"/>
      <c r="W1737" s="40"/>
    </row>
    <row r="1738" spans="1:23" ht="12" x14ac:dyDescent="0.2">
      <c r="A1738" s="39"/>
      <c r="B1738" s="40"/>
      <c r="C1738" s="40"/>
      <c r="D1738" s="41"/>
      <c r="E1738" s="41"/>
      <c r="F1738" s="41"/>
      <c r="G1738" s="42"/>
      <c r="H1738" s="40"/>
      <c r="I1738" s="39"/>
      <c r="J1738" s="43"/>
      <c r="K1738" s="43"/>
      <c r="L1738" s="43"/>
      <c r="M1738" s="44"/>
      <c r="N1738" s="44"/>
      <c r="O1738" s="44"/>
      <c r="P1738" s="40"/>
      <c r="Q1738" s="40"/>
      <c r="R1738" s="40"/>
      <c r="S1738" s="40"/>
      <c r="T1738" s="40"/>
      <c r="U1738" s="40"/>
      <c r="V1738" s="40"/>
      <c r="W1738" s="40"/>
    </row>
    <row r="1739" spans="1:23" ht="12" x14ac:dyDescent="0.2">
      <c r="A1739" s="39"/>
      <c r="B1739" s="40"/>
      <c r="C1739" s="40"/>
      <c r="D1739" s="41"/>
      <c r="E1739" s="41"/>
      <c r="F1739" s="41"/>
      <c r="G1739" s="42"/>
      <c r="H1739" s="40"/>
      <c r="I1739" s="39"/>
      <c r="J1739" s="43"/>
      <c r="K1739" s="43"/>
      <c r="L1739" s="43"/>
      <c r="M1739" s="44"/>
      <c r="N1739" s="44"/>
      <c r="O1739" s="44"/>
      <c r="P1739" s="40"/>
      <c r="Q1739" s="40"/>
      <c r="R1739" s="40"/>
      <c r="S1739" s="40"/>
      <c r="T1739" s="40"/>
      <c r="U1739" s="40"/>
      <c r="V1739" s="40"/>
      <c r="W1739" s="40"/>
    </row>
    <row r="1740" spans="1:23" ht="12" x14ac:dyDescent="0.2">
      <c r="A1740" s="39"/>
      <c r="B1740" s="40"/>
      <c r="C1740" s="40"/>
      <c r="D1740" s="41"/>
      <c r="E1740" s="41"/>
      <c r="F1740" s="41"/>
      <c r="G1740" s="42"/>
      <c r="H1740" s="40"/>
      <c r="I1740" s="39"/>
      <c r="J1740" s="43"/>
      <c r="K1740" s="43"/>
      <c r="L1740" s="43"/>
      <c r="M1740" s="44"/>
      <c r="N1740" s="44"/>
      <c r="O1740" s="44"/>
      <c r="P1740" s="40"/>
      <c r="Q1740" s="40"/>
      <c r="R1740" s="40"/>
      <c r="S1740" s="40"/>
      <c r="T1740" s="40"/>
      <c r="U1740" s="40"/>
      <c r="V1740" s="40"/>
      <c r="W1740" s="40"/>
    </row>
    <row r="1741" spans="1:23" ht="12" x14ac:dyDescent="0.2">
      <c r="A1741" s="39"/>
      <c r="B1741" s="40"/>
      <c r="C1741" s="40"/>
      <c r="D1741" s="41"/>
      <c r="E1741" s="41"/>
      <c r="F1741" s="41"/>
      <c r="G1741" s="42"/>
      <c r="H1741" s="40"/>
      <c r="I1741" s="39"/>
      <c r="J1741" s="43"/>
      <c r="K1741" s="43"/>
      <c r="L1741" s="43"/>
      <c r="M1741" s="44"/>
      <c r="N1741" s="44"/>
      <c r="O1741" s="44"/>
      <c r="P1741" s="40"/>
      <c r="Q1741" s="40"/>
      <c r="R1741" s="40"/>
      <c r="S1741" s="40"/>
      <c r="T1741" s="40"/>
      <c r="U1741" s="40"/>
      <c r="V1741" s="40"/>
      <c r="W1741" s="40"/>
    </row>
    <row r="1742" spans="1:23" ht="12" x14ac:dyDescent="0.2">
      <c r="A1742" s="39"/>
      <c r="B1742" s="40"/>
      <c r="C1742" s="40"/>
      <c r="D1742" s="41"/>
      <c r="E1742" s="41"/>
      <c r="F1742" s="41"/>
      <c r="G1742" s="42"/>
      <c r="H1742" s="40"/>
      <c r="I1742" s="39"/>
      <c r="J1742" s="43"/>
      <c r="K1742" s="43"/>
      <c r="L1742" s="43"/>
      <c r="M1742" s="44"/>
      <c r="N1742" s="44"/>
      <c r="O1742" s="44"/>
      <c r="P1742" s="40"/>
      <c r="Q1742" s="40"/>
      <c r="R1742" s="40"/>
      <c r="S1742" s="40"/>
      <c r="T1742" s="40"/>
      <c r="U1742" s="40"/>
      <c r="V1742" s="40"/>
      <c r="W1742" s="40"/>
    </row>
    <row r="1743" spans="1:23" ht="12" x14ac:dyDescent="0.2">
      <c r="A1743" s="39"/>
      <c r="B1743" s="40"/>
      <c r="C1743" s="40"/>
      <c r="D1743" s="41"/>
      <c r="E1743" s="41"/>
      <c r="F1743" s="41"/>
      <c r="G1743" s="42"/>
      <c r="H1743" s="40"/>
      <c r="I1743" s="39"/>
      <c r="J1743" s="43"/>
      <c r="K1743" s="43"/>
      <c r="L1743" s="43"/>
      <c r="M1743" s="44"/>
      <c r="N1743" s="44"/>
      <c r="O1743" s="44"/>
      <c r="P1743" s="40"/>
      <c r="Q1743" s="40"/>
      <c r="R1743" s="40"/>
      <c r="S1743" s="40"/>
      <c r="T1743" s="40"/>
      <c r="U1743" s="40"/>
      <c r="V1743" s="40"/>
      <c r="W1743" s="40"/>
    </row>
    <row r="1744" spans="1:23" ht="12" x14ac:dyDescent="0.2">
      <c r="A1744" s="39"/>
      <c r="B1744" s="40"/>
      <c r="C1744" s="40"/>
      <c r="D1744" s="41"/>
      <c r="E1744" s="41"/>
      <c r="F1744" s="41"/>
      <c r="G1744" s="42"/>
      <c r="H1744" s="40"/>
      <c r="I1744" s="39"/>
      <c r="J1744" s="43"/>
      <c r="K1744" s="43"/>
      <c r="L1744" s="43"/>
      <c r="M1744" s="44"/>
      <c r="N1744" s="44"/>
      <c r="O1744" s="44"/>
      <c r="P1744" s="40"/>
      <c r="Q1744" s="40"/>
      <c r="R1744" s="40"/>
      <c r="S1744" s="40"/>
      <c r="T1744" s="40"/>
      <c r="U1744" s="40"/>
      <c r="V1744" s="40"/>
      <c r="W1744" s="40"/>
    </row>
    <row r="1745" spans="1:23" ht="12" x14ac:dyDescent="0.2">
      <c r="A1745" s="39"/>
      <c r="B1745" s="40"/>
      <c r="C1745" s="40"/>
      <c r="D1745" s="41"/>
      <c r="E1745" s="41"/>
      <c r="F1745" s="41"/>
      <c r="G1745" s="42"/>
      <c r="H1745" s="40"/>
      <c r="I1745" s="39"/>
      <c r="J1745" s="43"/>
      <c r="K1745" s="43"/>
      <c r="L1745" s="43"/>
      <c r="M1745" s="44"/>
      <c r="N1745" s="44"/>
      <c r="O1745" s="44"/>
      <c r="P1745" s="40"/>
      <c r="Q1745" s="40"/>
      <c r="R1745" s="40"/>
      <c r="S1745" s="40"/>
      <c r="T1745" s="40"/>
      <c r="U1745" s="40"/>
      <c r="V1745" s="40"/>
      <c r="W1745" s="40"/>
    </row>
    <row r="1746" spans="1:23" ht="12" x14ac:dyDescent="0.2">
      <c r="A1746" s="39"/>
      <c r="B1746" s="40"/>
      <c r="C1746" s="40"/>
      <c r="D1746" s="41"/>
      <c r="E1746" s="41"/>
      <c r="F1746" s="41"/>
      <c r="G1746" s="42"/>
      <c r="H1746" s="40"/>
      <c r="I1746" s="39"/>
      <c r="J1746" s="43"/>
      <c r="K1746" s="43"/>
      <c r="L1746" s="43"/>
      <c r="M1746" s="44"/>
      <c r="N1746" s="44"/>
      <c r="O1746" s="44"/>
      <c r="P1746" s="40"/>
      <c r="Q1746" s="40"/>
      <c r="R1746" s="40"/>
      <c r="S1746" s="40"/>
      <c r="T1746" s="40"/>
      <c r="U1746" s="40"/>
      <c r="V1746" s="40"/>
      <c r="W1746" s="40"/>
    </row>
    <row r="1747" spans="1:23" ht="12" x14ac:dyDescent="0.2">
      <c r="A1747" s="39"/>
      <c r="B1747" s="40"/>
      <c r="C1747" s="40"/>
      <c r="D1747" s="41"/>
      <c r="E1747" s="41"/>
      <c r="F1747" s="41"/>
      <c r="G1747" s="42"/>
      <c r="H1747" s="40"/>
      <c r="I1747" s="39"/>
      <c r="J1747" s="43"/>
      <c r="K1747" s="43"/>
      <c r="L1747" s="43"/>
      <c r="M1747" s="44"/>
      <c r="N1747" s="44"/>
      <c r="O1747" s="44"/>
      <c r="P1747" s="40"/>
      <c r="Q1747" s="40"/>
      <c r="R1747" s="40"/>
      <c r="S1747" s="40"/>
      <c r="T1747" s="40"/>
      <c r="U1747" s="40"/>
      <c r="V1747" s="40"/>
      <c r="W1747" s="40"/>
    </row>
    <row r="1748" spans="1:23" ht="12" x14ac:dyDescent="0.2">
      <c r="A1748" s="39"/>
      <c r="B1748" s="40"/>
      <c r="C1748" s="40"/>
      <c r="D1748" s="41"/>
      <c r="E1748" s="41"/>
      <c r="F1748" s="41"/>
      <c r="G1748" s="42"/>
      <c r="H1748" s="40"/>
      <c r="I1748" s="39"/>
      <c r="J1748" s="43"/>
      <c r="K1748" s="43"/>
      <c r="L1748" s="43"/>
      <c r="M1748" s="44"/>
      <c r="N1748" s="44"/>
      <c r="O1748" s="44"/>
      <c r="P1748" s="40"/>
      <c r="Q1748" s="40"/>
      <c r="R1748" s="40"/>
      <c r="S1748" s="40"/>
      <c r="T1748" s="40"/>
      <c r="U1748" s="40"/>
      <c r="V1748" s="40"/>
      <c r="W1748" s="40"/>
    </row>
    <row r="1749" spans="1:23" ht="12" x14ac:dyDescent="0.2">
      <c r="A1749" s="39"/>
      <c r="B1749" s="40"/>
      <c r="C1749" s="40"/>
      <c r="D1749" s="41"/>
      <c r="E1749" s="41"/>
      <c r="F1749" s="41"/>
      <c r="G1749" s="42"/>
      <c r="H1749" s="40"/>
      <c r="I1749" s="39"/>
      <c r="J1749" s="43"/>
      <c r="K1749" s="43"/>
      <c r="L1749" s="43"/>
      <c r="M1749" s="44"/>
      <c r="N1749" s="44"/>
      <c r="O1749" s="44"/>
      <c r="P1749" s="40"/>
      <c r="Q1749" s="40"/>
      <c r="R1749" s="40"/>
      <c r="S1749" s="40"/>
      <c r="T1749" s="40"/>
      <c r="U1749" s="40"/>
      <c r="V1749" s="40"/>
      <c r="W1749" s="40"/>
    </row>
    <row r="1750" spans="1:23" ht="12" x14ac:dyDescent="0.2">
      <c r="A1750" s="39"/>
      <c r="B1750" s="40"/>
      <c r="C1750" s="40"/>
      <c r="D1750" s="41"/>
      <c r="E1750" s="41"/>
      <c r="F1750" s="41"/>
      <c r="G1750" s="42"/>
      <c r="H1750" s="40"/>
      <c r="I1750" s="39"/>
      <c r="J1750" s="43"/>
      <c r="K1750" s="43"/>
      <c r="L1750" s="43"/>
      <c r="M1750" s="44"/>
      <c r="N1750" s="44"/>
      <c r="O1750" s="44"/>
      <c r="P1750" s="40"/>
      <c r="Q1750" s="40"/>
      <c r="R1750" s="40"/>
      <c r="S1750" s="40"/>
      <c r="T1750" s="40"/>
      <c r="U1750" s="40"/>
      <c r="V1750" s="40"/>
      <c r="W1750" s="40"/>
    </row>
    <row r="1751" spans="1:23" ht="12" x14ac:dyDescent="0.2">
      <c r="A1751" s="39"/>
      <c r="B1751" s="40"/>
      <c r="C1751" s="40"/>
      <c r="D1751" s="41"/>
      <c r="E1751" s="41"/>
      <c r="F1751" s="41"/>
      <c r="G1751" s="42"/>
      <c r="H1751" s="40"/>
      <c r="I1751" s="39"/>
      <c r="J1751" s="43"/>
      <c r="K1751" s="43"/>
      <c r="L1751" s="43"/>
      <c r="M1751" s="44"/>
      <c r="N1751" s="44"/>
      <c r="O1751" s="44"/>
      <c r="P1751" s="40"/>
      <c r="Q1751" s="40"/>
      <c r="R1751" s="40"/>
      <c r="S1751" s="40"/>
      <c r="T1751" s="40"/>
      <c r="U1751" s="40"/>
      <c r="V1751" s="40"/>
      <c r="W1751" s="40"/>
    </row>
    <row r="1752" spans="1:23" ht="12" x14ac:dyDescent="0.2">
      <c r="A1752" s="39"/>
      <c r="B1752" s="40"/>
      <c r="C1752" s="40"/>
      <c r="D1752" s="41"/>
      <c r="E1752" s="41"/>
      <c r="F1752" s="41"/>
      <c r="G1752" s="42"/>
      <c r="H1752" s="40"/>
      <c r="I1752" s="39"/>
      <c r="J1752" s="43"/>
      <c r="K1752" s="43"/>
      <c r="L1752" s="43"/>
      <c r="M1752" s="44"/>
      <c r="N1752" s="44"/>
      <c r="O1752" s="44"/>
      <c r="P1752" s="40"/>
      <c r="Q1752" s="40"/>
      <c r="R1752" s="40"/>
      <c r="S1752" s="40"/>
      <c r="T1752" s="40"/>
      <c r="U1752" s="40"/>
      <c r="V1752" s="40"/>
      <c r="W1752" s="40"/>
    </row>
    <row r="1753" spans="1:23" ht="12" x14ac:dyDescent="0.2">
      <c r="A1753" s="39"/>
      <c r="B1753" s="40"/>
      <c r="C1753" s="40"/>
      <c r="D1753" s="41"/>
      <c r="E1753" s="41"/>
      <c r="F1753" s="41"/>
      <c r="G1753" s="42"/>
      <c r="H1753" s="40"/>
      <c r="I1753" s="39"/>
      <c r="J1753" s="43"/>
      <c r="K1753" s="43"/>
      <c r="L1753" s="43"/>
      <c r="M1753" s="44"/>
      <c r="N1753" s="44"/>
      <c r="O1753" s="44"/>
      <c r="P1753" s="40"/>
      <c r="Q1753" s="40"/>
      <c r="R1753" s="40"/>
      <c r="S1753" s="40"/>
      <c r="T1753" s="40"/>
      <c r="U1753" s="40"/>
      <c r="V1753" s="40"/>
      <c r="W1753" s="40"/>
    </row>
    <row r="1754" spans="1:23" ht="12" x14ac:dyDescent="0.2">
      <c r="A1754" s="39"/>
      <c r="B1754" s="40"/>
      <c r="C1754" s="40"/>
      <c r="D1754" s="41"/>
      <c r="E1754" s="41"/>
      <c r="F1754" s="41"/>
      <c r="G1754" s="42"/>
      <c r="H1754" s="40"/>
      <c r="I1754" s="39"/>
      <c r="J1754" s="43"/>
      <c r="K1754" s="43"/>
      <c r="L1754" s="43"/>
      <c r="M1754" s="44"/>
      <c r="N1754" s="44"/>
      <c r="O1754" s="44"/>
      <c r="P1754" s="40"/>
      <c r="Q1754" s="40"/>
      <c r="R1754" s="40"/>
      <c r="S1754" s="40"/>
      <c r="T1754" s="40"/>
      <c r="U1754" s="40"/>
      <c r="V1754" s="40"/>
      <c r="W1754" s="40"/>
    </row>
    <row r="1755" spans="1:23" ht="12" x14ac:dyDescent="0.2">
      <c r="A1755" s="39"/>
      <c r="B1755" s="40"/>
      <c r="C1755" s="40"/>
      <c r="D1755" s="41"/>
      <c r="E1755" s="41"/>
      <c r="F1755" s="41"/>
      <c r="G1755" s="42"/>
      <c r="H1755" s="40"/>
      <c r="I1755" s="39"/>
      <c r="J1755" s="43"/>
      <c r="K1755" s="43"/>
      <c r="L1755" s="43"/>
      <c r="M1755" s="44"/>
      <c r="N1755" s="44"/>
      <c r="O1755" s="44"/>
      <c r="P1755" s="40"/>
      <c r="Q1755" s="40"/>
      <c r="R1755" s="40"/>
      <c r="S1755" s="40"/>
      <c r="T1755" s="40"/>
      <c r="U1755" s="40"/>
      <c r="V1755" s="40"/>
      <c r="W1755" s="40"/>
    </row>
    <row r="1756" spans="1:23" ht="12" x14ac:dyDescent="0.2">
      <c r="A1756" s="39"/>
      <c r="B1756" s="40"/>
      <c r="C1756" s="40"/>
      <c r="D1756" s="41"/>
      <c r="E1756" s="41"/>
      <c r="F1756" s="41"/>
      <c r="G1756" s="42"/>
      <c r="H1756" s="40"/>
      <c r="I1756" s="39"/>
      <c r="J1756" s="43"/>
      <c r="K1756" s="43"/>
      <c r="L1756" s="43"/>
      <c r="M1756" s="44"/>
      <c r="N1756" s="44"/>
      <c r="O1756" s="44"/>
      <c r="P1756" s="40"/>
      <c r="Q1756" s="40"/>
      <c r="R1756" s="40"/>
      <c r="S1756" s="40"/>
      <c r="T1756" s="40"/>
      <c r="U1756" s="40"/>
      <c r="V1756" s="40"/>
      <c r="W1756" s="40"/>
    </row>
    <row r="1757" spans="1:23" ht="12" x14ac:dyDescent="0.2">
      <c r="A1757" s="39"/>
      <c r="B1757" s="40"/>
      <c r="C1757" s="40"/>
      <c r="D1757" s="41"/>
      <c r="E1757" s="41"/>
      <c r="F1757" s="41"/>
      <c r="G1757" s="42"/>
      <c r="H1757" s="40"/>
      <c r="I1757" s="39"/>
      <c r="J1757" s="43"/>
      <c r="K1757" s="43"/>
      <c r="L1757" s="43"/>
      <c r="M1757" s="44"/>
      <c r="N1757" s="44"/>
      <c r="O1757" s="44"/>
      <c r="P1757" s="40"/>
      <c r="Q1757" s="40"/>
      <c r="R1757" s="40"/>
      <c r="S1757" s="40"/>
      <c r="T1757" s="40"/>
      <c r="U1757" s="40"/>
      <c r="V1757" s="40"/>
      <c r="W1757" s="40"/>
    </row>
    <row r="1758" spans="1:23" ht="12" x14ac:dyDescent="0.2">
      <c r="A1758" s="39"/>
      <c r="B1758" s="40"/>
      <c r="C1758" s="40"/>
      <c r="D1758" s="41"/>
      <c r="E1758" s="41"/>
      <c r="F1758" s="41"/>
      <c r="G1758" s="42"/>
      <c r="H1758" s="40"/>
      <c r="I1758" s="39"/>
      <c r="J1758" s="43"/>
      <c r="K1758" s="43"/>
      <c r="L1758" s="43"/>
      <c r="M1758" s="44"/>
      <c r="N1758" s="44"/>
      <c r="O1758" s="44"/>
      <c r="P1758" s="40"/>
      <c r="Q1758" s="40"/>
      <c r="R1758" s="40"/>
      <c r="S1758" s="40"/>
      <c r="T1758" s="40"/>
      <c r="U1758" s="40"/>
      <c r="V1758" s="40"/>
      <c r="W1758" s="40"/>
    </row>
    <row r="1759" spans="1:23" ht="12" x14ac:dyDescent="0.2">
      <c r="A1759" s="39"/>
      <c r="B1759" s="40"/>
      <c r="C1759" s="40"/>
      <c r="D1759" s="41"/>
      <c r="E1759" s="41"/>
      <c r="F1759" s="41"/>
      <c r="G1759" s="42"/>
      <c r="H1759" s="40"/>
      <c r="I1759" s="39"/>
      <c r="J1759" s="43"/>
      <c r="K1759" s="43"/>
      <c r="L1759" s="43"/>
      <c r="M1759" s="44"/>
      <c r="N1759" s="44"/>
      <c r="O1759" s="44"/>
      <c r="P1759" s="40"/>
      <c r="Q1759" s="40"/>
      <c r="R1759" s="40"/>
      <c r="S1759" s="40"/>
      <c r="T1759" s="40"/>
      <c r="U1759" s="40"/>
      <c r="V1759" s="40"/>
      <c r="W1759" s="40"/>
    </row>
    <row r="1760" spans="1:23" ht="12" x14ac:dyDescent="0.2">
      <c r="A1760" s="39"/>
      <c r="B1760" s="40"/>
      <c r="C1760" s="40"/>
      <c r="D1760" s="41"/>
      <c r="E1760" s="41"/>
      <c r="F1760" s="41"/>
      <c r="G1760" s="42"/>
      <c r="H1760" s="40"/>
      <c r="I1760" s="39"/>
      <c r="J1760" s="43"/>
      <c r="K1760" s="43"/>
      <c r="L1760" s="43"/>
      <c r="M1760" s="44"/>
      <c r="N1760" s="44"/>
      <c r="O1760" s="44"/>
      <c r="P1760" s="40"/>
      <c r="Q1760" s="40"/>
      <c r="R1760" s="40"/>
      <c r="S1760" s="40"/>
      <c r="T1760" s="40"/>
      <c r="U1760" s="40"/>
      <c r="V1760" s="40"/>
      <c r="W1760" s="40"/>
    </row>
    <row r="1761" spans="1:23" ht="12" x14ac:dyDescent="0.2">
      <c r="A1761" s="39"/>
      <c r="B1761" s="40"/>
      <c r="C1761" s="40"/>
      <c r="D1761" s="41"/>
      <c r="E1761" s="41"/>
      <c r="F1761" s="41"/>
      <c r="G1761" s="42"/>
      <c r="H1761" s="40"/>
      <c r="I1761" s="39"/>
      <c r="J1761" s="43"/>
      <c r="K1761" s="43"/>
      <c r="L1761" s="43"/>
      <c r="M1761" s="44"/>
      <c r="N1761" s="44"/>
      <c r="O1761" s="44"/>
      <c r="P1761" s="40"/>
      <c r="Q1761" s="40"/>
      <c r="R1761" s="40"/>
      <c r="S1761" s="40"/>
      <c r="T1761" s="40"/>
      <c r="U1761" s="40"/>
      <c r="V1761" s="40"/>
      <c r="W1761" s="40"/>
    </row>
    <row r="1762" spans="1:23" ht="12" x14ac:dyDescent="0.2">
      <c r="A1762" s="39"/>
      <c r="B1762" s="40"/>
      <c r="C1762" s="40"/>
      <c r="D1762" s="41"/>
      <c r="E1762" s="41"/>
      <c r="F1762" s="41"/>
      <c r="G1762" s="42"/>
      <c r="H1762" s="40"/>
      <c r="I1762" s="39"/>
      <c r="J1762" s="43"/>
      <c r="K1762" s="43"/>
      <c r="L1762" s="43"/>
      <c r="M1762" s="44"/>
      <c r="N1762" s="44"/>
      <c r="O1762" s="44"/>
      <c r="P1762" s="40"/>
      <c r="Q1762" s="40"/>
      <c r="R1762" s="40"/>
      <c r="S1762" s="40"/>
      <c r="T1762" s="40"/>
      <c r="U1762" s="40"/>
      <c r="V1762" s="40"/>
      <c r="W1762" s="40"/>
    </row>
    <row r="1763" spans="1:23" ht="12" x14ac:dyDescent="0.2">
      <c r="A1763" s="39"/>
      <c r="B1763" s="40"/>
      <c r="C1763" s="40"/>
      <c r="D1763" s="41"/>
      <c r="E1763" s="41"/>
      <c r="F1763" s="41"/>
      <c r="G1763" s="42"/>
      <c r="H1763" s="40"/>
      <c r="I1763" s="39"/>
      <c r="J1763" s="43"/>
      <c r="K1763" s="43"/>
      <c r="L1763" s="43"/>
      <c r="M1763" s="44"/>
      <c r="N1763" s="44"/>
      <c r="O1763" s="44"/>
      <c r="P1763" s="40"/>
      <c r="Q1763" s="40"/>
      <c r="R1763" s="40"/>
      <c r="S1763" s="40"/>
      <c r="T1763" s="40"/>
      <c r="U1763" s="40"/>
      <c r="V1763" s="40"/>
      <c r="W1763" s="40"/>
    </row>
    <row r="1764" spans="1:23" ht="12" x14ac:dyDescent="0.2">
      <c r="A1764" s="39"/>
      <c r="B1764" s="40"/>
      <c r="C1764" s="40"/>
      <c r="D1764" s="41"/>
      <c r="E1764" s="41"/>
      <c r="F1764" s="41"/>
      <c r="G1764" s="42"/>
      <c r="H1764" s="40"/>
      <c r="I1764" s="39"/>
      <c r="J1764" s="43"/>
      <c r="K1764" s="43"/>
      <c r="L1764" s="43"/>
      <c r="M1764" s="44"/>
      <c r="N1764" s="44"/>
      <c r="O1764" s="44"/>
      <c r="P1764" s="40"/>
      <c r="Q1764" s="40"/>
      <c r="R1764" s="40"/>
      <c r="S1764" s="40"/>
      <c r="T1764" s="40"/>
      <c r="U1764" s="40"/>
      <c r="V1764" s="40"/>
      <c r="W1764" s="40"/>
    </row>
    <row r="1765" spans="1:23" ht="12" x14ac:dyDescent="0.2">
      <c r="A1765" s="39"/>
      <c r="B1765" s="40"/>
      <c r="C1765" s="40"/>
      <c r="D1765" s="41"/>
      <c r="E1765" s="41"/>
      <c r="F1765" s="41"/>
      <c r="G1765" s="42"/>
      <c r="H1765" s="40"/>
      <c r="I1765" s="39"/>
      <c r="J1765" s="43"/>
      <c r="K1765" s="43"/>
      <c r="L1765" s="43"/>
      <c r="M1765" s="44"/>
      <c r="N1765" s="44"/>
      <c r="O1765" s="44"/>
      <c r="P1765" s="40"/>
      <c r="Q1765" s="40"/>
      <c r="R1765" s="40"/>
      <c r="S1765" s="40"/>
      <c r="T1765" s="40"/>
      <c r="U1765" s="40"/>
      <c r="V1765" s="40"/>
      <c r="W1765" s="40"/>
    </row>
    <row r="1766" spans="1:23" ht="12" x14ac:dyDescent="0.2">
      <c r="A1766" s="39"/>
      <c r="B1766" s="40"/>
      <c r="C1766" s="40"/>
      <c r="D1766" s="41"/>
      <c r="E1766" s="41"/>
      <c r="F1766" s="41"/>
      <c r="G1766" s="42"/>
      <c r="H1766" s="40"/>
      <c r="I1766" s="39"/>
      <c r="J1766" s="43"/>
      <c r="K1766" s="43"/>
      <c r="L1766" s="43"/>
      <c r="M1766" s="44"/>
      <c r="N1766" s="44"/>
      <c r="O1766" s="44"/>
      <c r="P1766" s="40"/>
      <c r="Q1766" s="40"/>
      <c r="R1766" s="40"/>
      <c r="S1766" s="40"/>
      <c r="T1766" s="40"/>
      <c r="U1766" s="40"/>
      <c r="V1766" s="40"/>
      <c r="W1766" s="40"/>
    </row>
    <row r="1767" spans="1:23" ht="12" x14ac:dyDescent="0.2">
      <c r="A1767" s="39"/>
      <c r="B1767" s="40"/>
      <c r="C1767" s="40"/>
      <c r="D1767" s="41"/>
      <c r="E1767" s="41"/>
      <c r="F1767" s="41"/>
      <c r="G1767" s="42"/>
      <c r="H1767" s="40"/>
      <c r="I1767" s="39"/>
      <c r="J1767" s="43"/>
      <c r="K1767" s="43"/>
      <c r="L1767" s="43"/>
      <c r="M1767" s="44"/>
      <c r="N1767" s="44"/>
      <c r="O1767" s="44"/>
      <c r="P1767" s="40"/>
      <c r="Q1767" s="40"/>
      <c r="R1767" s="40"/>
      <c r="S1767" s="40"/>
      <c r="T1767" s="40"/>
      <c r="U1767" s="40"/>
      <c r="V1767" s="40"/>
      <c r="W1767" s="40"/>
    </row>
    <row r="1768" spans="1:23" ht="12" x14ac:dyDescent="0.2">
      <c r="A1768" s="39"/>
      <c r="B1768" s="40"/>
      <c r="C1768" s="40"/>
      <c r="D1768" s="41"/>
      <c r="E1768" s="41"/>
      <c r="F1768" s="41"/>
      <c r="G1768" s="42"/>
      <c r="H1768" s="40"/>
      <c r="I1768" s="39"/>
      <c r="J1768" s="43"/>
      <c r="K1768" s="43"/>
      <c r="L1768" s="43"/>
      <c r="M1768" s="44"/>
      <c r="N1768" s="44"/>
      <c r="O1768" s="44"/>
      <c r="P1768" s="40"/>
      <c r="Q1768" s="40"/>
      <c r="R1768" s="40"/>
      <c r="S1768" s="40"/>
      <c r="T1768" s="40"/>
      <c r="U1768" s="40"/>
      <c r="V1768" s="40"/>
      <c r="W1768" s="40"/>
    </row>
    <row r="1769" spans="1:23" ht="12" x14ac:dyDescent="0.2">
      <c r="A1769" s="39"/>
      <c r="B1769" s="40"/>
      <c r="C1769" s="40"/>
      <c r="D1769" s="41"/>
      <c r="E1769" s="41"/>
      <c r="F1769" s="41"/>
      <c r="G1769" s="42"/>
      <c r="H1769" s="40"/>
      <c r="I1769" s="39"/>
      <c r="J1769" s="43"/>
      <c r="K1769" s="43"/>
      <c r="L1769" s="43"/>
      <c r="M1769" s="44"/>
      <c r="N1769" s="44"/>
      <c r="O1769" s="44"/>
      <c r="P1769" s="40"/>
      <c r="Q1769" s="40"/>
      <c r="R1769" s="40"/>
      <c r="S1769" s="40"/>
      <c r="T1769" s="40"/>
      <c r="U1769" s="40"/>
      <c r="V1769" s="40"/>
      <c r="W1769" s="40"/>
    </row>
    <row r="1770" spans="1:23" ht="12" x14ac:dyDescent="0.2">
      <c r="A1770" s="39"/>
      <c r="B1770" s="40"/>
      <c r="C1770" s="40"/>
      <c r="D1770" s="41"/>
      <c r="E1770" s="41"/>
      <c r="F1770" s="41"/>
      <c r="G1770" s="42"/>
      <c r="H1770" s="40"/>
      <c r="I1770" s="39"/>
      <c r="J1770" s="43"/>
      <c r="K1770" s="43"/>
      <c r="L1770" s="43"/>
      <c r="M1770" s="44"/>
      <c r="N1770" s="44"/>
      <c r="O1770" s="44"/>
      <c r="P1770" s="40"/>
      <c r="Q1770" s="40"/>
      <c r="R1770" s="40"/>
      <c r="S1770" s="40"/>
      <c r="T1770" s="40"/>
      <c r="U1770" s="40"/>
      <c r="V1770" s="40"/>
      <c r="W1770" s="40"/>
    </row>
    <row r="1771" spans="1:23" ht="12" x14ac:dyDescent="0.2">
      <c r="A1771" s="39"/>
      <c r="B1771" s="40"/>
      <c r="C1771" s="40"/>
      <c r="D1771" s="41"/>
      <c r="E1771" s="41"/>
      <c r="F1771" s="41"/>
      <c r="G1771" s="42"/>
      <c r="H1771" s="40"/>
      <c r="I1771" s="39"/>
      <c r="J1771" s="43"/>
      <c r="K1771" s="43"/>
      <c r="L1771" s="43"/>
      <c r="M1771" s="44"/>
      <c r="N1771" s="44"/>
      <c r="O1771" s="44"/>
      <c r="P1771" s="40"/>
      <c r="Q1771" s="40"/>
      <c r="R1771" s="40"/>
      <c r="S1771" s="40"/>
      <c r="T1771" s="40"/>
      <c r="U1771" s="40"/>
      <c r="V1771" s="40"/>
      <c r="W1771" s="40"/>
    </row>
    <row r="1772" spans="1:23" ht="12" x14ac:dyDescent="0.2">
      <c r="A1772" s="39"/>
      <c r="B1772" s="40"/>
      <c r="C1772" s="40"/>
      <c r="D1772" s="41"/>
      <c r="E1772" s="41"/>
      <c r="F1772" s="41"/>
      <c r="G1772" s="42"/>
      <c r="H1772" s="40"/>
      <c r="I1772" s="39"/>
      <c r="J1772" s="43"/>
      <c r="K1772" s="43"/>
      <c r="L1772" s="43"/>
      <c r="M1772" s="44"/>
      <c r="N1772" s="44"/>
      <c r="O1772" s="44"/>
      <c r="P1772" s="40"/>
      <c r="Q1772" s="40"/>
      <c r="R1772" s="40"/>
      <c r="S1772" s="40"/>
      <c r="T1772" s="40"/>
      <c r="U1772" s="40"/>
      <c r="V1772" s="40"/>
      <c r="W1772" s="40"/>
    </row>
    <row r="1773" spans="1:23" ht="12" x14ac:dyDescent="0.2">
      <c r="A1773" s="39"/>
      <c r="B1773" s="40"/>
      <c r="C1773" s="40"/>
      <c r="D1773" s="41"/>
      <c r="E1773" s="41"/>
      <c r="F1773" s="41"/>
      <c r="G1773" s="42"/>
      <c r="H1773" s="40"/>
      <c r="I1773" s="39"/>
      <c r="J1773" s="43"/>
      <c r="K1773" s="43"/>
      <c r="L1773" s="43"/>
      <c r="M1773" s="44"/>
      <c r="N1773" s="44"/>
      <c r="O1773" s="44"/>
      <c r="P1773" s="40"/>
      <c r="Q1773" s="40"/>
      <c r="R1773" s="40"/>
      <c r="S1773" s="40"/>
      <c r="T1773" s="40"/>
      <c r="U1773" s="40"/>
      <c r="V1773" s="40"/>
      <c r="W1773" s="40"/>
    </row>
    <row r="1774" spans="1:23" ht="12" x14ac:dyDescent="0.2">
      <c r="A1774" s="39"/>
      <c r="B1774" s="40"/>
      <c r="C1774" s="40"/>
      <c r="D1774" s="41"/>
      <c r="E1774" s="41"/>
      <c r="F1774" s="41"/>
      <c r="G1774" s="42"/>
      <c r="H1774" s="40"/>
      <c r="I1774" s="39"/>
      <c r="J1774" s="43"/>
      <c r="K1774" s="43"/>
      <c r="L1774" s="43"/>
      <c r="M1774" s="44"/>
      <c r="N1774" s="44"/>
      <c r="O1774" s="44"/>
      <c r="P1774" s="40"/>
      <c r="Q1774" s="40"/>
      <c r="R1774" s="40"/>
      <c r="S1774" s="40"/>
      <c r="T1774" s="40"/>
      <c r="U1774" s="40"/>
      <c r="V1774" s="40"/>
      <c r="W1774" s="40"/>
    </row>
    <row r="1775" spans="1:23" ht="12" x14ac:dyDescent="0.2">
      <c r="A1775" s="39"/>
      <c r="B1775" s="40"/>
      <c r="C1775" s="40"/>
      <c r="D1775" s="41"/>
      <c r="E1775" s="41"/>
      <c r="F1775" s="41"/>
      <c r="G1775" s="42"/>
      <c r="H1775" s="40"/>
      <c r="I1775" s="39"/>
      <c r="J1775" s="43"/>
      <c r="K1775" s="43"/>
      <c r="L1775" s="43"/>
      <c r="M1775" s="44"/>
      <c r="N1775" s="44"/>
      <c r="O1775" s="44"/>
      <c r="P1775" s="40"/>
      <c r="Q1775" s="40"/>
      <c r="R1775" s="40"/>
      <c r="S1775" s="40"/>
      <c r="T1775" s="40"/>
      <c r="U1775" s="40"/>
      <c r="V1775" s="40"/>
      <c r="W1775" s="40"/>
    </row>
    <row r="1776" spans="1:23" ht="12" x14ac:dyDescent="0.2">
      <c r="A1776" s="39"/>
      <c r="B1776" s="40"/>
      <c r="C1776" s="40"/>
      <c r="D1776" s="41"/>
      <c r="E1776" s="41"/>
      <c r="F1776" s="41"/>
      <c r="G1776" s="42"/>
      <c r="H1776" s="40"/>
      <c r="I1776" s="39"/>
      <c r="J1776" s="43"/>
      <c r="K1776" s="43"/>
      <c r="L1776" s="43"/>
      <c r="M1776" s="44"/>
      <c r="N1776" s="44"/>
      <c r="O1776" s="44"/>
      <c r="P1776" s="40"/>
      <c r="Q1776" s="40"/>
      <c r="R1776" s="40"/>
      <c r="S1776" s="40"/>
      <c r="T1776" s="40"/>
      <c r="U1776" s="40"/>
      <c r="V1776" s="40"/>
      <c r="W1776" s="40"/>
    </row>
    <row r="1777" spans="1:23" ht="12" x14ac:dyDescent="0.2">
      <c r="A1777" s="39"/>
      <c r="B1777" s="40"/>
      <c r="C1777" s="40"/>
      <c r="D1777" s="41"/>
      <c r="E1777" s="41"/>
      <c r="F1777" s="41"/>
      <c r="G1777" s="42"/>
      <c r="H1777" s="40"/>
      <c r="I1777" s="39"/>
      <c r="J1777" s="43"/>
      <c r="K1777" s="43"/>
      <c r="L1777" s="43"/>
      <c r="M1777" s="44"/>
      <c r="N1777" s="44"/>
      <c r="O1777" s="44"/>
      <c r="P1777" s="40"/>
      <c r="Q1777" s="40"/>
      <c r="R1777" s="40"/>
      <c r="S1777" s="40"/>
      <c r="T1777" s="40"/>
      <c r="U1777" s="40"/>
      <c r="V1777" s="40"/>
      <c r="W1777" s="40"/>
    </row>
    <row r="1778" spans="1:23" ht="12" x14ac:dyDescent="0.2">
      <c r="A1778" s="39"/>
      <c r="B1778" s="40"/>
      <c r="C1778" s="40"/>
      <c r="D1778" s="41"/>
      <c r="E1778" s="41"/>
      <c r="F1778" s="41"/>
      <c r="G1778" s="42"/>
      <c r="H1778" s="40"/>
      <c r="I1778" s="39"/>
      <c r="J1778" s="43"/>
      <c r="K1778" s="43"/>
      <c r="L1778" s="43"/>
      <c r="M1778" s="44"/>
      <c r="N1778" s="44"/>
      <c r="O1778" s="44"/>
      <c r="P1778" s="40"/>
      <c r="Q1778" s="40"/>
      <c r="R1778" s="40"/>
      <c r="S1778" s="40"/>
      <c r="T1778" s="40"/>
      <c r="U1778" s="40"/>
      <c r="V1778" s="40"/>
      <c r="W1778" s="40"/>
    </row>
    <row r="1779" spans="1:23" ht="12" x14ac:dyDescent="0.2">
      <c r="A1779" s="39"/>
      <c r="B1779" s="40"/>
      <c r="C1779" s="40"/>
      <c r="D1779" s="41"/>
      <c r="E1779" s="41"/>
      <c r="F1779" s="41"/>
      <c r="G1779" s="42"/>
      <c r="H1779" s="40"/>
      <c r="I1779" s="39"/>
      <c r="J1779" s="43"/>
      <c r="K1779" s="43"/>
      <c r="L1779" s="43"/>
      <c r="M1779" s="44"/>
      <c r="N1779" s="44"/>
      <c r="O1779" s="44"/>
      <c r="P1779" s="40"/>
      <c r="Q1779" s="40"/>
      <c r="R1779" s="40"/>
      <c r="S1779" s="40"/>
      <c r="T1779" s="40"/>
      <c r="U1779" s="40"/>
      <c r="V1779" s="40"/>
      <c r="W1779" s="40"/>
    </row>
    <row r="1780" spans="1:23" ht="12" x14ac:dyDescent="0.2">
      <c r="A1780" s="39"/>
      <c r="B1780" s="40"/>
      <c r="C1780" s="40"/>
      <c r="D1780" s="41"/>
      <c r="E1780" s="41"/>
      <c r="F1780" s="41"/>
      <c r="G1780" s="42"/>
      <c r="H1780" s="40"/>
      <c r="I1780" s="39"/>
      <c r="J1780" s="43"/>
      <c r="K1780" s="43"/>
      <c r="L1780" s="43"/>
      <c r="M1780" s="44"/>
      <c r="N1780" s="44"/>
      <c r="O1780" s="44"/>
      <c r="P1780" s="40"/>
      <c r="Q1780" s="40"/>
      <c r="R1780" s="40"/>
      <c r="S1780" s="40"/>
      <c r="T1780" s="40"/>
      <c r="U1780" s="40"/>
      <c r="V1780" s="40"/>
      <c r="W1780" s="40"/>
    </row>
    <row r="1781" spans="1:23" ht="12" x14ac:dyDescent="0.2">
      <c r="A1781" s="39"/>
      <c r="B1781" s="40"/>
      <c r="C1781" s="40"/>
      <c r="D1781" s="41"/>
      <c r="E1781" s="41"/>
      <c r="F1781" s="41"/>
      <c r="G1781" s="42"/>
      <c r="H1781" s="40"/>
      <c r="I1781" s="39"/>
      <c r="J1781" s="43"/>
      <c r="K1781" s="43"/>
      <c r="L1781" s="43"/>
      <c r="M1781" s="44"/>
      <c r="N1781" s="44"/>
      <c r="O1781" s="44"/>
      <c r="P1781" s="40"/>
      <c r="Q1781" s="40"/>
      <c r="R1781" s="40"/>
      <c r="S1781" s="40"/>
      <c r="T1781" s="40"/>
      <c r="U1781" s="40"/>
      <c r="V1781" s="40"/>
      <c r="W1781" s="40"/>
    </row>
    <row r="1782" spans="1:23" ht="12" x14ac:dyDescent="0.2">
      <c r="A1782" s="39"/>
      <c r="B1782" s="40"/>
      <c r="C1782" s="40"/>
      <c r="D1782" s="41"/>
      <c r="E1782" s="41"/>
      <c r="F1782" s="41"/>
      <c r="G1782" s="42"/>
      <c r="H1782" s="40"/>
      <c r="I1782" s="39"/>
      <c r="J1782" s="43"/>
      <c r="K1782" s="43"/>
      <c r="L1782" s="43"/>
      <c r="M1782" s="44"/>
      <c r="N1782" s="44"/>
      <c r="O1782" s="44"/>
      <c r="P1782" s="40"/>
      <c r="Q1782" s="40"/>
      <c r="R1782" s="40"/>
      <c r="S1782" s="40"/>
      <c r="T1782" s="40"/>
      <c r="U1782" s="40"/>
      <c r="V1782" s="40"/>
      <c r="W1782" s="40"/>
    </row>
    <row r="1783" spans="1:23" ht="12" x14ac:dyDescent="0.2">
      <c r="A1783" s="39"/>
      <c r="B1783" s="40"/>
      <c r="C1783" s="40"/>
      <c r="D1783" s="41"/>
      <c r="E1783" s="41"/>
      <c r="F1783" s="41"/>
      <c r="G1783" s="42"/>
      <c r="H1783" s="40"/>
      <c r="I1783" s="39"/>
      <c r="J1783" s="43"/>
      <c r="K1783" s="43"/>
      <c r="L1783" s="43"/>
      <c r="M1783" s="44"/>
      <c r="N1783" s="44"/>
      <c r="O1783" s="44"/>
      <c r="P1783" s="40"/>
      <c r="Q1783" s="40"/>
      <c r="R1783" s="40"/>
      <c r="S1783" s="40"/>
      <c r="T1783" s="40"/>
      <c r="U1783" s="40"/>
      <c r="V1783" s="40"/>
      <c r="W1783" s="40"/>
    </row>
    <row r="1784" spans="1:23" ht="12" x14ac:dyDescent="0.2">
      <c r="A1784" s="39"/>
      <c r="B1784" s="40"/>
      <c r="C1784" s="40"/>
      <c r="D1784" s="41"/>
      <c r="E1784" s="41"/>
      <c r="F1784" s="41"/>
      <c r="G1784" s="42"/>
      <c r="H1784" s="40"/>
      <c r="I1784" s="39"/>
      <c r="J1784" s="43"/>
      <c r="K1784" s="43"/>
      <c r="L1784" s="43"/>
      <c r="M1784" s="44"/>
      <c r="N1784" s="44"/>
      <c r="O1784" s="44"/>
      <c r="P1784" s="40"/>
      <c r="Q1784" s="40"/>
      <c r="R1784" s="40"/>
      <c r="S1784" s="40"/>
      <c r="T1784" s="40"/>
      <c r="U1784" s="40"/>
      <c r="V1784" s="40"/>
      <c r="W1784" s="40"/>
    </row>
    <row r="1785" spans="1:23" ht="12" x14ac:dyDescent="0.2">
      <c r="A1785" s="39"/>
      <c r="B1785" s="40"/>
      <c r="C1785" s="40"/>
      <c r="D1785" s="41"/>
      <c r="E1785" s="41"/>
      <c r="F1785" s="41"/>
      <c r="G1785" s="42"/>
      <c r="H1785" s="40"/>
      <c r="I1785" s="39"/>
      <c r="J1785" s="43"/>
      <c r="K1785" s="43"/>
      <c r="L1785" s="43"/>
      <c r="M1785" s="44"/>
      <c r="N1785" s="44"/>
      <c r="O1785" s="44"/>
      <c r="P1785" s="40"/>
      <c r="Q1785" s="40"/>
      <c r="R1785" s="40"/>
      <c r="S1785" s="40"/>
      <c r="T1785" s="40"/>
      <c r="U1785" s="40"/>
      <c r="V1785" s="40"/>
      <c r="W1785" s="40"/>
    </row>
    <row r="1786" spans="1:23" ht="12" x14ac:dyDescent="0.2">
      <c r="A1786" s="39"/>
      <c r="B1786" s="40"/>
      <c r="C1786" s="40"/>
      <c r="D1786" s="41"/>
      <c r="E1786" s="41"/>
      <c r="F1786" s="41"/>
      <c r="G1786" s="42"/>
      <c r="H1786" s="40"/>
      <c r="I1786" s="39"/>
      <c r="J1786" s="43"/>
      <c r="K1786" s="43"/>
      <c r="L1786" s="43"/>
      <c r="M1786" s="44"/>
      <c r="N1786" s="44"/>
      <c r="O1786" s="44"/>
      <c r="P1786" s="40"/>
      <c r="Q1786" s="40"/>
      <c r="R1786" s="40"/>
      <c r="S1786" s="40"/>
      <c r="T1786" s="40"/>
      <c r="U1786" s="40"/>
      <c r="V1786" s="40"/>
      <c r="W1786" s="40"/>
    </row>
    <row r="1787" spans="1:23" ht="12" x14ac:dyDescent="0.2">
      <c r="A1787" s="39"/>
      <c r="B1787" s="40"/>
      <c r="C1787" s="40"/>
      <c r="D1787" s="41"/>
      <c r="E1787" s="41"/>
      <c r="F1787" s="41"/>
      <c r="G1787" s="42"/>
      <c r="H1787" s="40"/>
      <c r="I1787" s="39"/>
      <c r="J1787" s="43"/>
      <c r="K1787" s="43"/>
      <c r="L1787" s="43"/>
      <c r="M1787" s="44"/>
      <c r="N1787" s="44"/>
      <c r="O1787" s="44"/>
      <c r="P1787" s="40"/>
      <c r="Q1787" s="40"/>
      <c r="R1787" s="40"/>
      <c r="S1787" s="40"/>
      <c r="T1787" s="40"/>
      <c r="U1787" s="40"/>
      <c r="V1787" s="40"/>
      <c r="W1787" s="40"/>
    </row>
    <row r="1788" spans="1:23" ht="12" x14ac:dyDescent="0.2">
      <c r="A1788" s="39"/>
      <c r="B1788" s="40"/>
      <c r="C1788" s="40"/>
      <c r="D1788" s="41"/>
      <c r="E1788" s="41"/>
      <c r="F1788" s="41"/>
      <c r="G1788" s="42"/>
      <c r="H1788" s="40"/>
      <c r="I1788" s="39"/>
      <c r="J1788" s="43"/>
      <c r="K1788" s="43"/>
      <c r="L1788" s="43"/>
      <c r="M1788" s="44"/>
      <c r="N1788" s="44"/>
      <c r="O1788" s="44"/>
      <c r="P1788" s="40"/>
      <c r="Q1788" s="40"/>
      <c r="R1788" s="40"/>
      <c r="S1788" s="40"/>
      <c r="T1788" s="40"/>
      <c r="U1788" s="40"/>
      <c r="V1788" s="40"/>
      <c r="W1788" s="40"/>
    </row>
    <row r="1789" spans="1:23" ht="12" x14ac:dyDescent="0.2">
      <c r="A1789" s="39"/>
      <c r="B1789" s="40"/>
      <c r="C1789" s="40"/>
      <c r="D1789" s="41"/>
      <c r="E1789" s="41"/>
      <c r="F1789" s="41"/>
      <c r="G1789" s="42"/>
      <c r="H1789" s="40"/>
      <c r="I1789" s="39"/>
      <c r="J1789" s="43"/>
      <c r="K1789" s="43"/>
      <c r="L1789" s="43"/>
      <c r="M1789" s="44"/>
      <c r="N1789" s="44"/>
      <c r="O1789" s="44"/>
      <c r="P1789" s="40"/>
      <c r="Q1789" s="40"/>
      <c r="R1789" s="40"/>
      <c r="S1789" s="40"/>
      <c r="T1789" s="40"/>
      <c r="U1789" s="40"/>
      <c r="V1789" s="40"/>
      <c r="W1789" s="40"/>
    </row>
    <row r="1790" spans="1:23" ht="12" x14ac:dyDescent="0.2">
      <c r="A1790" s="39"/>
      <c r="B1790" s="40"/>
      <c r="C1790" s="40"/>
      <c r="D1790" s="41"/>
      <c r="E1790" s="41"/>
      <c r="F1790" s="41"/>
      <c r="G1790" s="42"/>
      <c r="H1790" s="40"/>
      <c r="I1790" s="39"/>
      <c r="J1790" s="43"/>
      <c r="K1790" s="43"/>
      <c r="L1790" s="43"/>
      <c r="M1790" s="44"/>
      <c r="N1790" s="44"/>
      <c r="O1790" s="44"/>
      <c r="P1790" s="40"/>
      <c r="Q1790" s="40"/>
      <c r="R1790" s="40"/>
      <c r="S1790" s="40"/>
      <c r="T1790" s="40"/>
      <c r="U1790" s="40"/>
      <c r="V1790" s="40"/>
      <c r="W1790" s="40"/>
    </row>
    <row r="1791" spans="1:23" ht="12" x14ac:dyDescent="0.2">
      <c r="A1791" s="39"/>
      <c r="B1791" s="40"/>
      <c r="C1791" s="40"/>
      <c r="D1791" s="41"/>
      <c r="E1791" s="41"/>
      <c r="F1791" s="41"/>
      <c r="G1791" s="42"/>
      <c r="H1791" s="40"/>
      <c r="I1791" s="39"/>
      <c r="J1791" s="43"/>
      <c r="K1791" s="43"/>
      <c r="L1791" s="43"/>
      <c r="M1791" s="44"/>
      <c r="N1791" s="44"/>
      <c r="O1791" s="44"/>
      <c r="P1791" s="40"/>
      <c r="Q1791" s="40"/>
      <c r="R1791" s="40"/>
      <c r="S1791" s="40"/>
      <c r="T1791" s="40"/>
      <c r="U1791" s="40"/>
      <c r="V1791" s="40"/>
      <c r="W1791" s="40"/>
    </row>
    <row r="1792" spans="1:23" ht="12" x14ac:dyDescent="0.2">
      <c r="A1792" s="39"/>
      <c r="B1792" s="40"/>
      <c r="C1792" s="40"/>
      <c r="D1792" s="41"/>
      <c r="E1792" s="41"/>
      <c r="F1792" s="41"/>
      <c r="G1792" s="42"/>
      <c r="H1792" s="40"/>
      <c r="I1792" s="39"/>
      <c r="J1792" s="43"/>
      <c r="K1792" s="43"/>
      <c r="L1792" s="43"/>
      <c r="M1792" s="44"/>
      <c r="N1792" s="44"/>
      <c r="O1792" s="44"/>
      <c r="P1792" s="40"/>
      <c r="Q1792" s="40"/>
      <c r="R1792" s="40"/>
      <c r="S1792" s="40"/>
      <c r="T1792" s="40"/>
      <c r="U1792" s="40"/>
      <c r="V1792" s="40"/>
      <c r="W1792" s="40"/>
    </row>
    <row r="1793" spans="1:23" ht="12" x14ac:dyDescent="0.2">
      <c r="A1793" s="39"/>
      <c r="B1793" s="40"/>
      <c r="C1793" s="40"/>
      <c r="D1793" s="41"/>
      <c r="E1793" s="41"/>
      <c r="F1793" s="41"/>
      <c r="G1793" s="42"/>
      <c r="H1793" s="40"/>
      <c r="I1793" s="39"/>
      <c r="J1793" s="43"/>
      <c r="K1793" s="43"/>
      <c r="L1793" s="43"/>
      <c r="M1793" s="44"/>
      <c r="N1793" s="44"/>
      <c r="O1793" s="44"/>
      <c r="P1793" s="40"/>
      <c r="Q1793" s="40"/>
      <c r="R1793" s="40"/>
      <c r="S1793" s="40"/>
      <c r="T1793" s="40"/>
      <c r="U1793" s="40"/>
      <c r="V1793" s="40"/>
      <c r="W1793" s="40"/>
    </row>
    <row r="1794" spans="1:23" ht="12" x14ac:dyDescent="0.2">
      <c r="A1794" s="39"/>
      <c r="B1794" s="40"/>
      <c r="C1794" s="40"/>
      <c r="D1794" s="41"/>
      <c r="E1794" s="41"/>
      <c r="F1794" s="41"/>
      <c r="G1794" s="42"/>
      <c r="H1794" s="40"/>
      <c r="I1794" s="39"/>
      <c r="J1794" s="43"/>
      <c r="K1794" s="43"/>
      <c r="L1794" s="43"/>
      <c r="M1794" s="44"/>
      <c r="N1794" s="44"/>
      <c r="O1794" s="44"/>
      <c r="P1794" s="40"/>
      <c r="Q1794" s="40"/>
      <c r="R1794" s="40"/>
      <c r="S1794" s="40"/>
      <c r="T1794" s="40"/>
      <c r="U1794" s="40"/>
      <c r="V1794" s="40"/>
      <c r="W1794" s="40"/>
    </row>
    <row r="1795" spans="1:23" ht="12" x14ac:dyDescent="0.2">
      <c r="A1795" s="39"/>
      <c r="B1795" s="40"/>
      <c r="C1795" s="40"/>
      <c r="D1795" s="41"/>
      <c r="E1795" s="41"/>
      <c r="F1795" s="41"/>
      <c r="G1795" s="42"/>
      <c r="H1795" s="40"/>
      <c r="I1795" s="39"/>
      <c r="J1795" s="43"/>
      <c r="K1795" s="43"/>
      <c r="L1795" s="43"/>
      <c r="M1795" s="44"/>
      <c r="N1795" s="44"/>
      <c r="O1795" s="44"/>
      <c r="P1795" s="40"/>
      <c r="Q1795" s="40"/>
      <c r="R1795" s="40"/>
      <c r="S1795" s="40"/>
      <c r="T1795" s="40"/>
      <c r="U1795" s="40"/>
      <c r="V1795" s="40"/>
      <c r="W1795" s="40"/>
    </row>
    <row r="1796" spans="1:23" ht="12" x14ac:dyDescent="0.2">
      <c r="A1796" s="39"/>
      <c r="B1796" s="40"/>
      <c r="C1796" s="40"/>
      <c r="D1796" s="41"/>
      <c r="E1796" s="41"/>
      <c r="F1796" s="41"/>
      <c r="G1796" s="42"/>
      <c r="H1796" s="40"/>
      <c r="I1796" s="39"/>
      <c r="J1796" s="43"/>
      <c r="K1796" s="43"/>
      <c r="L1796" s="43"/>
      <c r="M1796" s="44"/>
      <c r="N1796" s="44"/>
      <c r="O1796" s="44"/>
      <c r="P1796" s="40"/>
      <c r="Q1796" s="40"/>
      <c r="R1796" s="40"/>
      <c r="S1796" s="40"/>
      <c r="T1796" s="40"/>
      <c r="U1796" s="40"/>
      <c r="V1796" s="40"/>
      <c r="W1796" s="40"/>
    </row>
    <row r="1797" spans="1:23" ht="12" x14ac:dyDescent="0.2">
      <c r="A1797" s="39"/>
      <c r="B1797" s="40"/>
      <c r="C1797" s="40"/>
      <c r="D1797" s="41"/>
      <c r="E1797" s="41"/>
      <c r="F1797" s="41"/>
      <c r="G1797" s="42"/>
      <c r="H1797" s="40"/>
      <c r="I1797" s="39"/>
      <c r="J1797" s="43"/>
      <c r="K1797" s="43"/>
      <c r="L1797" s="43"/>
      <c r="M1797" s="44"/>
      <c r="N1797" s="44"/>
      <c r="O1797" s="44"/>
      <c r="P1797" s="40"/>
      <c r="Q1797" s="40"/>
      <c r="R1797" s="40"/>
      <c r="S1797" s="40"/>
      <c r="T1797" s="40"/>
      <c r="U1797" s="40"/>
      <c r="V1797" s="40"/>
      <c r="W1797" s="40"/>
    </row>
    <row r="1798" spans="1:23" ht="12" x14ac:dyDescent="0.2">
      <c r="A1798" s="39"/>
      <c r="B1798" s="40"/>
      <c r="C1798" s="40"/>
      <c r="D1798" s="41"/>
      <c r="E1798" s="41"/>
      <c r="F1798" s="41"/>
      <c r="G1798" s="42"/>
      <c r="H1798" s="40"/>
      <c r="I1798" s="39"/>
      <c r="J1798" s="43"/>
      <c r="K1798" s="43"/>
      <c r="L1798" s="43"/>
      <c r="M1798" s="44"/>
      <c r="N1798" s="44"/>
      <c r="O1798" s="44"/>
      <c r="P1798" s="40"/>
      <c r="Q1798" s="40"/>
      <c r="R1798" s="40"/>
      <c r="S1798" s="40"/>
      <c r="T1798" s="40"/>
      <c r="U1798" s="40"/>
      <c r="V1798" s="40"/>
      <c r="W1798" s="40"/>
    </row>
    <row r="1799" spans="1:23" ht="12" x14ac:dyDescent="0.2">
      <c r="A1799" s="39"/>
      <c r="B1799" s="40"/>
      <c r="C1799" s="40"/>
      <c r="D1799" s="41"/>
      <c r="E1799" s="41"/>
      <c r="F1799" s="41"/>
      <c r="G1799" s="42"/>
      <c r="H1799" s="40"/>
      <c r="I1799" s="39"/>
      <c r="J1799" s="43"/>
      <c r="K1799" s="43"/>
      <c r="L1799" s="43"/>
      <c r="M1799" s="44"/>
      <c r="N1799" s="44"/>
      <c r="O1799" s="44"/>
      <c r="P1799" s="40"/>
      <c r="Q1799" s="40"/>
      <c r="R1799" s="40"/>
      <c r="S1799" s="40"/>
      <c r="T1799" s="40"/>
      <c r="U1799" s="40"/>
      <c r="V1799" s="40"/>
      <c r="W1799" s="40"/>
    </row>
    <row r="1800" spans="1:23" ht="12" x14ac:dyDescent="0.2">
      <c r="A1800" s="39"/>
      <c r="B1800" s="40"/>
      <c r="C1800" s="40"/>
      <c r="D1800" s="41"/>
      <c r="E1800" s="41"/>
      <c r="F1800" s="41"/>
      <c r="G1800" s="42"/>
      <c r="H1800" s="40"/>
      <c r="I1800" s="39"/>
      <c r="J1800" s="43"/>
      <c r="K1800" s="43"/>
      <c r="L1800" s="43"/>
      <c r="M1800" s="44"/>
      <c r="N1800" s="44"/>
      <c r="O1800" s="44"/>
      <c r="P1800" s="40"/>
      <c r="Q1800" s="40"/>
      <c r="R1800" s="40"/>
      <c r="S1800" s="40"/>
      <c r="T1800" s="40"/>
      <c r="U1800" s="40"/>
      <c r="V1800" s="40"/>
      <c r="W1800" s="40"/>
    </row>
    <row r="1801" spans="1:23" ht="12" x14ac:dyDescent="0.2">
      <c r="A1801" s="39"/>
      <c r="B1801" s="40"/>
      <c r="C1801" s="40"/>
      <c r="D1801" s="41"/>
      <c r="E1801" s="41"/>
      <c r="F1801" s="41"/>
      <c r="G1801" s="42"/>
      <c r="H1801" s="40"/>
      <c r="I1801" s="39"/>
      <c r="J1801" s="43"/>
      <c r="K1801" s="43"/>
      <c r="L1801" s="43"/>
      <c r="M1801" s="44"/>
      <c r="N1801" s="44"/>
      <c r="O1801" s="44"/>
      <c r="P1801" s="40"/>
      <c r="Q1801" s="40"/>
      <c r="R1801" s="40"/>
      <c r="S1801" s="40"/>
      <c r="T1801" s="40"/>
      <c r="U1801" s="40"/>
      <c r="V1801" s="40"/>
      <c r="W1801" s="40"/>
    </row>
    <row r="1802" spans="1:23" ht="12" x14ac:dyDescent="0.2">
      <c r="A1802" s="39"/>
      <c r="B1802" s="40"/>
      <c r="C1802" s="40"/>
      <c r="D1802" s="41"/>
      <c r="E1802" s="41"/>
      <c r="F1802" s="41"/>
      <c r="G1802" s="42"/>
      <c r="H1802" s="40"/>
      <c r="I1802" s="39"/>
      <c r="J1802" s="43"/>
      <c r="K1802" s="43"/>
      <c r="L1802" s="43"/>
      <c r="M1802" s="44"/>
      <c r="N1802" s="44"/>
      <c r="O1802" s="44"/>
      <c r="P1802" s="40"/>
      <c r="Q1802" s="40"/>
      <c r="R1802" s="40"/>
      <c r="S1802" s="40"/>
      <c r="T1802" s="40"/>
      <c r="U1802" s="40"/>
      <c r="V1802" s="40"/>
      <c r="W1802" s="40"/>
    </row>
    <row r="1803" spans="1:23" ht="12" x14ac:dyDescent="0.2">
      <c r="A1803" s="39"/>
      <c r="B1803" s="40"/>
      <c r="C1803" s="40"/>
      <c r="D1803" s="41"/>
      <c r="E1803" s="41"/>
      <c r="F1803" s="41"/>
      <c r="G1803" s="42"/>
      <c r="H1803" s="40"/>
      <c r="I1803" s="39"/>
      <c r="J1803" s="43"/>
      <c r="K1803" s="43"/>
      <c r="L1803" s="43"/>
      <c r="M1803" s="44"/>
      <c r="N1803" s="44"/>
      <c r="O1803" s="44"/>
      <c r="P1803" s="40"/>
      <c r="Q1803" s="40"/>
      <c r="R1803" s="40"/>
      <c r="S1803" s="40"/>
      <c r="T1803" s="40"/>
      <c r="U1803" s="40"/>
      <c r="V1803" s="40"/>
      <c r="W1803" s="40"/>
    </row>
    <row r="1804" spans="1:23" ht="12" x14ac:dyDescent="0.2">
      <c r="A1804" s="39"/>
      <c r="B1804" s="40"/>
      <c r="C1804" s="40"/>
      <c r="D1804" s="41"/>
      <c r="E1804" s="41"/>
      <c r="F1804" s="41"/>
      <c r="G1804" s="42"/>
      <c r="H1804" s="40"/>
      <c r="I1804" s="39"/>
      <c r="J1804" s="43"/>
      <c r="K1804" s="43"/>
      <c r="L1804" s="43"/>
      <c r="M1804" s="44"/>
      <c r="N1804" s="44"/>
      <c r="O1804" s="44"/>
      <c r="P1804" s="40"/>
      <c r="Q1804" s="40"/>
      <c r="R1804" s="40"/>
      <c r="S1804" s="40"/>
      <c r="T1804" s="40"/>
      <c r="U1804" s="40"/>
      <c r="V1804" s="40"/>
      <c r="W1804" s="40"/>
    </row>
    <row r="1805" spans="1:23" ht="12" x14ac:dyDescent="0.2">
      <c r="A1805" s="39"/>
      <c r="B1805" s="40"/>
      <c r="C1805" s="40"/>
      <c r="D1805" s="41"/>
      <c r="E1805" s="41"/>
      <c r="F1805" s="41"/>
      <c r="G1805" s="42"/>
      <c r="H1805" s="40"/>
      <c r="I1805" s="39"/>
      <c r="J1805" s="43"/>
      <c r="K1805" s="43"/>
      <c r="L1805" s="43"/>
      <c r="M1805" s="44"/>
      <c r="N1805" s="44"/>
      <c r="O1805" s="44"/>
      <c r="P1805" s="40"/>
      <c r="Q1805" s="40"/>
      <c r="R1805" s="40"/>
      <c r="S1805" s="40"/>
      <c r="T1805" s="40"/>
      <c r="U1805" s="40"/>
      <c r="V1805" s="40"/>
      <c r="W1805" s="40"/>
    </row>
    <row r="1806" spans="1:23" ht="12" x14ac:dyDescent="0.2">
      <c r="A1806" s="39"/>
      <c r="B1806" s="40"/>
      <c r="C1806" s="40"/>
      <c r="D1806" s="41"/>
      <c r="E1806" s="41"/>
      <c r="F1806" s="41"/>
      <c r="G1806" s="42"/>
      <c r="H1806" s="40"/>
      <c r="I1806" s="39"/>
      <c r="J1806" s="43"/>
      <c r="K1806" s="43"/>
      <c r="L1806" s="43"/>
      <c r="M1806" s="44"/>
      <c r="N1806" s="44"/>
      <c r="O1806" s="44"/>
      <c r="P1806" s="40"/>
      <c r="Q1806" s="40"/>
      <c r="R1806" s="40"/>
      <c r="S1806" s="40"/>
      <c r="T1806" s="40"/>
      <c r="U1806" s="40"/>
      <c r="V1806" s="40"/>
      <c r="W1806" s="40"/>
    </row>
    <row r="1807" spans="1:23" ht="12" x14ac:dyDescent="0.2">
      <c r="A1807" s="39"/>
      <c r="B1807" s="40"/>
      <c r="C1807" s="40"/>
      <c r="D1807" s="41"/>
      <c r="E1807" s="41"/>
      <c r="F1807" s="41"/>
      <c r="G1807" s="42"/>
      <c r="H1807" s="40"/>
      <c r="I1807" s="39"/>
      <c r="J1807" s="43"/>
      <c r="K1807" s="43"/>
      <c r="L1807" s="43"/>
      <c r="M1807" s="44"/>
      <c r="N1807" s="44"/>
      <c r="O1807" s="44"/>
      <c r="P1807" s="40"/>
      <c r="Q1807" s="40"/>
      <c r="R1807" s="40"/>
      <c r="S1807" s="40"/>
      <c r="T1807" s="40"/>
      <c r="U1807" s="40"/>
      <c r="V1807" s="40"/>
      <c r="W1807" s="40"/>
    </row>
    <row r="1808" spans="1:23" ht="12" x14ac:dyDescent="0.2">
      <c r="A1808" s="39"/>
      <c r="B1808" s="40"/>
      <c r="C1808" s="40"/>
      <c r="D1808" s="41"/>
      <c r="E1808" s="41"/>
      <c r="F1808" s="41"/>
      <c r="G1808" s="42"/>
      <c r="H1808" s="40"/>
      <c r="I1808" s="39"/>
      <c r="J1808" s="43"/>
      <c r="K1808" s="43"/>
      <c r="L1808" s="43"/>
      <c r="M1808" s="44"/>
      <c r="N1808" s="44"/>
      <c r="O1808" s="44"/>
      <c r="P1808" s="40"/>
      <c r="Q1808" s="40"/>
      <c r="R1808" s="40"/>
      <c r="S1808" s="40"/>
      <c r="T1808" s="40"/>
      <c r="U1808" s="40"/>
      <c r="V1808" s="40"/>
      <c r="W1808" s="40"/>
    </row>
    <row r="1809" spans="1:23" ht="12" x14ac:dyDescent="0.2">
      <c r="A1809" s="39"/>
      <c r="B1809" s="40"/>
      <c r="C1809" s="40"/>
      <c r="D1809" s="41"/>
      <c r="E1809" s="41"/>
      <c r="F1809" s="41"/>
      <c r="G1809" s="42"/>
      <c r="H1809" s="40"/>
      <c r="I1809" s="39"/>
      <c r="J1809" s="43"/>
      <c r="K1809" s="43"/>
      <c r="L1809" s="43"/>
      <c r="M1809" s="44"/>
      <c r="N1809" s="44"/>
      <c r="O1809" s="44"/>
      <c r="P1809" s="40"/>
      <c r="Q1809" s="40"/>
      <c r="R1809" s="40"/>
      <c r="S1809" s="40"/>
      <c r="T1809" s="40"/>
      <c r="U1809" s="40"/>
      <c r="V1809" s="40"/>
      <c r="W1809" s="40"/>
    </row>
    <row r="1810" spans="1:23" ht="12" x14ac:dyDescent="0.2">
      <c r="A1810" s="39"/>
      <c r="B1810" s="40"/>
      <c r="C1810" s="40"/>
      <c r="D1810" s="41"/>
      <c r="E1810" s="41"/>
      <c r="F1810" s="41"/>
      <c r="G1810" s="42"/>
      <c r="H1810" s="40"/>
      <c r="I1810" s="39"/>
      <c r="J1810" s="43"/>
      <c r="K1810" s="43"/>
      <c r="L1810" s="43"/>
      <c r="M1810" s="44"/>
      <c r="N1810" s="44"/>
      <c r="O1810" s="44"/>
      <c r="P1810" s="40"/>
      <c r="Q1810" s="40"/>
      <c r="R1810" s="40"/>
      <c r="S1810" s="40"/>
      <c r="T1810" s="40"/>
      <c r="U1810" s="40"/>
      <c r="V1810" s="40"/>
      <c r="W1810" s="40"/>
    </row>
    <row r="1811" spans="1:23" ht="12" x14ac:dyDescent="0.2">
      <c r="A1811" s="39"/>
      <c r="B1811" s="40"/>
      <c r="C1811" s="40"/>
      <c r="D1811" s="41"/>
      <c r="E1811" s="41"/>
      <c r="F1811" s="41"/>
      <c r="G1811" s="42"/>
      <c r="H1811" s="40"/>
      <c r="I1811" s="39"/>
      <c r="J1811" s="43"/>
      <c r="K1811" s="43"/>
      <c r="L1811" s="43"/>
      <c r="M1811" s="44"/>
      <c r="N1811" s="44"/>
      <c r="O1811" s="44"/>
      <c r="P1811" s="40"/>
      <c r="Q1811" s="40"/>
      <c r="R1811" s="40"/>
      <c r="S1811" s="40"/>
      <c r="T1811" s="40"/>
      <c r="U1811" s="40"/>
      <c r="V1811" s="40"/>
      <c r="W1811" s="40"/>
    </row>
    <row r="1812" spans="1:23" ht="12" x14ac:dyDescent="0.2">
      <c r="A1812" s="39"/>
      <c r="B1812" s="40"/>
      <c r="C1812" s="40"/>
      <c r="D1812" s="41"/>
      <c r="E1812" s="41"/>
      <c r="F1812" s="41"/>
      <c r="G1812" s="42"/>
      <c r="H1812" s="40"/>
      <c r="I1812" s="39"/>
      <c r="J1812" s="43"/>
      <c r="K1812" s="43"/>
      <c r="L1812" s="43"/>
      <c r="M1812" s="44"/>
      <c r="N1812" s="44"/>
      <c r="O1812" s="44"/>
      <c r="P1812" s="40"/>
      <c r="Q1812" s="40"/>
      <c r="R1812" s="40"/>
      <c r="S1812" s="40"/>
      <c r="T1812" s="40"/>
      <c r="U1812" s="40"/>
      <c r="V1812" s="40"/>
      <c r="W1812" s="40"/>
    </row>
    <row r="1813" spans="1:23" ht="12" x14ac:dyDescent="0.2">
      <c r="A1813" s="39"/>
      <c r="B1813" s="40"/>
      <c r="C1813" s="40"/>
      <c r="D1813" s="41"/>
      <c r="E1813" s="41"/>
      <c r="F1813" s="41"/>
      <c r="G1813" s="42"/>
      <c r="H1813" s="40"/>
      <c r="I1813" s="39"/>
      <c r="J1813" s="43"/>
      <c r="K1813" s="43"/>
      <c r="L1813" s="43"/>
      <c r="M1813" s="44"/>
      <c r="N1813" s="44"/>
      <c r="O1813" s="44"/>
      <c r="P1813" s="40"/>
      <c r="Q1813" s="40"/>
      <c r="R1813" s="40"/>
      <c r="S1813" s="40"/>
      <c r="T1813" s="40"/>
      <c r="U1813" s="40"/>
      <c r="V1813" s="40"/>
      <c r="W1813" s="40"/>
    </row>
    <row r="1814" spans="1:23" ht="12" x14ac:dyDescent="0.2">
      <c r="A1814" s="39"/>
      <c r="B1814" s="40"/>
      <c r="C1814" s="40"/>
      <c r="D1814" s="41"/>
      <c r="E1814" s="41"/>
      <c r="F1814" s="41"/>
      <c r="G1814" s="42"/>
      <c r="H1814" s="40"/>
      <c r="I1814" s="39"/>
      <c r="J1814" s="43"/>
      <c r="K1814" s="43"/>
      <c r="L1814" s="43"/>
      <c r="M1814" s="44"/>
      <c r="N1814" s="44"/>
      <c r="O1814" s="44"/>
      <c r="P1814" s="40"/>
      <c r="Q1814" s="40"/>
      <c r="R1814" s="40"/>
      <c r="S1814" s="40"/>
      <c r="T1814" s="40"/>
      <c r="U1814" s="40"/>
      <c r="V1814" s="40"/>
      <c r="W1814" s="40"/>
    </row>
    <row r="1815" spans="1:23" ht="12" x14ac:dyDescent="0.2">
      <c r="A1815" s="39"/>
      <c r="B1815" s="40"/>
      <c r="C1815" s="40"/>
      <c r="D1815" s="41"/>
      <c r="E1815" s="41"/>
      <c r="F1815" s="41"/>
      <c r="G1815" s="42"/>
      <c r="H1815" s="40"/>
      <c r="I1815" s="39"/>
      <c r="J1815" s="43"/>
      <c r="K1815" s="43"/>
      <c r="L1815" s="43"/>
      <c r="M1815" s="44"/>
      <c r="N1815" s="44"/>
      <c r="O1815" s="44"/>
      <c r="P1815" s="40"/>
      <c r="Q1815" s="40"/>
      <c r="R1815" s="40"/>
      <c r="S1815" s="40"/>
      <c r="T1815" s="40"/>
      <c r="U1815" s="40"/>
      <c r="V1815" s="40"/>
      <c r="W1815" s="40"/>
    </row>
    <row r="1816" spans="1:23" ht="12" x14ac:dyDescent="0.2">
      <c r="A1816" s="39"/>
      <c r="B1816" s="40"/>
      <c r="C1816" s="40"/>
      <c r="D1816" s="41"/>
      <c r="E1816" s="41"/>
      <c r="F1816" s="41"/>
      <c r="G1816" s="42"/>
      <c r="H1816" s="40"/>
      <c r="I1816" s="39"/>
      <c r="J1816" s="43"/>
      <c r="K1816" s="43"/>
      <c r="L1816" s="43"/>
      <c r="M1816" s="44"/>
      <c r="N1816" s="44"/>
      <c r="O1816" s="44"/>
      <c r="P1816" s="40"/>
      <c r="Q1816" s="40"/>
      <c r="R1816" s="40"/>
      <c r="S1816" s="40"/>
      <c r="T1816" s="40"/>
      <c r="U1816" s="40"/>
      <c r="V1816" s="40"/>
      <c r="W1816" s="40"/>
    </row>
    <row r="1817" spans="1:23" ht="12" x14ac:dyDescent="0.2">
      <c r="A1817" s="39"/>
      <c r="B1817" s="40"/>
      <c r="C1817" s="40"/>
      <c r="D1817" s="41"/>
      <c r="E1817" s="41"/>
      <c r="F1817" s="41"/>
      <c r="G1817" s="42"/>
      <c r="H1817" s="40"/>
      <c r="I1817" s="39"/>
      <c r="J1817" s="43"/>
      <c r="K1817" s="43"/>
      <c r="L1817" s="43"/>
      <c r="M1817" s="44"/>
      <c r="N1817" s="44"/>
      <c r="O1817" s="44"/>
      <c r="P1817" s="40"/>
      <c r="Q1817" s="40"/>
      <c r="R1817" s="40"/>
      <c r="S1817" s="40"/>
      <c r="T1817" s="40"/>
      <c r="U1817" s="40"/>
      <c r="V1817" s="40"/>
      <c r="W1817" s="40"/>
    </row>
    <row r="1818" spans="1:23" ht="12" x14ac:dyDescent="0.2">
      <c r="A1818" s="39"/>
      <c r="B1818" s="40"/>
      <c r="C1818" s="40"/>
      <c r="D1818" s="41"/>
      <c r="E1818" s="41"/>
      <c r="F1818" s="41"/>
      <c r="G1818" s="42"/>
      <c r="H1818" s="40"/>
      <c r="I1818" s="39"/>
      <c r="J1818" s="43"/>
      <c r="K1818" s="43"/>
      <c r="L1818" s="43"/>
      <c r="M1818" s="44"/>
      <c r="N1818" s="44"/>
      <c r="O1818" s="44"/>
      <c r="P1818" s="40"/>
      <c r="Q1818" s="40"/>
      <c r="R1818" s="40"/>
      <c r="S1818" s="40"/>
      <c r="T1818" s="40"/>
      <c r="U1818" s="40"/>
      <c r="V1818" s="40"/>
      <c r="W1818" s="40"/>
    </row>
    <row r="1819" spans="1:23" ht="12" x14ac:dyDescent="0.2">
      <c r="A1819" s="39"/>
      <c r="B1819" s="40"/>
      <c r="C1819" s="40"/>
      <c r="D1819" s="41"/>
      <c r="E1819" s="41"/>
      <c r="F1819" s="41"/>
      <c r="G1819" s="42"/>
      <c r="H1819" s="40"/>
      <c r="I1819" s="39"/>
      <c r="J1819" s="43"/>
      <c r="K1819" s="43"/>
      <c r="L1819" s="43"/>
      <c r="M1819" s="44"/>
      <c r="N1819" s="44"/>
      <c r="O1819" s="44"/>
      <c r="P1819" s="40"/>
      <c r="Q1819" s="40"/>
      <c r="R1819" s="40"/>
      <c r="S1819" s="40"/>
      <c r="T1819" s="40"/>
      <c r="U1819" s="40"/>
      <c r="V1819" s="40"/>
      <c r="W1819" s="40"/>
    </row>
    <row r="1820" spans="1:23" ht="12" x14ac:dyDescent="0.2">
      <c r="A1820" s="39"/>
      <c r="B1820" s="40"/>
      <c r="C1820" s="40"/>
      <c r="D1820" s="41"/>
      <c r="E1820" s="41"/>
      <c r="F1820" s="41"/>
      <c r="G1820" s="42"/>
      <c r="H1820" s="40"/>
      <c r="I1820" s="39"/>
      <c r="J1820" s="43"/>
      <c r="K1820" s="43"/>
      <c r="L1820" s="43"/>
      <c r="M1820" s="44"/>
      <c r="N1820" s="44"/>
      <c r="O1820" s="44"/>
      <c r="P1820" s="40"/>
      <c r="Q1820" s="40"/>
      <c r="R1820" s="40"/>
      <c r="S1820" s="40"/>
      <c r="T1820" s="40"/>
      <c r="U1820" s="40"/>
      <c r="V1820" s="40"/>
      <c r="W1820" s="40"/>
    </row>
    <row r="1821" spans="1:23" ht="12" x14ac:dyDescent="0.2">
      <c r="A1821" s="39"/>
      <c r="B1821" s="40"/>
      <c r="C1821" s="40"/>
      <c r="D1821" s="41"/>
      <c r="E1821" s="41"/>
      <c r="F1821" s="41"/>
      <c r="G1821" s="42"/>
      <c r="H1821" s="40"/>
      <c r="I1821" s="39"/>
      <c r="J1821" s="43"/>
      <c r="K1821" s="43"/>
      <c r="L1821" s="43"/>
      <c r="M1821" s="44"/>
      <c r="N1821" s="44"/>
      <c r="O1821" s="44"/>
      <c r="P1821" s="40"/>
      <c r="Q1821" s="40"/>
      <c r="R1821" s="40"/>
      <c r="S1821" s="40"/>
      <c r="T1821" s="40"/>
      <c r="U1821" s="40"/>
      <c r="V1821" s="40"/>
      <c r="W1821" s="40"/>
    </row>
    <row r="1822" spans="1:23" ht="12" x14ac:dyDescent="0.2">
      <c r="A1822" s="39"/>
      <c r="B1822" s="40"/>
      <c r="C1822" s="40"/>
      <c r="D1822" s="41"/>
      <c r="E1822" s="41"/>
      <c r="F1822" s="41"/>
      <c r="G1822" s="42"/>
      <c r="H1822" s="40"/>
      <c r="I1822" s="39"/>
      <c r="J1822" s="43"/>
      <c r="K1822" s="43"/>
      <c r="L1822" s="43"/>
      <c r="M1822" s="44"/>
      <c r="N1822" s="44"/>
      <c r="O1822" s="44"/>
      <c r="P1822" s="40"/>
      <c r="Q1822" s="40"/>
      <c r="R1822" s="40"/>
      <c r="S1822" s="40"/>
      <c r="T1822" s="40"/>
      <c r="U1822" s="40"/>
      <c r="V1822" s="40"/>
      <c r="W1822" s="40"/>
    </row>
    <row r="1823" spans="1:23" ht="12" x14ac:dyDescent="0.2">
      <c r="A1823" s="39"/>
      <c r="B1823" s="40"/>
      <c r="C1823" s="40"/>
      <c r="D1823" s="41"/>
      <c r="E1823" s="41"/>
      <c r="F1823" s="41"/>
      <c r="G1823" s="42"/>
      <c r="H1823" s="40"/>
      <c r="I1823" s="39"/>
      <c r="J1823" s="43"/>
      <c r="K1823" s="43"/>
      <c r="L1823" s="43"/>
      <c r="M1823" s="44"/>
      <c r="N1823" s="44"/>
      <c r="O1823" s="44"/>
      <c r="P1823" s="40"/>
      <c r="Q1823" s="40"/>
      <c r="R1823" s="40"/>
      <c r="S1823" s="40"/>
      <c r="T1823" s="40"/>
      <c r="U1823" s="40"/>
      <c r="V1823" s="40"/>
      <c r="W1823" s="40"/>
    </row>
    <row r="1824" spans="1:23" ht="12" x14ac:dyDescent="0.2">
      <c r="A1824" s="39"/>
      <c r="B1824" s="40"/>
      <c r="C1824" s="40"/>
      <c r="D1824" s="41"/>
      <c r="E1824" s="41"/>
      <c r="F1824" s="41"/>
      <c r="G1824" s="42"/>
      <c r="H1824" s="40"/>
      <c r="I1824" s="39"/>
      <c r="J1824" s="43"/>
      <c r="K1824" s="43"/>
      <c r="L1824" s="43"/>
      <c r="M1824" s="44"/>
      <c r="N1824" s="44"/>
      <c r="O1824" s="44"/>
      <c r="P1824" s="40"/>
      <c r="Q1824" s="40"/>
      <c r="R1824" s="40"/>
      <c r="S1824" s="40"/>
      <c r="T1824" s="40"/>
      <c r="U1824" s="40"/>
      <c r="V1824" s="40"/>
      <c r="W1824" s="40"/>
    </row>
    <row r="1825" spans="1:23" ht="12" x14ac:dyDescent="0.2">
      <c r="A1825" s="39"/>
      <c r="B1825" s="40"/>
      <c r="C1825" s="40"/>
      <c r="D1825" s="41"/>
      <c r="E1825" s="41"/>
      <c r="F1825" s="41"/>
      <c r="G1825" s="42"/>
      <c r="H1825" s="40"/>
      <c r="I1825" s="39"/>
      <c r="J1825" s="43"/>
      <c r="K1825" s="43"/>
      <c r="L1825" s="43"/>
      <c r="M1825" s="44"/>
      <c r="N1825" s="44"/>
      <c r="O1825" s="44"/>
      <c r="P1825" s="40"/>
      <c r="Q1825" s="40"/>
      <c r="R1825" s="40"/>
      <c r="S1825" s="40"/>
      <c r="T1825" s="40"/>
      <c r="U1825" s="40"/>
      <c r="V1825" s="40"/>
      <c r="W1825" s="40"/>
    </row>
    <row r="1826" spans="1:23" ht="12" x14ac:dyDescent="0.2">
      <c r="A1826" s="39"/>
      <c r="B1826" s="40"/>
      <c r="C1826" s="40"/>
      <c r="D1826" s="41"/>
      <c r="E1826" s="41"/>
      <c r="F1826" s="41"/>
      <c r="G1826" s="42"/>
      <c r="H1826" s="40"/>
      <c r="I1826" s="39"/>
      <c r="J1826" s="43"/>
      <c r="K1826" s="43"/>
      <c r="L1826" s="43"/>
      <c r="M1826" s="44"/>
      <c r="N1826" s="44"/>
      <c r="O1826" s="44"/>
      <c r="P1826" s="40"/>
      <c r="Q1826" s="40"/>
      <c r="R1826" s="40"/>
      <c r="S1826" s="40"/>
      <c r="T1826" s="40"/>
      <c r="U1826" s="40"/>
      <c r="V1826" s="40"/>
      <c r="W1826" s="40"/>
    </row>
    <row r="1827" spans="1:23" ht="12" x14ac:dyDescent="0.2">
      <c r="A1827" s="39"/>
      <c r="B1827" s="40"/>
      <c r="C1827" s="40"/>
      <c r="D1827" s="41"/>
      <c r="E1827" s="41"/>
      <c r="F1827" s="41"/>
      <c r="G1827" s="42"/>
      <c r="H1827" s="40"/>
      <c r="I1827" s="39"/>
      <c r="J1827" s="43"/>
      <c r="K1827" s="43"/>
      <c r="L1827" s="43"/>
      <c r="M1827" s="44"/>
      <c r="N1827" s="44"/>
      <c r="O1827" s="44"/>
      <c r="P1827" s="40"/>
      <c r="Q1827" s="40"/>
      <c r="R1827" s="40"/>
      <c r="S1827" s="40"/>
      <c r="T1827" s="40"/>
      <c r="U1827" s="40"/>
      <c r="V1827" s="40"/>
      <c r="W1827" s="40"/>
    </row>
    <row r="1828" spans="1:23" ht="12" x14ac:dyDescent="0.2">
      <c r="A1828" s="39"/>
      <c r="B1828" s="40"/>
      <c r="C1828" s="40"/>
      <c r="D1828" s="41"/>
      <c r="E1828" s="41"/>
      <c r="F1828" s="41"/>
      <c r="G1828" s="42"/>
      <c r="H1828" s="40"/>
      <c r="I1828" s="39"/>
      <c r="J1828" s="43"/>
      <c r="K1828" s="43"/>
      <c r="L1828" s="43"/>
      <c r="M1828" s="44"/>
      <c r="N1828" s="44"/>
      <c r="O1828" s="44"/>
      <c r="P1828" s="40"/>
      <c r="Q1828" s="40"/>
      <c r="R1828" s="40"/>
      <c r="S1828" s="40"/>
      <c r="T1828" s="40"/>
      <c r="U1828" s="40"/>
      <c r="V1828" s="40"/>
      <c r="W1828" s="40"/>
    </row>
    <row r="1829" spans="1:23" ht="12" x14ac:dyDescent="0.2">
      <c r="A1829" s="39"/>
      <c r="B1829" s="40"/>
      <c r="C1829" s="40"/>
      <c r="D1829" s="41"/>
      <c r="E1829" s="41"/>
      <c r="F1829" s="41"/>
      <c r="G1829" s="42"/>
      <c r="H1829" s="40"/>
      <c r="I1829" s="39"/>
      <c r="J1829" s="43"/>
      <c r="K1829" s="43"/>
      <c r="L1829" s="43"/>
      <c r="M1829" s="44"/>
      <c r="N1829" s="44"/>
      <c r="O1829" s="44"/>
      <c r="P1829" s="40"/>
      <c r="Q1829" s="40"/>
      <c r="R1829" s="40"/>
      <c r="S1829" s="40"/>
      <c r="T1829" s="40"/>
      <c r="U1829" s="40"/>
      <c r="V1829" s="40"/>
      <c r="W1829" s="40"/>
    </row>
    <row r="1830" spans="1:23" ht="12" x14ac:dyDescent="0.2">
      <c r="A1830" s="39"/>
      <c r="B1830" s="40"/>
      <c r="C1830" s="40"/>
      <c r="D1830" s="41"/>
      <c r="E1830" s="41"/>
      <c r="F1830" s="41"/>
      <c r="G1830" s="42"/>
      <c r="H1830" s="40"/>
      <c r="I1830" s="39"/>
      <c r="J1830" s="43"/>
      <c r="K1830" s="43"/>
      <c r="L1830" s="43"/>
      <c r="M1830" s="44"/>
      <c r="N1830" s="44"/>
      <c r="O1830" s="44"/>
      <c r="P1830" s="40"/>
      <c r="Q1830" s="40"/>
      <c r="R1830" s="40"/>
      <c r="S1830" s="40"/>
      <c r="T1830" s="40"/>
      <c r="U1830" s="40"/>
      <c r="V1830" s="40"/>
      <c r="W1830" s="40"/>
    </row>
    <row r="1831" spans="1:23" ht="12" x14ac:dyDescent="0.2">
      <c r="A1831" s="39"/>
      <c r="B1831" s="40"/>
      <c r="C1831" s="40"/>
      <c r="D1831" s="41"/>
      <c r="E1831" s="41"/>
      <c r="F1831" s="41"/>
      <c r="G1831" s="42"/>
      <c r="H1831" s="40"/>
      <c r="I1831" s="39"/>
      <c r="J1831" s="43"/>
      <c r="K1831" s="43"/>
      <c r="L1831" s="43"/>
      <c r="M1831" s="44"/>
      <c r="N1831" s="44"/>
      <c r="O1831" s="44"/>
      <c r="P1831" s="40"/>
      <c r="Q1831" s="40"/>
      <c r="R1831" s="40"/>
      <c r="S1831" s="40"/>
      <c r="T1831" s="40"/>
      <c r="U1831" s="40"/>
      <c r="V1831" s="40"/>
      <c r="W1831" s="40"/>
    </row>
    <row r="1832" spans="1:23" ht="12" x14ac:dyDescent="0.2">
      <c r="A1832" s="39"/>
      <c r="B1832" s="40"/>
      <c r="C1832" s="40"/>
      <c r="D1832" s="41"/>
      <c r="E1832" s="41"/>
      <c r="F1832" s="41"/>
      <c r="G1832" s="42"/>
      <c r="H1832" s="40"/>
      <c r="I1832" s="39"/>
      <c r="J1832" s="43"/>
      <c r="K1832" s="43"/>
      <c r="L1832" s="43"/>
      <c r="M1832" s="44"/>
      <c r="N1832" s="44"/>
      <c r="O1832" s="44"/>
      <c r="P1832" s="40"/>
      <c r="Q1832" s="40"/>
      <c r="R1832" s="40"/>
      <c r="S1832" s="40"/>
      <c r="T1832" s="40"/>
      <c r="U1832" s="40"/>
      <c r="V1832" s="40"/>
      <c r="W1832" s="40"/>
    </row>
    <row r="1833" spans="1:23" ht="12" x14ac:dyDescent="0.2">
      <c r="A1833" s="39"/>
      <c r="B1833" s="40"/>
      <c r="C1833" s="40"/>
      <c r="D1833" s="41"/>
      <c r="E1833" s="41"/>
      <c r="F1833" s="41"/>
      <c r="G1833" s="42"/>
      <c r="H1833" s="40"/>
      <c r="I1833" s="39"/>
      <c r="J1833" s="43"/>
      <c r="K1833" s="43"/>
      <c r="L1833" s="43"/>
      <c r="M1833" s="44"/>
      <c r="N1833" s="44"/>
      <c r="O1833" s="44"/>
      <c r="P1833" s="40"/>
      <c r="Q1833" s="40"/>
      <c r="R1833" s="40"/>
      <c r="S1833" s="40"/>
      <c r="T1833" s="40"/>
      <c r="U1833" s="40"/>
      <c r="V1833" s="40"/>
      <c r="W1833" s="40"/>
    </row>
    <row r="1834" spans="1:23" ht="12" x14ac:dyDescent="0.2">
      <c r="A1834" s="39"/>
      <c r="B1834" s="40"/>
      <c r="C1834" s="40"/>
      <c r="D1834" s="41"/>
      <c r="E1834" s="41"/>
      <c r="F1834" s="41"/>
      <c r="G1834" s="42"/>
      <c r="H1834" s="40"/>
      <c r="I1834" s="39"/>
      <c r="J1834" s="43"/>
      <c r="K1834" s="43"/>
      <c r="L1834" s="43"/>
      <c r="M1834" s="44"/>
      <c r="N1834" s="44"/>
      <c r="O1834" s="44"/>
      <c r="P1834" s="40"/>
      <c r="Q1834" s="40"/>
      <c r="R1834" s="40"/>
      <c r="S1834" s="40"/>
      <c r="T1834" s="40"/>
      <c r="U1834" s="40"/>
      <c r="V1834" s="40"/>
      <c r="W1834" s="40"/>
    </row>
    <row r="1835" spans="1:23" ht="12" x14ac:dyDescent="0.2">
      <c r="A1835" s="39"/>
      <c r="B1835" s="40"/>
      <c r="C1835" s="40"/>
      <c r="D1835" s="41"/>
      <c r="E1835" s="41"/>
      <c r="F1835" s="41"/>
      <c r="G1835" s="42"/>
      <c r="H1835" s="40"/>
      <c r="I1835" s="39"/>
      <c r="J1835" s="43"/>
      <c r="K1835" s="43"/>
      <c r="L1835" s="43"/>
      <c r="M1835" s="44"/>
      <c r="N1835" s="44"/>
      <c r="O1835" s="44"/>
      <c r="P1835" s="40"/>
      <c r="Q1835" s="40"/>
      <c r="R1835" s="40"/>
      <c r="S1835" s="40"/>
      <c r="T1835" s="40"/>
      <c r="U1835" s="40"/>
      <c r="V1835" s="40"/>
      <c r="W1835" s="40"/>
    </row>
    <row r="1836" spans="1:23" ht="12" x14ac:dyDescent="0.2">
      <c r="A1836" s="39"/>
      <c r="B1836" s="40"/>
      <c r="C1836" s="40"/>
      <c r="D1836" s="41"/>
      <c r="E1836" s="41"/>
      <c r="F1836" s="41"/>
      <c r="G1836" s="42"/>
      <c r="H1836" s="40"/>
      <c r="I1836" s="39"/>
      <c r="J1836" s="43"/>
      <c r="K1836" s="43"/>
      <c r="L1836" s="43"/>
      <c r="M1836" s="44"/>
      <c r="N1836" s="44"/>
      <c r="O1836" s="44"/>
      <c r="P1836" s="40"/>
      <c r="Q1836" s="40"/>
      <c r="R1836" s="40"/>
      <c r="S1836" s="40"/>
      <c r="T1836" s="40"/>
      <c r="U1836" s="40"/>
      <c r="V1836" s="40"/>
      <c r="W1836" s="40"/>
    </row>
    <row r="1837" spans="1:23" ht="12" x14ac:dyDescent="0.2">
      <c r="A1837" s="39"/>
      <c r="B1837" s="40"/>
      <c r="C1837" s="40"/>
      <c r="D1837" s="41"/>
      <c r="E1837" s="41"/>
      <c r="F1837" s="41"/>
      <c r="G1837" s="42"/>
      <c r="H1837" s="40"/>
      <c r="I1837" s="39"/>
      <c r="J1837" s="43"/>
      <c r="K1837" s="43"/>
      <c r="L1837" s="43"/>
      <c r="M1837" s="44"/>
      <c r="N1837" s="44"/>
      <c r="O1837" s="44"/>
      <c r="P1837" s="40"/>
      <c r="Q1837" s="40"/>
      <c r="R1837" s="40"/>
      <c r="S1837" s="40"/>
      <c r="T1837" s="40"/>
      <c r="U1837" s="40"/>
      <c r="V1837" s="40"/>
      <c r="W1837" s="40"/>
    </row>
    <row r="1838" spans="1:23" ht="12" x14ac:dyDescent="0.2">
      <c r="A1838" s="39"/>
      <c r="B1838" s="40"/>
      <c r="C1838" s="40"/>
      <c r="D1838" s="41"/>
      <c r="E1838" s="41"/>
      <c r="F1838" s="41"/>
      <c r="G1838" s="42"/>
      <c r="H1838" s="40"/>
      <c r="I1838" s="39"/>
      <c r="J1838" s="43"/>
      <c r="K1838" s="43"/>
      <c r="L1838" s="43"/>
      <c r="M1838" s="44"/>
      <c r="N1838" s="44"/>
      <c r="O1838" s="44"/>
      <c r="P1838" s="40"/>
      <c r="Q1838" s="40"/>
      <c r="R1838" s="40"/>
      <c r="S1838" s="40"/>
      <c r="T1838" s="40"/>
      <c r="U1838" s="40"/>
      <c r="V1838" s="40"/>
      <c r="W1838" s="40"/>
    </row>
    <row r="1839" spans="1:23" ht="12" x14ac:dyDescent="0.2">
      <c r="A1839" s="39"/>
      <c r="B1839" s="40"/>
      <c r="C1839" s="40"/>
      <c r="D1839" s="41"/>
      <c r="E1839" s="41"/>
      <c r="F1839" s="41"/>
      <c r="G1839" s="42"/>
      <c r="H1839" s="40"/>
      <c r="I1839" s="39"/>
      <c r="J1839" s="43"/>
      <c r="K1839" s="43"/>
      <c r="L1839" s="43"/>
      <c r="M1839" s="44"/>
      <c r="N1839" s="44"/>
      <c r="O1839" s="44"/>
      <c r="P1839" s="40"/>
      <c r="Q1839" s="40"/>
      <c r="R1839" s="40"/>
      <c r="S1839" s="40"/>
      <c r="T1839" s="40"/>
      <c r="U1839" s="40"/>
      <c r="V1839" s="40"/>
      <c r="W1839" s="40"/>
    </row>
    <row r="1840" spans="1:23" ht="12" x14ac:dyDescent="0.2">
      <c r="A1840" s="39"/>
      <c r="B1840" s="40"/>
      <c r="C1840" s="40"/>
      <c r="D1840" s="41"/>
      <c r="E1840" s="41"/>
      <c r="F1840" s="41"/>
      <c r="G1840" s="42"/>
      <c r="H1840" s="40"/>
      <c r="I1840" s="39"/>
      <c r="J1840" s="43"/>
      <c r="K1840" s="43"/>
      <c r="L1840" s="43"/>
      <c r="M1840" s="44"/>
      <c r="N1840" s="44"/>
      <c r="O1840" s="44"/>
      <c r="P1840" s="40"/>
      <c r="Q1840" s="40"/>
      <c r="R1840" s="40"/>
      <c r="S1840" s="40"/>
      <c r="T1840" s="40"/>
      <c r="U1840" s="40"/>
      <c r="V1840" s="40"/>
      <c r="W1840" s="40"/>
    </row>
    <row r="1841" spans="1:23" ht="12" x14ac:dyDescent="0.2">
      <c r="A1841" s="39"/>
      <c r="B1841" s="40"/>
      <c r="C1841" s="40"/>
      <c r="D1841" s="41"/>
      <c r="E1841" s="41"/>
      <c r="F1841" s="41"/>
      <c r="G1841" s="42"/>
      <c r="H1841" s="40"/>
      <c r="I1841" s="39"/>
      <c r="J1841" s="43"/>
      <c r="K1841" s="43"/>
      <c r="L1841" s="43"/>
      <c r="M1841" s="44"/>
      <c r="N1841" s="44"/>
      <c r="O1841" s="44"/>
      <c r="P1841" s="40"/>
      <c r="Q1841" s="40"/>
      <c r="R1841" s="40"/>
      <c r="S1841" s="40"/>
      <c r="T1841" s="40"/>
      <c r="U1841" s="40"/>
      <c r="V1841" s="40"/>
      <c r="W1841" s="40"/>
    </row>
    <row r="1842" spans="1:23" ht="12" x14ac:dyDescent="0.2">
      <c r="A1842" s="39"/>
      <c r="B1842" s="40"/>
      <c r="C1842" s="40"/>
      <c r="D1842" s="41"/>
      <c r="E1842" s="41"/>
      <c r="F1842" s="41"/>
      <c r="G1842" s="42"/>
      <c r="H1842" s="40"/>
      <c r="I1842" s="39"/>
      <c r="J1842" s="43"/>
      <c r="K1842" s="43"/>
      <c r="L1842" s="43"/>
      <c r="M1842" s="44"/>
      <c r="N1842" s="44"/>
      <c r="O1842" s="44"/>
      <c r="P1842" s="40"/>
      <c r="Q1842" s="40"/>
      <c r="R1842" s="40"/>
      <c r="S1842" s="40"/>
      <c r="T1842" s="40"/>
      <c r="U1842" s="40"/>
      <c r="V1842" s="40"/>
      <c r="W1842" s="40"/>
    </row>
    <row r="1843" spans="1:23" ht="12" x14ac:dyDescent="0.2">
      <c r="A1843" s="39"/>
      <c r="B1843" s="40"/>
      <c r="C1843" s="40"/>
      <c r="D1843" s="41"/>
      <c r="E1843" s="41"/>
      <c r="F1843" s="41"/>
      <c r="G1843" s="42"/>
      <c r="H1843" s="40"/>
      <c r="I1843" s="39"/>
      <c r="J1843" s="43"/>
      <c r="K1843" s="43"/>
      <c r="L1843" s="43"/>
      <c r="M1843" s="44"/>
      <c r="N1843" s="44"/>
      <c r="O1843" s="44"/>
      <c r="P1843" s="40"/>
      <c r="Q1843" s="40"/>
      <c r="R1843" s="40"/>
      <c r="S1843" s="40"/>
      <c r="T1843" s="40"/>
      <c r="U1843" s="40"/>
      <c r="V1843" s="40"/>
      <c r="W1843" s="40"/>
    </row>
    <row r="1844" spans="1:23" ht="12" x14ac:dyDescent="0.2">
      <c r="A1844" s="39"/>
      <c r="B1844" s="40"/>
      <c r="C1844" s="40"/>
      <c r="D1844" s="41"/>
      <c r="E1844" s="41"/>
      <c r="F1844" s="41"/>
      <c r="G1844" s="42"/>
      <c r="H1844" s="40"/>
      <c r="I1844" s="39"/>
      <c r="J1844" s="43"/>
      <c r="K1844" s="43"/>
      <c r="L1844" s="43"/>
      <c r="M1844" s="44"/>
      <c r="N1844" s="44"/>
      <c r="O1844" s="44"/>
      <c r="P1844" s="40"/>
      <c r="Q1844" s="40"/>
      <c r="R1844" s="40"/>
      <c r="S1844" s="40"/>
      <c r="T1844" s="40"/>
      <c r="U1844" s="40"/>
      <c r="V1844" s="40"/>
      <c r="W1844" s="40"/>
    </row>
    <row r="1845" spans="1:23" ht="12" x14ac:dyDescent="0.2">
      <c r="A1845" s="39"/>
      <c r="B1845" s="40"/>
      <c r="C1845" s="40"/>
      <c r="D1845" s="41"/>
      <c r="E1845" s="41"/>
      <c r="F1845" s="41"/>
      <c r="G1845" s="42"/>
      <c r="H1845" s="40"/>
      <c r="I1845" s="39"/>
      <c r="J1845" s="43"/>
      <c r="K1845" s="43"/>
      <c r="L1845" s="43"/>
      <c r="M1845" s="44"/>
      <c r="N1845" s="44"/>
      <c r="O1845" s="44"/>
      <c r="P1845" s="40"/>
      <c r="Q1845" s="40"/>
      <c r="R1845" s="40"/>
      <c r="S1845" s="40"/>
      <c r="T1845" s="40"/>
      <c r="U1845" s="40"/>
      <c r="V1845" s="40"/>
      <c r="W1845" s="40"/>
    </row>
    <row r="1846" spans="1:23" ht="12" x14ac:dyDescent="0.2">
      <c r="A1846" s="39"/>
      <c r="B1846" s="40"/>
      <c r="C1846" s="40"/>
      <c r="D1846" s="41"/>
      <c r="E1846" s="41"/>
      <c r="F1846" s="41"/>
      <c r="G1846" s="42"/>
      <c r="H1846" s="40"/>
      <c r="I1846" s="39"/>
      <c r="J1846" s="43"/>
      <c r="K1846" s="43"/>
      <c r="L1846" s="43"/>
      <c r="M1846" s="44"/>
      <c r="N1846" s="44"/>
      <c r="O1846" s="44"/>
      <c r="P1846" s="40"/>
      <c r="Q1846" s="40"/>
      <c r="R1846" s="40"/>
      <c r="S1846" s="40"/>
      <c r="T1846" s="40"/>
      <c r="U1846" s="40"/>
      <c r="V1846" s="40"/>
      <c r="W1846" s="40"/>
    </row>
    <row r="1847" spans="1:23" ht="12" x14ac:dyDescent="0.2">
      <c r="A1847" s="39"/>
      <c r="B1847" s="40"/>
      <c r="C1847" s="40"/>
      <c r="D1847" s="41"/>
      <c r="E1847" s="41"/>
      <c r="F1847" s="41"/>
      <c r="G1847" s="42"/>
      <c r="H1847" s="40"/>
      <c r="I1847" s="39"/>
      <c r="J1847" s="43"/>
      <c r="K1847" s="43"/>
      <c r="L1847" s="43"/>
      <c r="M1847" s="44"/>
      <c r="N1847" s="44"/>
      <c r="O1847" s="44"/>
      <c r="P1847" s="40"/>
      <c r="Q1847" s="40"/>
      <c r="R1847" s="40"/>
      <c r="S1847" s="40"/>
      <c r="T1847" s="40"/>
      <c r="U1847" s="40"/>
      <c r="V1847" s="40"/>
      <c r="W1847" s="40"/>
    </row>
    <row r="1848" spans="1:23" ht="12" x14ac:dyDescent="0.2">
      <c r="A1848" s="39"/>
      <c r="B1848" s="40"/>
      <c r="C1848" s="40"/>
      <c r="D1848" s="41"/>
      <c r="E1848" s="41"/>
      <c r="F1848" s="41"/>
      <c r="G1848" s="42"/>
      <c r="H1848" s="40"/>
      <c r="I1848" s="39"/>
      <c r="J1848" s="43"/>
      <c r="K1848" s="43"/>
      <c r="L1848" s="43"/>
      <c r="M1848" s="44"/>
      <c r="N1848" s="44"/>
      <c r="O1848" s="44"/>
      <c r="P1848" s="40"/>
      <c r="Q1848" s="40"/>
      <c r="R1848" s="40"/>
      <c r="S1848" s="40"/>
      <c r="T1848" s="40"/>
      <c r="U1848" s="40"/>
      <c r="V1848" s="40"/>
      <c r="W1848" s="40"/>
    </row>
    <row r="1849" spans="1:23" ht="12" x14ac:dyDescent="0.2">
      <c r="A1849" s="39"/>
      <c r="B1849" s="40"/>
      <c r="C1849" s="40"/>
      <c r="D1849" s="41"/>
      <c r="E1849" s="41"/>
      <c r="F1849" s="41"/>
      <c r="G1849" s="42"/>
      <c r="H1849" s="40"/>
      <c r="I1849" s="39"/>
      <c r="J1849" s="43"/>
      <c r="K1849" s="43"/>
      <c r="L1849" s="43"/>
      <c r="M1849" s="44"/>
      <c r="N1849" s="44"/>
      <c r="O1849" s="44"/>
      <c r="P1849" s="40"/>
      <c r="Q1849" s="40"/>
      <c r="R1849" s="40"/>
      <c r="S1849" s="40"/>
      <c r="T1849" s="40"/>
      <c r="U1849" s="40"/>
      <c r="V1849" s="40"/>
      <c r="W1849" s="40"/>
    </row>
    <row r="1850" spans="1:23" ht="12" x14ac:dyDescent="0.2">
      <c r="A1850" s="39"/>
      <c r="B1850" s="40"/>
      <c r="C1850" s="40"/>
      <c r="D1850" s="41"/>
      <c r="E1850" s="41"/>
      <c r="F1850" s="41"/>
      <c r="G1850" s="42"/>
      <c r="H1850" s="40"/>
      <c r="I1850" s="39"/>
      <c r="J1850" s="43"/>
      <c r="K1850" s="43"/>
      <c r="L1850" s="43"/>
      <c r="M1850" s="44"/>
      <c r="N1850" s="44"/>
      <c r="O1850" s="44"/>
      <c r="P1850" s="40"/>
      <c r="Q1850" s="40"/>
      <c r="R1850" s="40"/>
      <c r="S1850" s="40"/>
      <c r="T1850" s="40"/>
      <c r="U1850" s="40"/>
      <c r="V1850" s="40"/>
      <c r="W1850" s="40"/>
    </row>
    <row r="1851" spans="1:23" ht="12" x14ac:dyDescent="0.2">
      <c r="A1851" s="39"/>
      <c r="B1851" s="40"/>
      <c r="C1851" s="40"/>
      <c r="D1851" s="41"/>
      <c r="E1851" s="41"/>
      <c r="F1851" s="41"/>
      <c r="G1851" s="42"/>
      <c r="H1851" s="40"/>
      <c r="I1851" s="39"/>
      <c r="J1851" s="43"/>
      <c r="K1851" s="43"/>
      <c r="L1851" s="43"/>
      <c r="M1851" s="44"/>
      <c r="N1851" s="44"/>
      <c r="O1851" s="44"/>
      <c r="P1851" s="40"/>
      <c r="Q1851" s="40"/>
      <c r="R1851" s="40"/>
      <c r="S1851" s="40"/>
      <c r="T1851" s="40"/>
      <c r="U1851" s="40"/>
      <c r="V1851" s="40"/>
      <c r="W1851" s="40"/>
    </row>
    <row r="1852" spans="1:23" ht="12" x14ac:dyDescent="0.2">
      <c r="A1852" s="39"/>
      <c r="B1852" s="40"/>
      <c r="C1852" s="40"/>
      <c r="D1852" s="41"/>
      <c r="E1852" s="41"/>
      <c r="F1852" s="41"/>
      <c r="G1852" s="42"/>
      <c r="H1852" s="40"/>
      <c r="I1852" s="39"/>
      <c r="J1852" s="43"/>
      <c r="K1852" s="43"/>
      <c r="L1852" s="43"/>
      <c r="M1852" s="44"/>
      <c r="N1852" s="44"/>
      <c r="O1852" s="44"/>
      <c r="P1852" s="40"/>
      <c r="Q1852" s="40"/>
      <c r="R1852" s="40"/>
      <c r="S1852" s="40"/>
      <c r="T1852" s="40"/>
      <c r="U1852" s="40"/>
      <c r="V1852" s="40"/>
      <c r="W1852" s="40"/>
    </row>
    <row r="1853" spans="1:23" ht="12" x14ac:dyDescent="0.2">
      <c r="A1853" s="39"/>
      <c r="B1853" s="40"/>
      <c r="C1853" s="40"/>
      <c r="D1853" s="41"/>
      <c r="E1853" s="41"/>
      <c r="F1853" s="41"/>
      <c r="G1853" s="42"/>
      <c r="H1853" s="40"/>
      <c r="I1853" s="39"/>
      <c r="J1853" s="43"/>
      <c r="K1853" s="43"/>
      <c r="L1853" s="43"/>
      <c r="M1853" s="44"/>
      <c r="N1853" s="44"/>
      <c r="O1853" s="44"/>
      <c r="P1853" s="40"/>
      <c r="Q1853" s="40"/>
      <c r="R1853" s="40"/>
      <c r="S1853" s="40"/>
      <c r="T1853" s="40"/>
      <c r="U1853" s="40"/>
      <c r="V1853" s="40"/>
      <c r="W1853" s="40"/>
    </row>
    <row r="1854" spans="1:23" ht="12" x14ac:dyDescent="0.2">
      <c r="A1854" s="39"/>
      <c r="B1854" s="40"/>
      <c r="C1854" s="40"/>
      <c r="D1854" s="41"/>
      <c r="E1854" s="41"/>
      <c r="F1854" s="41"/>
      <c r="G1854" s="42"/>
      <c r="H1854" s="40"/>
      <c r="I1854" s="39"/>
      <c r="J1854" s="43"/>
      <c r="K1854" s="43"/>
      <c r="L1854" s="43"/>
      <c r="M1854" s="44"/>
      <c r="N1854" s="44"/>
      <c r="O1854" s="44"/>
      <c r="P1854" s="40"/>
      <c r="Q1854" s="40"/>
      <c r="R1854" s="40"/>
      <c r="S1854" s="40"/>
      <c r="T1854" s="40"/>
      <c r="U1854" s="40"/>
      <c r="V1854" s="40"/>
      <c r="W1854" s="40"/>
    </row>
    <row r="1855" spans="1:23" ht="12" x14ac:dyDescent="0.2">
      <c r="A1855" s="39"/>
      <c r="B1855" s="40"/>
      <c r="C1855" s="40"/>
      <c r="D1855" s="41"/>
      <c r="E1855" s="41"/>
      <c r="F1855" s="41"/>
      <c r="G1855" s="42"/>
      <c r="H1855" s="40"/>
      <c r="I1855" s="39"/>
      <c r="J1855" s="43"/>
      <c r="K1855" s="43"/>
      <c r="L1855" s="43"/>
      <c r="M1855" s="44"/>
      <c r="N1855" s="44"/>
      <c r="O1855" s="44"/>
      <c r="P1855" s="40"/>
      <c r="Q1855" s="40"/>
      <c r="R1855" s="40"/>
      <c r="S1855" s="40"/>
      <c r="T1855" s="40"/>
      <c r="U1855" s="40"/>
      <c r="V1855" s="40"/>
      <c r="W1855" s="40"/>
    </row>
    <row r="1856" spans="1:23" ht="12" x14ac:dyDescent="0.2">
      <c r="A1856" s="39"/>
      <c r="B1856" s="40"/>
      <c r="C1856" s="40"/>
      <c r="D1856" s="41"/>
      <c r="E1856" s="41"/>
      <c r="F1856" s="41"/>
      <c r="G1856" s="42"/>
      <c r="H1856" s="40"/>
      <c r="I1856" s="39"/>
      <c r="J1856" s="43"/>
      <c r="K1856" s="43"/>
      <c r="L1856" s="43"/>
      <c r="M1856" s="44"/>
      <c r="N1856" s="44"/>
      <c r="O1856" s="44"/>
      <c r="P1856" s="40"/>
      <c r="Q1856" s="40"/>
      <c r="R1856" s="40"/>
      <c r="S1856" s="40"/>
      <c r="T1856" s="40"/>
      <c r="U1856" s="40"/>
      <c r="V1856" s="40"/>
      <c r="W1856" s="40"/>
    </row>
    <row r="1857" spans="1:23" ht="12" x14ac:dyDescent="0.2">
      <c r="A1857" s="39"/>
      <c r="B1857" s="40"/>
      <c r="C1857" s="40"/>
      <c r="D1857" s="41"/>
      <c r="E1857" s="41"/>
      <c r="F1857" s="41"/>
      <c r="G1857" s="42"/>
      <c r="H1857" s="40"/>
      <c r="I1857" s="39"/>
      <c r="J1857" s="43"/>
      <c r="K1857" s="43"/>
      <c r="L1857" s="43"/>
      <c r="M1857" s="44"/>
      <c r="N1857" s="44"/>
      <c r="O1857" s="44"/>
      <c r="P1857" s="40"/>
      <c r="Q1857" s="40"/>
      <c r="R1857" s="40"/>
      <c r="S1857" s="40"/>
      <c r="T1857" s="40"/>
      <c r="U1857" s="40"/>
      <c r="V1857" s="40"/>
      <c r="W1857" s="40"/>
    </row>
    <row r="1858" spans="1:23" ht="12" x14ac:dyDescent="0.2">
      <c r="A1858" s="39"/>
      <c r="B1858" s="40"/>
      <c r="C1858" s="40"/>
      <c r="D1858" s="41"/>
      <c r="E1858" s="41"/>
      <c r="F1858" s="41"/>
      <c r="G1858" s="42"/>
      <c r="H1858" s="40"/>
      <c r="I1858" s="39"/>
      <c r="J1858" s="43"/>
      <c r="K1858" s="43"/>
      <c r="L1858" s="43"/>
      <c r="M1858" s="44"/>
      <c r="N1858" s="44"/>
      <c r="O1858" s="44"/>
      <c r="P1858" s="40"/>
      <c r="Q1858" s="40"/>
      <c r="R1858" s="40"/>
      <c r="S1858" s="40"/>
      <c r="T1858" s="40"/>
      <c r="U1858" s="40"/>
      <c r="V1858" s="40"/>
      <c r="W1858" s="40"/>
    </row>
    <row r="1859" spans="1:23" ht="12" x14ac:dyDescent="0.2">
      <c r="A1859" s="39"/>
      <c r="B1859" s="40"/>
      <c r="C1859" s="40"/>
      <c r="D1859" s="41"/>
      <c r="E1859" s="41"/>
      <c r="F1859" s="41"/>
      <c r="G1859" s="42"/>
      <c r="H1859" s="40"/>
      <c r="I1859" s="39"/>
      <c r="J1859" s="43"/>
      <c r="K1859" s="43"/>
      <c r="L1859" s="43"/>
      <c r="M1859" s="44"/>
      <c r="N1859" s="44"/>
      <c r="O1859" s="44"/>
      <c r="P1859" s="40"/>
      <c r="Q1859" s="40"/>
      <c r="R1859" s="40"/>
      <c r="S1859" s="40"/>
      <c r="T1859" s="40"/>
      <c r="U1859" s="40"/>
      <c r="V1859" s="40"/>
      <c r="W1859" s="40"/>
    </row>
    <row r="1860" spans="1:23" ht="12" x14ac:dyDescent="0.2">
      <c r="A1860" s="39"/>
      <c r="B1860" s="40"/>
      <c r="C1860" s="40"/>
      <c r="D1860" s="41"/>
      <c r="E1860" s="41"/>
      <c r="F1860" s="41"/>
      <c r="G1860" s="42"/>
      <c r="H1860" s="40"/>
      <c r="I1860" s="39"/>
      <c r="J1860" s="43"/>
      <c r="K1860" s="43"/>
      <c r="L1860" s="43"/>
      <c r="M1860" s="44"/>
      <c r="N1860" s="44"/>
      <c r="O1860" s="44"/>
      <c r="P1860" s="40"/>
      <c r="Q1860" s="40"/>
      <c r="R1860" s="40"/>
      <c r="S1860" s="40"/>
      <c r="T1860" s="40"/>
      <c r="U1860" s="40"/>
      <c r="V1860" s="40"/>
      <c r="W1860" s="40"/>
    </row>
    <row r="1861" spans="1:23" ht="12" x14ac:dyDescent="0.2">
      <c r="A1861" s="39"/>
      <c r="B1861" s="40"/>
      <c r="C1861" s="40"/>
      <c r="D1861" s="41"/>
      <c r="E1861" s="41"/>
      <c r="F1861" s="41"/>
      <c r="G1861" s="42"/>
      <c r="H1861" s="40"/>
      <c r="I1861" s="39"/>
      <c r="J1861" s="43"/>
      <c r="K1861" s="43"/>
      <c r="L1861" s="43"/>
      <c r="M1861" s="44"/>
      <c r="N1861" s="44"/>
      <c r="O1861" s="44"/>
      <c r="P1861" s="40"/>
      <c r="Q1861" s="40"/>
      <c r="R1861" s="40"/>
      <c r="S1861" s="40"/>
      <c r="T1861" s="40"/>
      <c r="U1861" s="40"/>
      <c r="V1861" s="40"/>
      <c r="W1861" s="40"/>
    </row>
    <row r="1862" spans="1:23" ht="12" x14ac:dyDescent="0.2">
      <c r="A1862" s="39"/>
      <c r="B1862" s="40"/>
      <c r="C1862" s="40"/>
      <c r="D1862" s="41"/>
      <c r="E1862" s="41"/>
      <c r="F1862" s="41"/>
      <c r="G1862" s="42"/>
      <c r="H1862" s="40"/>
      <c r="I1862" s="39"/>
      <c r="J1862" s="43"/>
      <c r="K1862" s="43"/>
      <c r="L1862" s="43"/>
      <c r="M1862" s="44"/>
      <c r="N1862" s="44"/>
      <c r="O1862" s="44"/>
      <c r="P1862" s="40"/>
      <c r="Q1862" s="40"/>
      <c r="R1862" s="40"/>
      <c r="S1862" s="40"/>
      <c r="T1862" s="40"/>
      <c r="U1862" s="40"/>
      <c r="V1862" s="40"/>
      <c r="W1862" s="40"/>
    </row>
    <row r="1863" spans="1:23" ht="12" x14ac:dyDescent="0.2">
      <c r="A1863" s="39"/>
      <c r="B1863" s="40"/>
      <c r="C1863" s="40"/>
      <c r="D1863" s="41"/>
      <c r="E1863" s="41"/>
      <c r="F1863" s="41"/>
      <c r="G1863" s="42"/>
      <c r="H1863" s="40"/>
      <c r="I1863" s="39"/>
      <c r="J1863" s="43"/>
      <c r="K1863" s="43"/>
      <c r="L1863" s="43"/>
      <c r="M1863" s="44"/>
      <c r="N1863" s="44"/>
      <c r="O1863" s="44"/>
      <c r="P1863" s="40"/>
      <c r="Q1863" s="40"/>
      <c r="R1863" s="40"/>
      <c r="S1863" s="40"/>
      <c r="T1863" s="40"/>
      <c r="U1863" s="40"/>
      <c r="V1863" s="40"/>
      <c r="W1863" s="40"/>
    </row>
    <row r="1864" spans="1:23" ht="12" x14ac:dyDescent="0.2">
      <c r="A1864" s="39"/>
      <c r="B1864" s="40"/>
      <c r="C1864" s="40"/>
      <c r="D1864" s="41"/>
      <c r="E1864" s="41"/>
      <c r="F1864" s="41"/>
      <c r="G1864" s="42"/>
      <c r="H1864" s="40"/>
      <c r="I1864" s="39"/>
      <c r="J1864" s="43"/>
      <c r="K1864" s="43"/>
      <c r="L1864" s="43"/>
      <c r="M1864" s="44"/>
      <c r="N1864" s="44"/>
      <c r="O1864" s="44"/>
      <c r="P1864" s="40"/>
      <c r="Q1864" s="40"/>
      <c r="R1864" s="40"/>
      <c r="S1864" s="40"/>
      <c r="T1864" s="40"/>
      <c r="U1864" s="40"/>
      <c r="V1864" s="40"/>
      <c r="W1864" s="40"/>
    </row>
    <row r="1865" spans="1:23" ht="12" x14ac:dyDescent="0.2">
      <c r="A1865" s="39"/>
      <c r="B1865" s="40"/>
      <c r="C1865" s="40"/>
      <c r="D1865" s="41"/>
      <c r="E1865" s="41"/>
      <c r="F1865" s="41"/>
      <c r="G1865" s="42"/>
      <c r="H1865" s="40"/>
      <c r="I1865" s="39"/>
      <c r="J1865" s="43"/>
      <c r="K1865" s="43"/>
      <c r="L1865" s="43"/>
      <c r="M1865" s="44"/>
      <c r="N1865" s="44"/>
      <c r="O1865" s="44"/>
      <c r="P1865" s="40"/>
      <c r="Q1865" s="40"/>
      <c r="R1865" s="40"/>
      <c r="S1865" s="40"/>
      <c r="T1865" s="40"/>
      <c r="U1865" s="40"/>
      <c r="V1865" s="40"/>
      <c r="W1865" s="40"/>
    </row>
    <row r="1866" spans="1:23" ht="12" x14ac:dyDescent="0.2">
      <c r="A1866" s="39"/>
      <c r="B1866" s="40"/>
      <c r="C1866" s="40"/>
      <c r="D1866" s="41"/>
      <c r="E1866" s="41"/>
      <c r="F1866" s="41"/>
      <c r="G1866" s="42"/>
      <c r="H1866" s="40"/>
      <c r="I1866" s="39"/>
      <c r="J1866" s="43"/>
      <c r="K1866" s="43"/>
      <c r="L1866" s="43"/>
      <c r="M1866" s="44"/>
      <c r="N1866" s="44"/>
      <c r="O1866" s="44"/>
      <c r="P1866" s="40"/>
      <c r="Q1866" s="40"/>
      <c r="R1866" s="40"/>
      <c r="S1866" s="40"/>
      <c r="T1866" s="40"/>
      <c r="U1866" s="40"/>
      <c r="V1866" s="40"/>
      <c r="W1866" s="40"/>
    </row>
    <row r="1867" spans="1:23" ht="12" x14ac:dyDescent="0.2">
      <c r="A1867" s="39"/>
      <c r="B1867" s="40"/>
      <c r="C1867" s="40"/>
      <c r="D1867" s="41"/>
      <c r="E1867" s="41"/>
      <c r="F1867" s="41"/>
      <c r="G1867" s="42"/>
      <c r="H1867" s="40"/>
      <c r="I1867" s="39"/>
      <c r="J1867" s="43"/>
      <c r="K1867" s="43"/>
      <c r="L1867" s="43"/>
      <c r="M1867" s="44"/>
      <c r="N1867" s="44"/>
      <c r="O1867" s="44"/>
      <c r="P1867" s="40"/>
      <c r="Q1867" s="40"/>
      <c r="R1867" s="40"/>
      <c r="S1867" s="40"/>
      <c r="T1867" s="40"/>
      <c r="U1867" s="40"/>
      <c r="V1867" s="40"/>
      <c r="W1867" s="40"/>
    </row>
    <row r="1868" spans="1:23" ht="12" x14ac:dyDescent="0.2">
      <c r="A1868" s="39"/>
      <c r="B1868" s="40"/>
      <c r="C1868" s="40"/>
      <c r="D1868" s="41"/>
      <c r="E1868" s="41"/>
      <c r="F1868" s="41"/>
      <c r="G1868" s="42"/>
      <c r="H1868" s="40"/>
      <c r="I1868" s="39"/>
      <c r="J1868" s="43"/>
      <c r="K1868" s="43"/>
      <c r="L1868" s="43"/>
      <c r="M1868" s="44"/>
      <c r="N1868" s="44"/>
      <c r="O1868" s="44"/>
      <c r="P1868" s="40"/>
      <c r="Q1868" s="40"/>
      <c r="R1868" s="40"/>
      <c r="S1868" s="40"/>
      <c r="T1868" s="40"/>
      <c r="U1868" s="40"/>
      <c r="V1868" s="40"/>
      <c r="W1868" s="40"/>
    </row>
    <row r="1869" spans="1:23" ht="12" x14ac:dyDescent="0.2">
      <c r="A1869" s="39"/>
      <c r="B1869" s="40"/>
      <c r="C1869" s="40"/>
      <c r="D1869" s="41"/>
      <c r="E1869" s="41"/>
      <c r="F1869" s="41"/>
      <c r="G1869" s="42"/>
      <c r="H1869" s="40"/>
      <c r="I1869" s="39"/>
      <c r="J1869" s="43"/>
      <c r="K1869" s="43"/>
      <c r="L1869" s="43"/>
      <c r="M1869" s="44"/>
      <c r="N1869" s="44"/>
      <c r="O1869" s="44"/>
      <c r="P1869" s="40"/>
      <c r="Q1869" s="40"/>
      <c r="R1869" s="40"/>
      <c r="S1869" s="40"/>
      <c r="T1869" s="40"/>
      <c r="U1869" s="40"/>
      <c r="V1869" s="40"/>
      <c r="W1869" s="40"/>
    </row>
    <row r="1870" spans="1:23" ht="12" x14ac:dyDescent="0.2">
      <c r="A1870" s="39"/>
      <c r="B1870" s="40"/>
      <c r="C1870" s="40"/>
      <c r="D1870" s="41"/>
      <c r="E1870" s="41"/>
      <c r="F1870" s="41"/>
      <c r="G1870" s="42"/>
      <c r="H1870" s="40"/>
      <c r="I1870" s="39"/>
      <c r="J1870" s="43"/>
      <c r="K1870" s="43"/>
      <c r="L1870" s="43"/>
      <c r="M1870" s="44"/>
      <c r="N1870" s="44"/>
      <c r="O1870" s="44"/>
      <c r="P1870" s="40"/>
      <c r="Q1870" s="40"/>
      <c r="R1870" s="40"/>
      <c r="S1870" s="40"/>
      <c r="T1870" s="40"/>
      <c r="U1870" s="40"/>
      <c r="V1870" s="40"/>
      <c r="W1870" s="40"/>
    </row>
    <row r="1871" spans="1:23" ht="12" x14ac:dyDescent="0.2">
      <c r="A1871" s="39"/>
      <c r="B1871" s="40"/>
      <c r="C1871" s="40"/>
      <c r="D1871" s="41"/>
      <c r="E1871" s="41"/>
      <c r="F1871" s="41"/>
      <c r="G1871" s="42"/>
      <c r="H1871" s="40"/>
      <c r="I1871" s="39"/>
      <c r="J1871" s="43"/>
      <c r="K1871" s="43"/>
      <c r="L1871" s="43"/>
      <c r="M1871" s="44"/>
      <c r="N1871" s="44"/>
      <c r="O1871" s="44"/>
      <c r="P1871" s="40"/>
      <c r="Q1871" s="40"/>
      <c r="R1871" s="40"/>
      <c r="S1871" s="40"/>
      <c r="T1871" s="40"/>
      <c r="U1871" s="40"/>
      <c r="V1871" s="40"/>
      <c r="W1871" s="40"/>
    </row>
    <row r="1872" spans="1:23" ht="12" x14ac:dyDescent="0.2">
      <c r="A1872" s="39"/>
      <c r="B1872" s="40"/>
      <c r="C1872" s="40"/>
      <c r="D1872" s="41"/>
      <c r="E1872" s="41"/>
      <c r="F1872" s="41"/>
      <c r="G1872" s="42"/>
      <c r="H1872" s="40"/>
      <c r="I1872" s="39"/>
      <c r="J1872" s="43"/>
      <c r="K1872" s="43"/>
      <c r="L1872" s="43"/>
      <c r="M1872" s="44"/>
      <c r="N1872" s="44"/>
      <c r="O1872" s="44"/>
      <c r="P1872" s="40"/>
      <c r="Q1872" s="40"/>
      <c r="R1872" s="40"/>
      <c r="S1872" s="40"/>
      <c r="T1872" s="40"/>
      <c r="U1872" s="40"/>
      <c r="V1872" s="40"/>
      <c r="W1872" s="40"/>
    </row>
    <row r="1873" spans="1:23" ht="12" x14ac:dyDescent="0.2">
      <c r="A1873" s="39"/>
      <c r="B1873" s="40"/>
      <c r="C1873" s="40"/>
      <c r="D1873" s="41"/>
      <c r="E1873" s="41"/>
      <c r="F1873" s="41"/>
      <c r="G1873" s="42"/>
      <c r="H1873" s="40"/>
      <c r="I1873" s="39"/>
      <c r="J1873" s="43"/>
      <c r="K1873" s="43"/>
      <c r="L1873" s="43"/>
      <c r="M1873" s="44"/>
      <c r="N1873" s="44"/>
      <c r="O1873" s="44"/>
      <c r="P1873" s="40"/>
      <c r="Q1873" s="40"/>
      <c r="R1873" s="40"/>
      <c r="S1873" s="40"/>
      <c r="T1873" s="40"/>
      <c r="U1873" s="40"/>
      <c r="V1873" s="40"/>
      <c r="W1873" s="40"/>
    </row>
    <row r="1874" spans="1:23" ht="12" x14ac:dyDescent="0.2">
      <c r="A1874" s="39"/>
      <c r="B1874" s="40"/>
      <c r="C1874" s="40"/>
      <c r="D1874" s="41"/>
      <c r="E1874" s="41"/>
      <c r="F1874" s="41"/>
      <c r="G1874" s="42"/>
      <c r="H1874" s="40"/>
      <c r="I1874" s="39"/>
      <c r="J1874" s="43"/>
      <c r="K1874" s="43"/>
      <c r="L1874" s="43"/>
      <c r="M1874" s="44"/>
      <c r="N1874" s="44"/>
      <c r="O1874" s="44"/>
      <c r="P1874" s="40"/>
      <c r="Q1874" s="40"/>
      <c r="R1874" s="40"/>
      <c r="S1874" s="40"/>
      <c r="T1874" s="40"/>
      <c r="U1874" s="40"/>
      <c r="V1874" s="40"/>
      <c r="W1874" s="40"/>
    </row>
    <row r="1875" spans="1:23" ht="12" x14ac:dyDescent="0.2">
      <c r="A1875" s="39"/>
      <c r="B1875" s="40"/>
      <c r="C1875" s="40"/>
      <c r="D1875" s="41"/>
      <c r="E1875" s="41"/>
      <c r="F1875" s="41"/>
      <c r="G1875" s="42"/>
      <c r="H1875" s="40"/>
      <c r="I1875" s="39"/>
      <c r="J1875" s="43"/>
      <c r="K1875" s="43"/>
      <c r="L1875" s="43"/>
      <c r="M1875" s="44"/>
      <c r="N1875" s="44"/>
      <c r="O1875" s="44"/>
      <c r="P1875" s="40"/>
      <c r="Q1875" s="40"/>
      <c r="R1875" s="40"/>
      <c r="S1875" s="40"/>
      <c r="T1875" s="40"/>
      <c r="U1875" s="40"/>
      <c r="V1875" s="40"/>
      <c r="W1875" s="40"/>
    </row>
    <row r="1876" spans="1:23" ht="12" x14ac:dyDescent="0.2">
      <c r="A1876" s="39"/>
      <c r="B1876" s="40"/>
      <c r="C1876" s="40"/>
      <c r="D1876" s="41"/>
      <c r="E1876" s="41"/>
      <c r="F1876" s="41"/>
      <c r="G1876" s="42"/>
      <c r="H1876" s="40"/>
      <c r="I1876" s="39"/>
      <c r="J1876" s="43"/>
      <c r="K1876" s="43"/>
      <c r="L1876" s="43"/>
      <c r="M1876" s="44"/>
      <c r="N1876" s="44"/>
      <c r="O1876" s="44"/>
      <c r="P1876" s="40"/>
      <c r="Q1876" s="40"/>
      <c r="R1876" s="40"/>
      <c r="S1876" s="40"/>
      <c r="T1876" s="40"/>
      <c r="U1876" s="40"/>
      <c r="V1876" s="40"/>
      <c r="W1876" s="40"/>
    </row>
    <row r="1877" spans="1:23" ht="12" x14ac:dyDescent="0.2">
      <c r="A1877" s="39"/>
      <c r="B1877" s="40"/>
      <c r="C1877" s="40"/>
      <c r="D1877" s="41"/>
      <c r="E1877" s="41"/>
      <c r="F1877" s="41"/>
      <c r="G1877" s="42"/>
      <c r="H1877" s="40"/>
      <c r="I1877" s="39"/>
      <c r="J1877" s="43"/>
      <c r="K1877" s="43"/>
      <c r="L1877" s="43"/>
      <c r="M1877" s="44"/>
      <c r="N1877" s="44"/>
      <c r="O1877" s="44"/>
      <c r="P1877" s="40"/>
      <c r="Q1877" s="40"/>
      <c r="R1877" s="40"/>
      <c r="S1877" s="40"/>
      <c r="T1877" s="40"/>
      <c r="U1877" s="40"/>
      <c r="V1877" s="40"/>
      <c r="W1877" s="40"/>
    </row>
    <row r="1878" spans="1:23" ht="12" x14ac:dyDescent="0.2">
      <c r="A1878" s="39"/>
      <c r="B1878" s="40"/>
      <c r="C1878" s="40"/>
      <c r="D1878" s="41"/>
      <c r="E1878" s="41"/>
      <c r="F1878" s="41"/>
      <c r="G1878" s="42"/>
      <c r="H1878" s="40"/>
      <c r="I1878" s="39"/>
      <c r="J1878" s="43"/>
      <c r="K1878" s="43"/>
      <c r="L1878" s="43"/>
      <c r="M1878" s="44"/>
      <c r="N1878" s="44"/>
      <c r="O1878" s="44"/>
      <c r="P1878" s="40"/>
      <c r="Q1878" s="40"/>
      <c r="R1878" s="40"/>
      <c r="S1878" s="40"/>
      <c r="T1878" s="40"/>
      <c r="U1878" s="40"/>
      <c r="V1878" s="40"/>
      <c r="W1878" s="40"/>
    </row>
    <row r="1879" spans="1:23" ht="12" x14ac:dyDescent="0.2">
      <c r="A1879" s="39"/>
      <c r="B1879" s="40"/>
      <c r="C1879" s="40"/>
      <c r="D1879" s="41"/>
      <c r="E1879" s="41"/>
      <c r="F1879" s="41"/>
      <c r="G1879" s="42"/>
      <c r="H1879" s="40"/>
      <c r="I1879" s="39"/>
      <c r="J1879" s="43"/>
      <c r="K1879" s="43"/>
      <c r="L1879" s="43"/>
      <c r="M1879" s="44"/>
      <c r="N1879" s="44"/>
      <c r="O1879" s="44"/>
      <c r="P1879" s="40"/>
      <c r="Q1879" s="40"/>
      <c r="R1879" s="40"/>
      <c r="S1879" s="40"/>
      <c r="T1879" s="40"/>
      <c r="U1879" s="40"/>
      <c r="V1879" s="40"/>
      <c r="W1879" s="40"/>
    </row>
    <row r="1880" spans="1:23" ht="12" x14ac:dyDescent="0.2">
      <c r="A1880" s="39"/>
      <c r="B1880" s="40"/>
      <c r="C1880" s="40"/>
      <c r="D1880" s="41"/>
      <c r="E1880" s="41"/>
      <c r="F1880" s="41"/>
      <c r="G1880" s="42"/>
      <c r="H1880" s="40"/>
      <c r="I1880" s="39"/>
      <c r="J1880" s="43"/>
      <c r="K1880" s="43"/>
      <c r="L1880" s="43"/>
      <c r="M1880" s="44"/>
      <c r="N1880" s="44"/>
      <c r="O1880" s="44"/>
      <c r="P1880" s="40"/>
      <c r="Q1880" s="40"/>
      <c r="R1880" s="40"/>
      <c r="S1880" s="40"/>
      <c r="T1880" s="40"/>
      <c r="U1880" s="40"/>
      <c r="V1880" s="40"/>
      <c r="W1880" s="40"/>
    </row>
    <row r="1881" spans="1:23" ht="12" x14ac:dyDescent="0.2">
      <c r="A1881" s="39"/>
      <c r="B1881" s="40"/>
      <c r="C1881" s="40"/>
      <c r="D1881" s="41"/>
      <c r="E1881" s="41"/>
      <c r="F1881" s="41"/>
      <c r="G1881" s="42"/>
      <c r="H1881" s="40"/>
      <c r="I1881" s="39"/>
      <c r="J1881" s="43"/>
      <c r="K1881" s="43"/>
      <c r="L1881" s="43"/>
      <c r="M1881" s="44"/>
      <c r="N1881" s="44"/>
      <c r="O1881" s="44"/>
      <c r="P1881" s="40"/>
      <c r="Q1881" s="40"/>
      <c r="R1881" s="40"/>
      <c r="S1881" s="40"/>
      <c r="T1881" s="40"/>
      <c r="U1881" s="40"/>
      <c r="V1881" s="40"/>
      <c r="W1881" s="40"/>
    </row>
    <row r="1882" spans="1:23" ht="12" x14ac:dyDescent="0.2">
      <c r="A1882" s="39"/>
      <c r="B1882" s="40"/>
      <c r="C1882" s="40"/>
      <c r="D1882" s="41"/>
      <c r="E1882" s="41"/>
      <c r="F1882" s="41"/>
      <c r="G1882" s="42"/>
      <c r="H1882" s="40"/>
      <c r="I1882" s="39"/>
      <c r="J1882" s="43"/>
      <c r="K1882" s="43"/>
      <c r="L1882" s="43"/>
      <c r="M1882" s="44"/>
      <c r="N1882" s="44"/>
      <c r="O1882" s="44"/>
      <c r="P1882" s="40"/>
      <c r="Q1882" s="40"/>
      <c r="R1882" s="40"/>
      <c r="S1882" s="40"/>
      <c r="T1882" s="40"/>
      <c r="U1882" s="40"/>
      <c r="V1882" s="40"/>
      <c r="W1882" s="40"/>
    </row>
    <row r="1883" spans="1:23" ht="12" x14ac:dyDescent="0.2">
      <c r="A1883" s="39"/>
      <c r="B1883" s="40"/>
      <c r="C1883" s="40"/>
      <c r="D1883" s="41"/>
      <c r="E1883" s="41"/>
      <c r="F1883" s="41"/>
      <c r="G1883" s="42"/>
      <c r="H1883" s="40"/>
      <c r="I1883" s="39"/>
      <c r="J1883" s="43"/>
      <c r="K1883" s="43"/>
      <c r="L1883" s="43"/>
      <c r="M1883" s="44"/>
      <c r="N1883" s="44"/>
      <c r="O1883" s="44"/>
      <c r="P1883" s="40"/>
      <c r="Q1883" s="40"/>
      <c r="R1883" s="40"/>
      <c r="S1883" s="40"/>
      <c r="T1883" s="40"/>
      <c r="U1883" s="40"/>
      <c r="V1883" s="40"/>
      <c r="W1883" s="40"/>
    </row>
    <row r="1884" spans="1:23" ht="12" x14ac:dyDescent="0.2">
      <c r="A1884" s="39"/>
      <c r="B1884" s="40"/>
      <c r="C1884" s="40"/>
      <c r="D1884" s="41"/>
      <c r="E1884" s="41"/>
      <c r="F1884" s="41"/>
      <c r="G1884" s="42"/>
      <c r="H1884" s="40"/>
      <c r="I1884" s="39"/>
      <c r="J1884" s="43"/>
      <c r="K1884" s="43"/>
      <c r="L1884" s="43"/>
      <c r="M1884" s="44"/>
      <c r="N1884" s="44"/>
      <c r="O1884" s="44"/>
      <c r="P1884" s="40"/>
      <c r="Q1884" s="40"/>
      <c r="R1884" s="40"/>
      <c r="S1884" s="40"/>
      <c r="T1884" s="40"/>
      <c r="U1884" s="40"/>
      <c r="V1884" s="40"/>
      <c r="W1884" s="40"/>
    </row>
    <row r="1885" spans="1:23" ht="12" x14ac:dyDescent="0.2">
      <c r="A1885" s="39"/>
      <c r="B1885" s="40"/>
      <c r="C1885" s="40"/>
      <c r="D1885" s="41"/>
      <c r="E1885" s="41"/>
      <c r="F1885" s="41"/>
      <c r="G1885" s="42"/>
      <c r="H1885" s="40"/>
      <c r="I1885" s="39"/>
      <c r="J1885" s="43"/>
      <c r="K1885" s="43"/>
      <c r="L1885" s="43"/>
      <c r="M1885" s="44"/>
      <c r="N1885" s="44"/>
      <c r="O1885" s="44"/>
      <c r="P1885" s="40"/>
      <c r="Q1885" s="40"/>
      <c r="R1885" s="40"/>
      <c r="S1885" s="40"/>
      <c r="T1885" s="40"/>
      <c r="U1885" s="40"/>
      <c r="V1885" s="40"/>
      <c r="W1885" s="40"/>
    </row>
    <row r="1886" spans="1:23" ht="12" x14ac:dyDescent="0.2">
      <c r="A1886" s="39"/>
      <c r="B1886" s="40"/>
      <c r="C1886" s="40"/>
      <c r="D1886" s="41"/>
      <c r="E1886" s="41"/>
      <c r="F1886" s="41"/>
      <c r="G1886" s="42"/>
      <c r="H1886" s="40"/>
      <c r="I1886" s="39"/>
      <c r="J1886" s="43"/>
      <c r="K1886" s="43"/>
      <c r="L1886" s="43"/>
      <c r="M1886" s="44"/>
      <c r="N1886" s="44"/>
      <c r="O1886" s="44"/>
      <c r="P1886" s="40"/>
      <c r="Q1886" s="40"/>
      <c r="R1886" s="40"/>
      <c r="S1886" s="40"/>
      <c r="T1886" s="40"/>
      <c r="U1886" s="40"/>
      <c r="V1886" s="40"/>
      <c r="W1886" s="40"/>
    </row>
    <row r="1887" spans="1:23" ht="12" x14ac:dyDescent="0.2">
      <c r="A1887" s="39"/>
      <c r="B1887" s="40"/>
      <c r="C1887" s="40"/>
      <c r="D1887" s="41"/>
      <c r="E1887" s="41"/>
      <c r="F1887" s="41"/>
      <c r="G1887" s="42"/>
      <c r="H1887" s="40"/>
      <c r="I1887" s="39"/>
      <c r="J1887" s="43"/>
      <c r="K1887" s="43"/>
      <c r="L1887" s="43"/>
      <c r="M1887" s="44"/>
      <c r="N1887" s="44"/>
      <c r="O1887" s="44"/>
      <c r="P1887" s="40"/>
      <c r="Q1887" s="40"/>
      <c r="R1887" s="40"/>
      <c r="S1887" s="40"/>
      <c r="T1887" s="40"/>
      <c r="U1887" s="40"/>
      <c r="V1887" s="40"/>
      <c r="W1887" s="40"/>
    </row>
    <row r="1888" spans="1:23" ht="12" x14ac:dyDescent="0.2">
      <c r="A1888" s="39"/>
      <c r="B1888" s="40"/>
      <c r="C1888" s="40"/>
      <c r="D1888" s="41"/>
      <c r="E1888" s="41"/>
      <c r="F1888" s="41"/>
      <c r="G1888" s="42"/>
      <c r="H1888" s="40"/>
      <c r="I1888" s="39"/>
      <c r="J1888" s="43"/>
      <c r="K1888" s="43"/>
      <c r="L1888" s="43"/>
      <c r="M1888" s="44"/>
      <c r="N1888" s="44"/>
      <c r="O1888" s="44"/>
      <c r="P1888" s="40"/>
      <c r="Q1888" s="40"/>
      <c r="R1888" s="40"/>
      <c r="S1888" s="40"/>
      <c r="T1888" s="40"/>
      <c r="U1888" s="40"/>
      <c r="V1888" s="40"/>
      <c r="W1888" s="40"/>
    </row>
    <row r="1889" spans="1:23" ht="12" x14ac:dyDescent="0.2">
      <c r="A1889" s="39"/>
      <c r="B1889" s="40"/>
      <c r="C1889" s="40"/>
      <c r="D1889" s="41"/>
      <c r="E1889" s="41"/>
      <c r="F1889" s="41"/>
      <c r="G1889" s="42"/>
      <c r="H1889" s="40"/>
      <c r="I1889" s="39"/>
      <c r="J1889" s="43"/>
      <c r="K1889" s="43"/>
      <c r="L1889" s="43"/>
      <c r="M1889" s="44"/>
      <c r="N1889" s="44"/>
      <c r="O1889" s="44"/>
      <c r="P1889" s="40"/>
      <c r="Q1889" s="40"/>
      <c r="R1889" s="40"/>
      <c r="S1889" s="40"/>
      <c r="T1889" s="40"/>
      <c r="U1889" s="40"/>
      <c r="V1889" s="40"/>
      <c r="W1889" s="40"/>
    </row>
    <row r="1890" spans="1:23" ht="12" x14ac:dyDescent="0.2">
      <c r="A1890" s="39"/>
      <c r="B1890" s="40"/>
      <c r="C1890" s="40"/>
      <c r="D1890" s="41"/>
      <c r="E1890" s="41"/>
      <c r="F1890" s="41"/>
      <c r="G1890" s="42"/>
      <c r="H1890" s="40"/>
      <c r="I1890" s="39"/>
      <c r="J1890" s="43"/>
      <c r="K1890" s="43"/>
      <c r="L1890" s="43"/>
      <c r="M1890" s="44"/>
      <c r="N1890" s="44"/>
      <c r="O1890" s="44"/>
      <c r="P1890" s="40"/>
      <c r="Q1890" s="40"/>
      <c r="R1890" s="40"/>
      <c r="S1890" s="40"/>
      <c r="T1890" s="40"/>
      <c r="U1890" s="40"/>
      <c r="V1890" s="40"/>
      <c r="W1890" s="40"/>
    </row>
    <row r="1891" spans="1:23" ht="12" x14ac:dyDescent="0.2">
      <c r="A1891" s="39"/>
      <c r="B1891" s="40"/>
      <c r="C1891" s="40"/>
      <c r="D1891" s="41"/>
      <c r="E1891" s="41"/>
      <c r="F1891" s="41"/>
      <c r="G1891" s="42"/>
      <c r="H1891" s="40"/>
      <c r="I1891" s="39"/>
      <c r="J1891" s="43"/>
      <c r="K1891" s="43"/>
      <c r="L1891" s="43"/>
      <c r="M1891" s="44"/>
      <c r="N1891" s="44"/>
      <c r="O1891" s="44"/>
      <c r="P1891" s="40"/>
      <c r="Q1891" s="40"/>
      <c r="R1891" s="40"/>
      <c r="S1891" s="40"/>
      <c r="T1891" s="40"/>
      <c r="U1891" s="40"/>
      <c r="V1891" s="40"/>
      <c r="W1891" s="40"/>
    </row>
    <row r="1892" spans="1:23" ht="12" x14ac:dyDescent="0.2">
      <c r="A1892" s="39"/>
      <c r="B1892" s="40"/>
      <c r="C1892" s="40"/>
      <c r="D1892" s="41"/>
      <c r="E1892" s="41"/>
      <c r="F1892" s="41"/>
      <c r="G1892" s="42"/>
      <c r="H1892" s="40"/>
      <c r="I1892" s="39"/>
      <c r="J1892" s="43"/>
      <c r="K1892" s="43"/>
      <c r="L1892" s="43"/>
      <c r="M1892" s="44"/>
      <c r="N1892" s="44"/>
      <c r="O1892" s="44"/>
      <c r="P1892" s="40"/>
      <c r="Q1892" s="40"/>
      <c r="R1892" s="40"/>
      <c r="S1892" s="40"/>
      <c r="T1892" s="40"/>
      <c r="U1892" s="40"/>
      <c r="V1892" s="40"/>
      <c r="W1892" s="40"/>
    </row>
    <row r="1893" spans="1:23" ht="12" x14ac:dyDescent="0.2">
      <c r="A1893" s="39"/>
      <c r="B1893" s="40"/>
      <c r="C1893" s="40"/>
      <c r="D1893" s="41"/>
      <c r="E1893" s="41"/>
      <c r="F1893" s="41"/>
      <c r="G1893" s="42"/>
      <c r="H1893" s="40"/>
      <c r="I1893" s="39"/>
      <c r="J1893" s="43"/>
      <c r="K1893" s="43"/>
      <c r="L1893" s="43"/>
      <c r="M1893" s="44"/>
      <c r="N1893" s="44"/>
      <c r="O1893" s="44"/>
      <c r="P1893" s="40"/>
      <c r="Q1893" s="40"/>
      <c r="R1893" s="40"/>
      <c r="S1893" s="40"/>
      <c r="T1893" s="40"/>
      <c r="U1893" s="40"/>
      <c r="V1893" s="40"/>
      <c r="W1893" s="40"/>
    </row>
    <row r="1894" spans="1:23" ht="12" x14ac:dyDescent="0.2">
      <c r="A1894" s="39"/>
      <c r="B1894" s="40"/>
      <c r="C1894" s="40"/>
      <c r="D1894" s="41"/>
      <c r="E1894" s="41"/>
      <c r="F1894" s="41"/>
      <c r="G1894" s="42"/>
      <c r="H1894" s="40"/>
      <c r="I1894" s="39"/>
      <c r="J1894" s="43"/>
      <c r="K1894" s="43"/>
      <c r="L1894" s="43"/>
      <c r="M1894" s="44"/>
      <c r="N1894" s="44"/>
      <c r="O1894" s="44"/>
      <c r="P1894" s="40"/>
      <c r="Q1894" s="40"/>
      <c r="R1894" s="40"/>
      <c r="S1894" s="40"/>
      <c r="T1894" s="40"/>
      <c r="U1894" s="40"/>
      <c r="V1894" s="40"/>
      <c r="W1894" s="40"/>
    </row>
    <row r="1895" spans="1:23" ht="12" x14ac:dyDescent="0.2">
      <c r="A1895" s="39"/>
      <c r="B1895" s="40"/>
      <c r="C1895" s="40"/>
      <c r="D1895" s="41"/>
      <c r="E1895" s="41"/>
      <c r="F1895" s="41"/>
      <c r="G1895" s="42"/>
      <c r="H1895" s="40"/>
      <c r="I1895" s="39"/>
      <c r="J1895" s="43"/>
      <c r="K1895" s="43"/>
      <c r="L1895" s="43"/>
      <c r="M1895" s="44"/>
      <c r="N1895" s="44"/>
      <c r="O1895" s="44"/>
      <c r="P1895" s="40"/>
      <c r="Q1895" s="40"/>
      <c r="R1895" s="40"/>
      <c r="S1895" s="40"/>
      <c r="T1895" s="40"/>
      <c r="U1895" s="40"/>
      <c r="V1895" s="40"/>
      <c r="W1895" s="40"/>
    </row>
    <row r="1896" spans="1:23" ht="12" x14ac:dyDescent="0.2">
      <c r="A1896" s="39"/>
      <c r="B1896" s="40"/>
      <c r="C1896" s="40"/>
      <c r="D1896" s="41"/>
      <c r="E1896" s="41"/>
      <c r="F1896" s="41"/>
      <c r="G1896" s="42"/>
      <c r="H1896" s="40"/>
      <c r="I1896" s="39"/>
      <c r="J1896" s="43"/>
      <c r="K1896" s="43"/>
      <c r="L1896" s="43"/>
      <c r="M1896" s="44"/>
      <c r="N1896" s="44"/>
      <c r="O1896" s="44"/>
      <c r="P1896" s="40"/>
      <c r="Q1896" s="40"/>
      <c r="R1896" s="40"/>
      <c r="S1896" s="40"/>
      <c r="T1896" s="40"/>
      <c r="U1896" s="40"/>
      <c r="V1896" s="40"/>
      <c r="W1896" s="40"/>
    </row>
    <row r="1897" spans="1:23" ht="12" x14ac:dyDescent="0.2">
      <c r="A1897" s="39"/>
      <c r="B1897" s="40"/>
      <c r="C1897" s="40"/>
      <c r="D1897" s="41"/>
      <c r="E1897" s="41"/>
      <c r="F1897" s="41"/>
      <c r="G1897" s="42"/>
      <c r="H1897" s="40"/>
      <c r="I1897" s="39"/>
      <c r="J1897" s="43"/>
      <c r="K1897" s="43"/>
      <c r="L1897" s="43"/>
      <c r="M1897" s="44"/>
      <c r="N1897" s="44"/>
      <c r="O1897" s="44"/>
      <c r="P1897" s="40"/>
      <c r="Q1897" s="40"/>
      <c r="R1897" s="40"/>
      <c r="S1897" s="40"/>
      <c r="T1897" s="40"/>
      <c r="U1897" s="40"/>
      <c r="V1897" s="40"/>
      <c r="W1897" s="40"/>
    </row>
    <row r="1898" spans="1:23" ht="12" x14ac:dyDescent="0.2">
      <c r="A1898" s="39"/>
      <c r="B1898" s="40"/>
      <c r="C1898" s="40"/>
      <c r="D1898" s="41"/>
      <c r="E1898" s="41"/>
      <c r="F1898" s="41"/>
      <c r="G1898" s="42"/>
      <c r="H1898" s="40"/>
      <c r="I1898" s="39"/>
      <c r="J1898" s="43"/>
      <c r="K1898" s="43"/>
      <c r="L1898" s="43"/>
      <c r="M1898" s="44"/>
      <c r="N1898" s="44"/>
      <c r="O1898" s="44"/>
      <c r="P1898" s="40"/>
      <c r="Q1898" s="40"/>
      <c r="R1898" s="40"/>
      <c r="S1898" s="40"/>
      <c r="T1898" s="40"/>
      <c r="U1898" s="40"/>
      <c r="V1898" s="40"/>
      <c r="W1898" s="40"/>
    </row>
    <row r="1899" spans="1:23" ht="12" x14ac:dyDescent="0.2">
      <c r="A1899" s="39"/>
      <c r="B1899" s="40"/>
      <c r="C1899" s="40"/>
      <c r="D1899" s="41"/>
      <c r="E1899" s="41"/>
      <c r="F1899" s="41"/>
      <c r="G1899" s="42"/>
      <c r="H1899" s="40"/>
      <c r="I1899" s="39"/>
      <c r="J1899" s="43"/>
      <c r="K1899" s="43"/>
      <c r="L1899" s="43"/>
      <c r="M1899" s="44"/>
      <c r="N1899" s="44"/>
      <c r="O1899" s="44"/>
      <c r="P1899" s="40"/>
      <c r="Q1899" s="40"/>
      <c r="R1899" s="40"/>
      <c r="S1899" s="40"/>
      <c r="T1899" s="40"/>
      <c r="U1899" s="40"/>
      <c r="V1899" s="40"/>
      <c r="W1899" s="40"/>
    </row>
    <row r="1900" spans="1:23" ht="12" x14ac:dyDescent="0.2">
      <c r="A1900" s="39"/>
      <c r="B1900" s="40"/>
      <c r="C1900" s="40"/>
      <c r="D1900" s="41"/>
      <c r="E1900" s="41"/>
      <c r="F1900" s="41"/>
      <c r="G1900" s="42"/>
      <c r="H1900" s="40"/>
      <c r="I1900" s="39"/>
      <c r="J1900" s="43"/>
      <c r="K1900" s="43"/>
      <c r="L1900" s="43"/>
      <c r="M1900" s="44"/>
      <c r="N1900" s="44"/>
      <c r="O1900" s="44"/>
      <c r="P1900" s="40"/>
      <c r="Q1900" s="40"/>
      <c r="R1900" s="40"/>
      <c r="S1900" s="40"/>
      <c r="T1900" s="40"/>
      <c r="U1900" s="40"/>
      <c r="V1900" s="40"/>
      <c r="W1900" s="40"/>
    </row>
    <row r="1901" spans="1:23" ht="12" x14ac:dyDescent="0.2">
      <c r="A1901" s="39"/>
      <c r="B1901" s="40"/>
      <c r="C1901" s="40"/>
      <c r="D1901" s="41"/>
      <c r="E1901" s="41"/>
      <c r="F1901" s="41"/>
      <c r="G1901" s="42"/>
      <c r="H1901" s="40"/>
      <c r="I1901" s="39"/>
      <c r="J1901" s="43"/>
      <c r="K1901" s="43"/>
      <c r="L1901" s="43"/>
      <c r="M1901" s="44"/>
      <c r="N1901" s="44"/>
      <c r="O1901" s="44"/>
      <c r="P1901" s="40"/>
      <c r="Q1901" s="40"/>
      <c r="R1901" s="40"/>
      <c r="S1901" s="40"/>
      <c r="T1901" s="40"/>
      <c r="U1901" s="40"/>
      <c r="V1901" s="40"/>
      <c r="W1901" s="40"/>
    </row>
  </sheetData>
  <conditionalFormatting sqref="N1">
    <cfRule type="cellIs" dxfId="151" priority="1" stopIfTrue="1" operator="lessThan">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Analysis</vt:lpstr>
      <vt:lpstr>All Invoices</vt:lpstr>
      <vt:lpstr>Tables and Pivots</vt:lpstr>
      <vt:lpstr>Depts</vt:lpstr>
      <vt:lpstr>OpenInvoices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Sutton</dc:creator>
  <cp:lastModifiedBy>Jamie Sutton</cp:lastModifiedBy>
  <cp:lastPrinted>2025-07-22T14:43:48Z</cp:lastPrinted>
  <dcterms:created xsi:type="dcterms:W3CDTF">2021-10-05T14:17:33Z</dcterms:created>
  <dcterms:modified xsi:type="dcterms:W3CDTF">2026-03-10T09:16:00Z</dcterms:modified>
</cp:coreProperties>
</file>